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5a5ba0c798e4f5b" /></Relationships>
</file>

<file path=xl/workbook.xml><?xml version="1.0" encoding="utf-8"?>
<x:workbook xmlns:x="http://schemas.openxmlformats.org/spreadsheetml/2006/main">
  <x:sheets>
    <x:sheet xmlns:r="http://schemas.openxmlformats.org/officeDocument/2006/relationships" name="Start Here" sheetId="1" r:id="Rad8be2f6e20549f0"/>
    <x:sheet xmlns:r="http://schemas.openxmlformats.org/officeDocument/2006/relationships" name="Review Register" sheetId="2" r:id="R20a66e4f87e448d5"/>
    <x:sheet xmlns:r="http://schemas.openxmlformats.org/officeDocument/2006/relationships" name="Known Baseline" sheetId="3" r:id="R82273e8517c340e0"/>
    <x:sheet xmlns:r="http://schemas.openxmlformats.org/officeDocument/2006/relationships" name="Gate Decisions" sheetId="4" r:id="Ra8297a688f5643cf"/>
    <x:sheet xmlns:r="http://schemas.openxmlformats.org/officeDocument/2006/relationships" name="Sources" sheetId="5" r:id="Rb6c84720d9664fc4"/>
    <x:sheet xmlns:r="http://schemas.openxmlformats.org/officeDocument/2006/relationships" name="ERB Findings" sheetId="6" r:id="R56a1f0d3a53148a6"/>
    <x:sheet xmlns:r="http://schemas.openxmlformats.org/officeDocument/2006/relationships" name="Assembly Cost" sheetId="7" r:id="R7d92ab7dafc94dd6"/>
    <x:sheet xmlns:r="http://schemas.openxmlformats.org/officeDocument/2006/relationships" name="Board Vetting" sheetId="8" r:id="Rc3c92ee3c66e493e"/>
    <x:sheet xmlns:r="http://schemas.openxmlformats.org/officeDocument/2006/relationships" name="Current Deltas" sheetId="9" r:id="R21dbfc6f437743e1"/>
    <x:sheet xmlns:r="http://schemas.openxmlformats.org/officeDocument/2006/relationships" name="Online Resolution" sheetId="10" r:id="R087552cfe3174e70"/>
    <x:sheet xmlns:r="http://schemas.openxmlformats.org/officeDocument/2006/relationships" name="Final Review" sheetId="11" r:id="R96d264d0cb904026"/>
    <x:sheet xmlns:r="http://schemas.openxmlformats.org/officeDocument/2006/relationships" name="RVB21 Changes" sheetId="12" r:id="R70c3068a80e44663"/>
    <x:sheet xmlns:r="http://schemas.openxmlformats.org/officeDocument/2006/relationships" name="RVB22 Current" sheetId="13" r:id="Rae33ac9adb7e4365"/>
    <x:sheet xmlns:r="http://schemas.openxmlformats.org/officeDocument/2006/relationships" name="RVB22 Criteria" sheetId="14" r:id="Re3bf3a98542f4c7b"/>
    <x:sheet xmlns:r="http://schemas.openxmlformats.org/officeDocument/2006/relationships" name="RVB22 Redlines" sheetId="15" r:id="Rfcdc67456df442ce"/>
    <x:sheet xmlns:r="http://schemas.openxmlformats.org/officeDocument/2006/relationships" name="RVB22 Inputs" sheetId="16" r:id="Rc7e50d6fe5354457"/>
    <x:sheet xmlns:r="http://schemas.openxmlformats.org/officeDocument/2006/relationships" name="RVB22 Iterations" sheetId="17" r:id="Ra4b6eb9e4eb0403b"/>
    <x:sheet xmlns:r="http://schemas.openxmlformats.org/officeDocument/2006/relationships" name="RVB22 Gates" sheetId="18" r:id="R9397c17efac94c6c"/>
    <x:sheet xmlns:r="http://schemas.openxmlformats.org/officeDocument/2006/relationships" name="RVB22 Evidence" sheetId="19" r:id="R753206cc34a24414"/>
  </x:sheets>
</x:workbook>
</file>

<file path=xl/comments1.xml><?xml version="1.0" encoding="utf-8"?>
<x:comments xmlns:x="http://schemas.openxmlformats.org/spreadsheetml/2006/main">
  <x:authors>
    <x:author>tc={CA7BD738-A173-4B9B-B7AF-A210CFB30B01}</x:author>
    <x:author>tc={11653CE8-CB05-4491-AABD-F88B56DE82E7}</x:author>
    <x:author>tc={C282656B-79A1-482A-AA63-1234BFC6D1B2}</x:author>
    <x:author>tc={7F71A0F0-CD47-4448-AC26-23EBC88CC668}</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B7" authorId="2">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 ref="C7" authorId="3">
      <x:text>
        <x:r>
          <x:t>[Threaded comment]
Your version of Excel allows you to read this threaded comment; however, any edits to it will get removed if the file is opened in a newer version of Excel. Learn more: https://go.microsoft.com/fwlink/?linkid=870924
Comment:
    Source: JLCPCB Standard PCBA published setup/stencil fees. https://jlcpcb.com/help/article/pcb-assembly-price ; accessed 2026-09-07. Excludes job-specific fees.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yyyy-mm-dd"/>
    <x:numFmt numFmtId="202" formatCode="&quot;$&quot;0.00"/>
    <x:numFmt numFmtId="203" formatCode="#,##0"/>
    <x:numFmt numFmtId="204" formatCode="+0;-0;0"/>
    <x:numFmt numFmtId="205" formatCode="0.000"/>
    <x:numFmt numFmtId="206" formatCode="0.000000"/>
    <x:numFmt numFmtId="207" formatCode="0.0"/>
  </x:numFmts>
  <x:fonts count="28">
    <x:font>
      <x:sz val="11"/>
      <x:name val="Carlito"/>
    </x:font>
    <x:font>
      <x:b/>
      <x:sz val="11"/>
      <x:color rgb="FFFFFFFF"/>
      <x:name val="Carlito"/>
    </x:font>
    <x:font>
      <x:sz val="11"/>
      <x:color rgb="FF183442"/>
      <x:name val="Carlito"/>
    </x:font>
    <x:font>
      <x:b/>
      <x:sz val="11"/>
      <x:name val="Carlito"/>
    </x:font>
    <x:font>
      <x:b/>
      <x:sz val="11"/>
      <x:color rgb="FF183442"/>
      <x:name val="Carlito"/>
    </x:font>
    <x:font>
      <x:sz val="11"/>
      <x:color rgb="FF18394A"/>
      <x:name val="Aptos"/>
    </x:font>
    <x:font>
      <x:b/>
      <x:sz val="13"/>
      <x:color rgb="FFFFFFFF"/>
      <x:name val="Aptos"/>
    </x:font>
    <x:font>
      <x:b/>
      <x:sz val="11"/>
      <x:color rgb="FFFFFFFF"/>
      <x:name val="Aptos"/>
    </x:font>
    <x:font>
      <x:b/>
      <x:sz val="27"/>
      <x:color rgb="FF18394A"/>
      <x:name val="Aptos"/>
    </x:font>
    <x:font>
      <x:b/>
      <x:sz val="13"/>
      <x:color rgb="FFFFFFFF"/>
      <x:name val="Carlito"/>
    </x:font>
    <x:font>
      <x:b/>
      <x:sz val="10"/>
      <x:color rgb="FFFFFFFF"/>
      <x:name val="Aptos"/>
    </x:font>
    <x:font>
      <x:b/>
      <x:sz val="24"/>
      <x:color rgb="FF18394A"/>
      <x:name val="Aptos"/>
    </x:font>
    <x:font>
      <x:sz val="9"/>
      <x:color rgb="FF183442"/>
      <x:name val="Carlito"/>
    </x:font>
    <x:font>
      <x:sz val="9"/>
      <x:color rgb="FF18394A"/>
      <x:name val="Aptos"/>
    </x:font>
    <x:font>
      <x:b/>
      <x:sz val="14"/>
      <x:color rgb="FFFFFFFF"/>
      <x:name val="Aptos"/>
    </x:font>
    <x:font>
      <x:b/>
      <x:sz val="15"/>
      <x:color rgb="FFFFFFFF"/>
      <x:name val="Aptos"/>
    </x:font>
    <x:font>
      <x:sz val="10"/>
      <x:color rgb="FF516670"/>
      <x:name val="Aptos"/>
    </x:font>
    <x:font>
      <x:sz val="10"/>
      <x:color rgb="FF18394A"/>
      <x:name val="Aptos"/>
    </x:font>
    <x:font>
      <x:b/>
      <x:sz val="10"/>
      <x:color rgb="FFFFFFFF"/>
      <x:name val="Carlito"/>
    </x:font>
    <x:font>
      <x:b/>
      <x:sz val="25"/>
      <x:color rgb="FF18394A"/>
      <x:name val="Carlito"/>
    </x:font>
    <x:font>
      <x:b/>
      <x:sz val="12"/>
      <x:color rgb="FF775000"/>
      <x:name val="Carlito"/>
    </x:font>
    <x:font>
      <x:b/>
      <x:sz val="16"/>
      <x:name val="Carlito"/>
    </x:font>
    <x:font>
      <x:sz val="10"/>
      <x:name val="Carlito"/>
    </x:font>
    <x:font>
      <x:sz val="10"/>
      <x:color rgb="FF516670"/>
      <x:name val="Carlito"/>
    </x:font>
    <x:font>
      <x:b/>
      <x:sz val="13"/>
      <x:color rgb="FF775000"/>
      <x:name val="Aptos"/>
    </x:font>
    <x:font>
      <x:b/>
      <x:sz val="11"/>
      <x:color rgb="FF775000"/>
      <x:name val="Carlito"/>
    </x:font>
    <x:font>
      <x:b/>
      <x:sz val="14"/>
      <x:color rgb="FF775000"/>
      <x:name val="Aptos"/>
    </x:font>
    <x:font>
      <x:b/>
      <x:sz val="10"/>
      <x:color rgb="FF18394A"/>
      <x:name val="Aptos"/>
    </x:font>
  </x:fonts>
  <x:fills count="40">
    <x:fill>
      <x:patternFill patternType="none"/>
    </x:fill>
    <x:fill>
      <x:patternFill patternType="gray125"/>
    </x:fill>
    <x:fill>
      <x:patternFill patternType="solid">
        <x:fgColor rgb="FF17354A"/>
      </x:patternFill>
    </x:fill>
    <x:fill>
      <x:patternFill patternType="solid">
        <x:fgColor rgb="FFEAF4F5"/>
      </x:patternFill>
    </x:fill>
    <x:fill>
      <x:patternFill patternType="solid">
        <x:fgColor rgb="FFEFF5FC"/>
      </x:patternFill>
    </x:fill>
    <x:fill>
      <x:patternFill patternType="solid">
        <x:fgColor rgb="FF0C6F77"/>
      </x:patternFill>
    </x:fill>
    <x:fill>
      <x:patternFill patternType="solid">
        <x:fgColor rgb="FFF2F4F7"/>
      </x:patternFill>
    </x:fill>
    <x:fill>
      <x:patternFill patternType="solid">
        <x:fgColor rgb="FFFFF0C8"/>
      </x:patternFill>
    </x:fill>
    <x:fill>
      <x:patternFill patternType="solid">
        <x:fgColor rgb="FFF1F6F8"/>
      </x:patternFill>
    </x:fill>
    <x:fill>
      <x:patternFill patternType="solid">
        <x:fgColor rgb="FFFFFFFF"/>
      </x:patternFill>
    </x:fill>
    <x:fill>
      <x:patternFill patternType="solid">
        <x:fgColor rgb="FFF7EFE4"/>
      </x:patternFill>
    </x:fill>
    <x:fill>
      <x:patternFill patternType="solid">
        <x:fgColor rgb="FFEAF3FF"/>
      </x:patternFill>
    </x:fill>
    <x:fill>
      <x:patternFill patternType="solid">
        <x:fgColor rgb="FFE8F1F5"/>
      </x:patternFill>
    </x:fill>
    <x:fill>
      <x:patternFill patternType="solid">
        <x:fgColor rgb="FF18394A"/>
      </x:patternFill>
    </x:fill>
    <x:fill>
      <x:patternFill patternType="solid">
        <x:fgColor rgb="FFFFF1CF"/>
      </x:patternFill>
    </x:fill>
    <x:fill>
      <x:patternFill patternType="solid">
        <x:fgColor rgb="FF177D8D"/>
      </x:patternFill>
    </x:fill>
    <x:fill>
      <x:patternFill patternType="solid">
        <x:fgColor rgb="FFFFFFFF"/>
      </x:patternFill>
    </x:fill>
    <x:fill>
      <x:patternFill patternType="solid">
        <x:fgColor rgb="FF18394A"/>
      </x:patternFill>
    </x:fill>
    <x:fill>
      <x:patternFill patternType="solid">
        <x:fgColor rgb="FFE8F1F5"/>
      </x:patternFill>
    </x:fill>
    <x:fill>
      <x:patternFill patternType="solid">
        <x:fgColor rgb="FFFFF1CF"/>
      </x:patternFill>
    </x:fill>
    <x:fill>
      <x:patternFill patternType="solid">
        <x:fgColor rgb="FF177D8D"/>
      </x:patternFill>
    </x:fill>
    <x:fill>
      <x:patternFill patternType="solid">
        <x:fgColor rgb="FFFFFFFF"/>
      </x:patternFill>
    </x:fill>
    <x:fill>
      <x:patternFill patternType="solid">
        <x:fgColor rgb="FF18394A"/>
      </x:patternFill>
    </x:fill>
    <x:fill>
      <x:patternFill patternType="solid">
        <x:fgColor rgb="FFFFF1CF"/>
      </x:patternFill>
    </x:fill>
    <x:fill>
      <x:patternFill patternType="solid">
        <x:fgColor rgb="FFE8F1F5"/>
      </x:patternFill>
    </x:fill>
    <x:fill>
      <x:patternFill patternType="solid">
        <x:fgColor rgb="FF177D8D"/>
      </x:patternFill>
    </x:fill>
    <x:fill>
      <x:patternFill patternType="solid">
        <x:fgColor rgb="FFE3F2E8"/>
      </x:patternFill>
    </x:fill>
    <x:fill>
      <x:patternFill patternType="solid">
        <x:fgColor rgb="FF18394A"/>
      </x:patternFill>
    </x:fill>
    <x:fill>
      <x:patternFill patternType="solid">
        <x:fgColor rgb="FFFFF1CF"/>
      </x:patternFill>
    </x:fill>
    <x:fill>
      <x:patternFill patternType="solid">
        <x:fgColor rgb="FF177D8D"/>
      </x:patternFill>
    </x:fill>
    <x:fill>
      <x:patternFill patternType="solid">
        <x:fgColor rgb="FF18394A"/>
      </x:patternFill>
    </x:fill>
    <x:fill>
      <x:patternFill patternType="solid">
        <x:fgColor rgb="FF147D8D"/>
      </x:patternFill>
    </x:fill>
    <x:fill>
      <x:patternFill patternType="solid">
        <x:fgColor rgb="FFE8F2F5"/>
      </x:patternFill>
    </x:fill>
    <x:fill>
      <x:patternFill patternType="solid">
        <x:fgColor rgb="FFFFF2CC"/>
      </x:patternFill>
    </x:fill>
    <x:fill>
      <x:patternFill patternType="solid">
        <x:fgColor rgb="FFFFFFFF"/>
      </x:patternFill>
    </x:fill>
    <x:fill>
      <x:patternFill patternType="solid">
        <x:fgColor rgb="FF18394A"/>
      </x:patternFill>
    </x:fill>
    <x:fill>
      <x:patternFill patternType="solid">
        <x:fgColor rgb="FF147D8D"/>
      </x:patternFill>
    </x:fill>
    <x:fill>
      <x:patternFill patternType="solid">
        <x:fgColor rgb="FFE8F2F5"/>
      </x:patternFill>
    </x:fill>
    <x:fill>
      <x:patternFill patternType="solid">
        <x:fgColor rgb="FFFFF2CC"/>
      </x:patternFill>
    </x:fill>
    <x:fill>
      <x:patternFill patternType="solid">
        <x:fgColor rgb="FFFFFFFF"/>
      </x:patternFill>
    </x:fill>
  </x:fills>
  <x:borders count="2">
    <x:border/>
    <x:border/>
  </x:borders>
  <x:cellStyleXfs count="1">
    <x:xf numFmtId="0" fontId="0" fillId="0" borderId="0"/>
  </x:cellStyleXfs>
  <x:cellXfs count="2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0" fontId="0" fillId="8" borderId="0" xfId="0" applyNumberFormat="1" applyFont="1" applyFill="1" applyBorder="1"/>
    <x:xf numFmtId="0" fontId="0" fillId="8" borderId="0" xfId="0" applyNumberFormat="1" applyFont="1" applyFill="1" applyBorder="1" applyAlignment="1">
      <x:alignment vertical="center"/>
    </x:xf>
    <x:xf numFmtId="0" fontId="0" fillId="8" borderId="1" xfId="0" applyNumberFormat="1" applyFont="1" applyFill="1" applyBorder="1"/>
    <x:xf numFmtId="0" fontId="0" fillId="8" borderId="1" xfId="0" applyNumberFormat="1" applyFont="1" applyFill="1" applyBorder="1" applyAlignment="1">
      <x:alignment vertical="center"/>
    </x:xf>
    <x:xf numFmtId="0" fontId="0" fillId="9" borderId="0" xfId="0" applyNumberFormat="1" applyFont="1" applyFill="1" applyBorder="1"/>
    <x:xf numFmtId="0" fontId="0" fillId="9" borderId="0" xfId="0" applyNumberFormat="1" applyFont="1" applyFill="1" applyBorder="1" applyAlignment="1">
      <x:alignment vertical="center"/>
    </x:xf>
    <x:xf numFmtId="0" fontId="0" fillId="9" borderId="1" xfId="0" applyNumberFormat="1" applyFont="1" applyFill="1" applyBorder="1"/>
    <x:xf numFmtId="0" fontId="0" fillId="9" borderId="1" xfId="0" applyNumberFormat="1" applyFont="1" applyFill="1" applyBorder="1" applyAlignment="1">
      <x:alignment vertical="center"/>
    </x:xf>
    <x:xf numFmtId="0" fontId="0" fillId="8"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2" fillId="10" borderId="1"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13" borderId="0" xfId="0" applyNumberFormat="1" applyFont="1" applyFill="1" applyBorder="1" applyAlignment="1">
      <x:alignment vertical="center"/>
    </x:xf>
    <x:xf numFmtId="0" fontId="6" fillId="13" borderId="0" xfId="0" applyNumberFormat="1" applyFont="1" applyFill="1" applyBorder="1" applyAlignment="1">
      <x:alignment vertical="center"/>
    </x:xf>
    <x:xf numFmtId="0" fontId="6" fillId="13" borderId="0" xfId="0" applyNumberFormat="1" applyFont="1" applyFill="1" applyBorder="1" applyAlignment="1">
      <x:alignment vertical="center" wrapText="1"/>
    </x:xf>
    <x:xf numFmtId="0" fontId="5" fillId="12" borderId="0" xfId="0" applyNumberFormat="1" applyFont="1" applyFill="1" applyBorder="1" applyAlignment="1">
      <x:alignment vertical="center"/>
    </x:xf>
    <x:xf numFmtId="0" fontId="5" fillId="12" borderId="0" xfId="0" applyNumberFormat="1" applyFont="1" applyFill="1" applyBorder="1" applyAlignment="1">
      <x:alignment vertical="center" wrapText="1"/>
    </x:xf>
    <x:xf numFmtId="0" fontId="5" fillId="14" borderId="0" xfId="0" applyNumberFormat="1" applyFont="1" applyFill="1" applyBorder="1" applyAlignment="1">
      <x:alignment vertical="center"/>
    </x:xf>
    <x:xf numFmtId="0" fontId="5" fillId="14" borderId="0" xfId="0" applyNumberFormat="1" applyFont="1" applyFill="1" applyBorder="1" applyAlignment="1">
      <x:alignment vertical="center" wrapText="1"/>
    </x:xf>
    <x:xf numFmtId="0" fontId="5" fillId="15" borderId="0" xfId="0" applyNumberFormat="1" applyFont="1" applyFill="1" applyBorder="1" applyAlignment="1">
      <x:alignment vertical="center"/>
    </x:xf>
    <x:xf numFmtId="0" fontId="6" fillId="15" borderId="0" xfId="0" applyNumberFormat="1" applyFont="1" applyFill="1" applyBorder="1" applyAlignment="1">
      <x:alignment vertical="center"/>
    </x:xf>
    <x:xf numFmtId="0" fontId="6" fillId="15" borderId="0" xfId="0" applyNumberFormat="1" applyFont="1" applyFill="1" applyBorder="1" applyAlignment="1">
      <x:alignment vertical="center" wrapText="1"/>
    </x:xf>
    <x:xf numFmtId="0" fontId="7" fillId="15" borderId="0" xfId="0" applyNumberFormat="1" applyFont="1" applyFill="1" applyBorder="1" applyAlignment="1">
      <x:alignment vertical="center" wrapText="1"/>
    </x:xf>
    <x:xf numFmtId="0" fontId="8" fillId="12" borderId="0" xfId="0" applyNumberFormat="1" applyFont="1" applyFill="1" applyBorder="1" applyAlignment="1">
      <x:alignment vertical="center"/>
    </x:xf>
    <x:xf numFmtId="200" fontId="8" fillId="12" borderId="0" xfId="0" applyNumberFormat="1" applyFont="1" applyFill="1" applyBorder="1" applyAlignment="1">
      <x:alignment vertical="center"/>
    </x:xf>
    <x:xf numFmtId="200" fontId="8" fillId="12" borderId="0" xfId="0" applyNumberFormat="1" applyFont="1" applyFill="1" applyBorder="1" applyAlignment="1">
      <x:alignment horizontal="center" vertical="center"/>
    </x:xf>
    <x:xf numFmtId="0" fontId="7" fillId="15" borderId="0" xfId="0" applyNumberFormat="1" applyFont="1" applyFill="1" applyBorder="1" applyAlignment="1">
      <x:alignment vertical="center"/>
    </x:xf>
    <x:xf numFmtId="0" fontId="5" fillId="16" borderId="0" xfId="0" applyNumberFormat="1" applyFont="1" applyFill="1" applyBorder="1" applyAlignment="1">
      <x:alignment vertical="center"/>
    </x:xf>
    <x:xf numFmtId="200" fontId="5" fillId="12" borderId="0" xfId="0" applyNumberFormat="1" applyFont="1" applyFill="1" applyBorder="1" applyAlignment="1">
      <x:alignment vertical="center"/>
    </x:xf>
    <x:xf numFmtId="200" fontId="5" fillId="16" borderId="0" xfId="0" applyNumberFormat="1" applyFont="1" applyFill="1" applyBorder="1" applyAlignment="1">
      <x:alignment vertical="center"/>
    </x:xf>
    <x:xf numFmtId="201" fontId="2" fillId="4" borderId="0" xfId="0" applyNumberFormat="1" applyFont="1" applyFill="1" applyBorder="1" applyAlignment="1">
      <x:alignment vertical="top"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wrapText="1"/>
    </x:xf>
    <x:xf numFmtId="0" fontId="9" fillId="13" borderId="0" xfId="0" applyNumberFormat="1" applyFont="1" applyFill="1" applyBorder="1" applyAlignment="1">
      <x:alignment vertical="center" wrapText="1"/>
    </x:xf>
    <x:xf numFmtId="0" fontId="0" fillId="12" borderId="0" xfId="0" applyNumberFormat="1" applyFont="1" applyFill="1" applyBorder="1"/>
    <x:xf numFmtId="0" fontId="0" fillId="12" borderId="0" xfId="0" applyNumberFormat="1" applyFont="1" applyFill="1" applyBorder="1" applyAlignment="1">
      <x:alignment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4"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5" fillId="0" borderId="0" xfId="0" applyNumberFormat="1" applyFont="1" applyFill="1" applyBorder="1" applyAlignment="1">
      <x:alignment vertical="center" wrapText="1"/>
    </x:xf>
    <x:xf numFmtId="0" fontId="5" fillId="13"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202" fontId="5" fillId="11" borderId="0" xfId="0" applyNumberFormat="1" applyFont="1" applyFill="1" applyBorder="1" applyAlignment="1">
      <x:alignment vertical="center" wrapText="1"/>
    </x:xf>
    <x:xf numFmtId="202" fontId="5" fillId="0" borderId="0" xfId="0" applyNumberFormat="1" applyFont="1" applyFill="1" applyBorder="1" applyAlignment="1">
      <x:alignment vertical="center" wrapText="1"/>
    </x:xf>
    <x:xf numFmtId="0" fontId="5" fillId="15" borderId="0" xfId="0" applyNumberFormat="1" applyFont="1" applyFill="1" applyBorder="1" applyAlignment="1">
      <x:alignment vertical="center" wrapText="1"/>
    </x:xf>
    <x:xf numFmtId="202" fontId="5" fillId="12" borderId="0" xfId="0" applyNumberFormat="1" applyFont="1" applyFill="1" applyBorder="1" applyAlignment="1">
      <x:alignment vertical="center" wrapText="1"/>
    </x:xf>
    <x:xf numFmtId="200" fontId="5" fillId="11" borderId="0" xfId="0" applyNumberFormat="1" applyFont="1" applyFill="1" applyBorder="1" applyAlignment="1">
      <x:alignment vertical="center" wrapText="1"/>
    </x:xf>
    <x:xf numFmtId="0" fontId="5" fillId="17" borderId="0" xfId="0" applyNumberFormat="1" applyFont="1" applyFill="1" applyBorder="1" applyAlignment="1">
      <x:alignment vertical="top" wrapText="1"/>
    </x:xf>
    <x:xf numFmtId="0" fontId="6" fillId="17" borderId="0" xfId="0" applyNumberFormat="1" applyFont="1" applyFill="1" applyBorder="1" applyAlignment="1">
      <x:alignment vertical="top" wrapText="1"/>
    </x:xf>
    <x:xf numFmtId="0" fontId="6" fillId="17" borderId="0" xfId="0" applyNumberFormat="1" applyFont="1" applyFill="1" applyBorder="1" applyAlignment="1">
      <x:alignment vertical="center" wrapText="1"/>
    </x:xf>
    <x:xf numFmtId="0" fontId="5" fillId="18" borderId="0" xfId="0" applyNumberFormat="1" applyFont="1" applyFill="1" applyBorder="1" applyAlignment="1">
      <x:alignment vertical="top" wrapText="1"/>
    </x:xf>
    <x:xf numFmtId="0" fontId="5" fillId="18" borderId="0" xfId="0" applyNumberFormat="1" applyFont="1" applyFill="1" applyBorder="1" applyAlignment="1">
      <x:alignment vertical="center" wrapText="1"/>
    </x:xf>
    <x:xf numFmtId="0" fontId="7" fillId="17"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5" fillId="19" borderId="0" xfId="0" applyNumberFormat="1" applyFont="1" applyFill="1" applyBorder="1" applyAlignment="1">
      <x:alignment vertical="center" wrapText="1"/>
    </x:xf>
    <x:xf numFmtId="0" fontId="5" fillId="20" borderId="0" xfId="0" applyNumberFormat="1" applyFont="1" applyFill="1" applyBorder="1" applyAlignment="1">
      <x:alignment vertical="top" wrapText="1"/>
    </x:xf>
    <x:xf numFmtId="0" fontId="6" fillId="20" borderId="0" xfId="0" applyNumberFormat="1" applyFont="1" applyFill="1" applyBorder="1" applyAlignment="1">
      <x:alignment vertical="top" wrapText="1"/>
    </x:xf>
    <x:xf numFmtId="0" fontId="6" fillId="20" borderId="0" xfId="0" applyNumberFormat="1" applyFont="1" applyFill="1" applyBorder="1" applyAlignment="1">
      <x:alignment vertical="center" wrapText="1"/>
    </x:xf>
    <x:xf numFmtId="0" fontId="10" fillId="20" borderId="0" xfId="0" applyNumberFormat="1" applyFont="1" applyFill="1" applyBorder="1" applyAlignment="1">
      <x:alignment vertical="center" wrapText="1"/>
    </x:xf>
    <x:xf numFmtId="0" fontId="8" fillId="18" borderId="0" xfId="0" applyNumberFormat="1" applyFont="1" applyFill="1" applyBorder="1" applyAlignment="1">
      <x:alignment vertical="top" wrapText="1"/>
    </x:xf>
    <x:xf numFmtId="200" fontId="8" fillId="18" borderId="0" xfId="0" applyNumberFormat="1" applyFont="1" applyFill="1" applyBorder="1" applyAlignment="1">
      <x:alignment vertical="top" wrapText="1"/>
    </x:xf>
    <x:xf numFmtId="200" fontId="8" fillId="18" borderId="0" xfId="0" applyNumberFormat="1" applyFont="1" applyFill="1" applyBorder="1" applyAlignment="1">
      <x:alignment horizontal="center" vertical="top" wrapText="1"/>
    </x:xf>
    <x:xf numFmtId="0" fontId="7" fillId="20" borderId="0" xfId="0" applyNumberFormat="1" applyFont="1" applyFill="1" applyBorder="1" applyAlignment="1">
      <x:alignment vertical="top" wrapText="1"/>
    </x:xf>
    <x:xf numFmtId="0" fontId="5" fillId="21" borderId="0"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9" fillId="17" borderId="0" xfId="0" applyNumberFormat="1" applyFont="1" applyFill="1" applyBorder="1" applyAlignment="1">
      <x:alignment vertical="center" wrapText="1"/>
    </x:xf>
    <x:xf numFmtId="0" fontId="5" fillId="22" borderId="0" xfId="0" applyNumberFormat="1" applyFont="1" applyFill="1" applyBorder="1" applyAlignment="1">
      <x:alignment vertical="top" wrapText="1"/>
    </x:xf>
    <x:xf numFmtId="0" fontId="6" fillId="22" borderId="0" xfId="0" applyNumberFormat="1" applyFont="1" applyFill="1" applyBorder="1" applyAlignment="1">
      <x:alignment vertical="top" wrapText="1"/>
    </x:xf>
    <x:xf numFmtId="0" fontId="6" fillId="22" borderId="0" xfId="0" applyNumberFormat="1" applyFont="1" applyFill="1" applyBorder="1" applyAlignment="1">
      <x:alignment vertical="center" wrapText="1"/>
    </x:xf>
    <x:xf numFmtId="0" fontId="5" fillId="23" borderId="0" xfId="0" applyNumberFormat="1" applyFont="1" applyFill="1" applyBorder="1" applyAlignment="1">
      <x:alignment vertical="top" wrapText="1"/>
    </x:xf>
    <x:xf numFmtId="0" fontId="5" fillId="23" borderId="0" xfId="0" applyNumberFormat="1" applyFont="1" applyFill="1" applyBorder="1" applyAlignment="1">
      <x:alignment vertical="center" wrapText="1"/>
    </x:xf>
    <x:xf numFmtId="0" fontId="7" fillId="22" borderId="0" xfId="0" applyNumberFormat="1" applyFont="1" applyFill="1" applyBorder="1" applyAlignment="1">
      <x:alignment vertical="top" wrapText="1"/>
    </x:xf>
    <x:xf numFmtId="0" fontId="5" fillId="24" borderId="0" xfId="0" applyNumberFormat="1" applyFont="1" applyFill="1" applyBorder="1" applyAlignment="1">
      <x:alignment vertical="top" wrapText="1"/>
    </x:xf>
    <x:xf numFmtId="0" fontId="5" fillId="24" borderId="0" xfId="0" applyNumberFormat="1" applyFont="1" applyFill="1" applyBorder="1" applyAlignment="1">
      <x:alignment vertical="center" wrapText="1"/>
    </x:xf>
    <x:xf numFmtId="0" fontId="5" fillId="25" borderId="0" xfId="0" applyNumberFormat="1" applyFont="1" applyFill="1" applyBorder="1" applyAlignment="1">
      <x:alignment vertical="top" wrapText="1"/>
    </x:xf>
    <x:xf numFmtId="0" fontId="6" fillId="25" borderId="0" xfId="0" applyNumberFormat="1" applyFont="1" applyFill="1" applyBorder="1" applyAlignment="1">
      <x:alignment vertical="top" wrapText="1"/>
    </x:xf>
    <x:xf numFmtId="0" fontId="6" fillId="25" borderId="0" xfId="0" applyNumberFormat="1" applyFont="1" applyFill="1" applyBorder="1" applyAlignment="1">
      <x:alignment vertical="center" wrapText="1"/>
    </x:xf>
    <x:xf numFmtId="0" fontId="10" fillId="25" borderId="0" xfId="0" applyNumberFormat="1" applyFont="1" applyFill="1" applyBorder="1" applyAlignment="1">
      <x:alignment vertical="center" wrapText="1"/>
    </x:xf>
    <x:xf numFmtId="0" fontId="8" fillId="24" borderId="0" xfId="0" applyNumberFormat="1" applyFont="1" applyFill="1" applyBorder="1" applyAlignment="1">
      <x:alignment vertical="top" wrapText="1"/>
    </x:xf>
    <x:xf numFmtId="200" fontId="8" fillId="24" borderId="0" xfId="0" applyNumberFormat="1" applyFont="1" applyFill="1" applyBorder="1" applyAlignment="1">
      <x:alignment vertical="top" wrapText="1"/>
    </x:xf>
    <x:xf numFmtId="200" fontId="8" fillId="24" borderId="0" xfId="0" applyNumberFormat="1" applyFont="1" applyFill="1" applyBorder="1" applyAlignment="1">
      <x:alignment horizontal="center" vertical="top" wrapText="1"/>
    </x:xf>
    <x:xf numFmtId="0" fontId="5" fillId="26" borderId="0" xfId="0" applyNumberFormat="1" applyFont="1" applyFill="1" applyBorder="1" applyAlignment="1">
      <x:alignment vertical="top" wrapText="1"/>
    </x:xf>
    <x:xf numFmtId="0" fontId="11" fillId="26" borderId="0" xfId="0" applyNumberFormat="1" applyFont="1" applyFill="1" applyBorder="1" applyAlignment="1">
      <x:alignment vertical="top" wrapText="1"/>
    </x:xf>
    <x:xf numFmtId="200" fontId="11" fillId="26" borderId="0" xfId="0" applyNumberFormat="1" applyFont="1" applyFill="1" applyBorder="1" applyAlignment="1">
      <x:alignment vertical="top" wrapText="1"/>
    </x:xf>
    <x:xf numFmtId="200" fontId="11" fillId="26" borderId="0" xfId="0" applyNumberFormat="1" applyFont="1" applyFill="1" applyBorder="1" applyAlignment="1">
      <x:alignment horizontal="center" vertical="top" wrapText="1"/>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wrapText="1"/>
    </x:xf>
    <x:xf numFmtId="0" fontId="9" fillId="22" borderId="0" xfId="0" applyNumberFormat="1" applyFont="1" applyFill="1" applyBorder="1" applyAlignment="1">
      <x:alignment vertical="center" wrapText="1"/>
    </x:xf>
    <x:xf numFmtId="0" fontId="12" fillId="4"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0" fillId="27" borderId="0" xfId="0" applyNumberFormat="1" applyFont="1" applyFill="1" applyBorder="1"/>
    <x:xf numFmtId="0" fontId="1" fillId="27" borderId="0" xfId="0" applyNumberFormat="1" applyFont="1" applyFill="1" applyBorder="1"/>
    <x:xf numFmtId="200" fontId="0" fillId="0" borderId="0" xfId="0" applyNumberFormat="1" applyFont="1" applyFill="1" applyBorder="1"/>
    <x:xf numFmtId="0" fontId="0" fillId="28" borderId="0" xfId="0" applyNumberFormat="1" applyFont="1" applyFill="1" applyBorder="1"/>
    <x:xf numFmtId="0" fontId="0" fillId="28" borderId="0" xfId="0" applyNumberFormat="1" applyFont="1" applyFill="1" applyBorder="1" applyAlignment="1">
      <x:alignment wrapText="1"/>
    </x:xf>
    <x:xf numFmtId="0" fontId="5" fillId="27" borderId="0" xfId="0" applyNumberFormat="1" applyFont="1" applyFill="1" applyBorder="1" applyAlignment="1">
      <x:alignment vertical="top" wrapText="1"/>
    </x:xf>
    <x:xf numFmtId="0" fontId="14" fillId="27" borderId="0" xfId="0" applyNumberFormat="1" applyFont="1" applyFill="1" applyBorder="1" applyAlignment="1">
      <x:alignment vertical="top" wrapText="1"/>
    </x:xf>
    <x:xf numFmtId="0" fontId="5" fillId="29" borderId="0" xfId="0" applyNumberFormat="1" applyFont="1" applyFill="1" applyBorder="1" applyAlignment="1">
      <x:alignment vertical="top" wrapText="1"/>
    </x:xf>
    <x:xf numFmtId="0" fontId="7" fillId="29" borderId="0" xfId="0" applyNumberFormat="1" applyFont="1" applyFill="1" applyBorder="1" applyAlignment="1">
      <x:alignment vertical="top" wrapText="1"/>
    </x:xf>
    <x:xf numFmtId="0" fontId="0" fillId="30" borderId="0" xfId="0" applyNumberFormat="1" applyFont="1" applyFill="1" applyBorder="1"/>
    <x:xf numFmtId="0" fontId="15" fillId="30" borderId="0" xfId="0" applyNumberFormat="1" applyFont="1" applyFill="1" applyBorder="1"/>
    <x:xf numFmtId="0" fontId="15" fillId="30" borderId="0" xfId="0" applyNumberFormat="1" applyFont="1" applyFill="1" applyBorder="1" applyAlignment="1">
      <x:alignment vertical="center"/>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center" wrapText="1"/>
    </x:xf>
    <x:xf numFmtId="0" fontId="17" fillId="0" borderId="0" xfId="0" applyNumberFormat="1" applyFont="1" applyFill="1" applyBorder="1"/>
    <x:xf numFmtId="0" fontId="17" fillId="0" borderId="0" xfId="0" applyNumberFormat="1" applyFont="1" applyFill="1" applyBorder="1" applyAlignment="1">
      <x:alignment wrapText="1"/>
    </x:xf>
    <x:xf numFmtId="0" fontId="17" fillId="0" borderId="0" xfId="0" applyNumberFormat="1" applyFont="1" applyFill="1" applyBorder="1" applyAlignment="1">
      <x:alignment vertical="top" wrapText="1"/>
    </x:xf>
    <x:xf numFmtId="0" fontId="17" fillId="31" borderId="0" xfId="0" applyNumberFormat="1" applyFont="1" applyFill="1" applyBorder="1" applyAlignment="1">
      <x:alignment vertical="top" wrapText="1"/>
    </x:xf>
    <x:xf numFmtId="0" fontId="10" fillId="31" borderId="0" xfId="0" applyNumberFormat="1" applyFont="1" applyFill="1" applyBorder="1" applyAlignment="1">
      <x:alignment vertical="top" wrapText="1"/>
    </x:xf>
    <x:xf numFmtId="0" fontId="17" fillId="32" borderId="0" xfId="0" applyNumberFormat="1" applyFont="1" applyFill="1" applyBorder="1" applyAlignment="1">
      <x:alignment vertical="top" wrapText="1"/>
    </x:xf>
    <x:xf numFmtId="0" fontId="0" fillId="31" borderId="0" xfId="0" applyNumberFormat="1" applyFont="1" applyFill="1" applyBorder="1"/>
    <x:xf numFmtId="0" fontId="18" fillId="31" borderId="0" xfId="0" applyNumberFormat="1" applyFont="1" applyFill="1" applyBorder="1"/>
    <x:xf numFmtId="0" fontId="0" fillId="32" borderId="0" xfId="0" applyNumberFormat="1" applyFont="1" applyFill="1" applyBorder="1"/>
    <x:xf numFmtId="0" fontId="19" fillId="32" borderId="0" xfId="0" applyNumberFormat="1" applyFont="1" applyFill="1" applyBorder="1"/>
    <x:xf numFmtId="203" fontId="19" fillId="32" borderId="0" xfId="0" applyNumberFormat="1" applyFont="1" applyFill="1" applyBorder="1"/>
    <x:xf numFmtId="203" fontId="19" fillId="32" borderId="0" xfId="0" applyNumberFormat="1" applyFont="1" applyFill="1" applyBorder="1" applyAlignment="1">
      <x:alignment horizontal="center"/>
    </x:xf>
    <x:xf numFmtId="203" fontId="19" fillId="32" borderId="0" xfId="0" applyNumberFormat="1" applyFont="1" applyFill="1" applyBorder="1" applyAlignment="1">
      <x:alignment horizontal="center" vertical="center"/>
    </x:xf>
    <x:xf numFmtId="0" fontId="0" fillId="33" borderId="0" xfId="0" applyNumberFormat="1" applyFont="1" applyFill="1" applyBorder="1"/>
    <x:xf numFmtId="0" fontId="20" fillId="33" borderId="0" xfId="0" applyNumberFormat="1" applyFont="1" applyFill="1" applyBorder="1"/>
    <x:xf numFmtId="0" fontId="20" fillId="33" borderId="0" xfId="0" applyNumberFormat="1" applyFont="1" applyFill="1" applyBorder="1" applyAlignment="1">
      <x:alignment wrapText="1"/>
    </x:xf>
    <x:xf numFmtId="0" fontId="20" fillId="33" borderId="0" xfId="0" applyNumberFormat="1" applyFont="1" applyFill="1" applyBorder="1" applyAlignment="1">
      <x:alignment vertical="center" wrapText="1"/>
    </x:xf>
    <x:xf numFmtId="0" fontId="21" fillId="32" borderId="0" xfId="0" applyNumberFormat="1" applyFont="1" applyFill="1" applyBorder="1"/>
    <x:xf numFmtId="204" fontId="21" fillId="32" borderId="0" xfId="0" applyNumberFormat="1" applyFont="1" applyFill="1" applyBorder="1"/>
    <x:xf numFmtId="204" fontId="21" fillId="32" borderId="0" xfId="0" applyNumberFormat="1" applyFont="1" applyFill="1" applyBorder="1" applyAlignment="1">
      <x:alignment horizontal="center"/>
    </x:xf>
    <x:xf numFmtId="0" fontId="1" fillId="31" borderId="0" xfId="0" applyNumberFormat="1" applyFont="1" applyFill="1" applyBorder="1"/>
    <x:xf numFmtId="0" fontId="22" fillId="32" borderId="0" xfId="0" applyNumberFormat="1" applyFont="1" applyFill="1" applyBorder="1"/>
    <x:xf numFmtId="0" fontId="22" fillId="32" borderId="0" xfId="0" applyNumberFormat="1" applyFont="1" applyFill="1" applyBorder="1" applyAlignment="1">
      <x:alignment wrapText="1"/>
    </x:xf>
    <x:xf numFmtId="0" fontId="22" fillId="32" borderId="0" xfId="0" applyNumberFormat="1" applyFont="1" applyFill="1" applyBorder="1" applyAlignment="1">
      <x:alignment vertical="center" wrapText="1"/>
    </x:xf>
    <x:xf numFmtId="0" fontId="0" fillId="34" borderId="0" xfId="0" applyNumberFormat="1" applyFont="1" applyFill="1" applyBorder="1"/>
    <x:xf numFmtId="0" fontId="22" fillId="34" borderId="0" xfId="0" applyNumberFormat="1" applyFont="1" applyFill="1" applyBorder="1"/>
    <x:xf numFmtId="0" fontId="22" fillId="34" borderId="0" xfId="0" applyNumberFormat="1" applyFont="1" applyFill="1" applyBorder="1" applyAlignment="1">
      <x:alignment wrapText="1"/>
    </x:xf>
    <x:xf numFmtId="0" fontId="22" fillId="34" borderId="0" xfId="0" applyNumberFormat="1" applyFont="1" applyFill="1" applyBorder="1" applyAlignment="1">
      <x:alignment vertical="center" wrapText="1"/>
    </x:xf>
    <x:xf numFmtId="0" fontId="23" fillId="0" borderId="0" xfId="0" applyNumberFormat="1" applyFont="1" applyFill="1" applyBorder="1"/>
    <x:xf numFmtId="0" fontId="23" fillId="0" borderId="0" xfId="0" applyNumberFormat="1" applyFont="1" applyFill="1" applyBorder="1" applyAlignment="1">
      <x:alignment wrapText="1"/>
    </x:xf>
    <x:xf numFmtId="0" fontId="22" fillId="0" borderId="0" xfId="0" applyNumberFormat="1" applyFont="1" applyFill="1" applyBorder="1"/>
    <x:xf numFmtId="0" fontId="22" fillId="0" borderId="0" xfId="0" applyNumberFormat="1" applyFont="1" applyFill="1" applyBorder="1" applyAlignment="1">
      <x:alignment wrapText="1"/>
    </x:xf>
    <x:xf numFmtId="0" fontId="6" fillId="33" borderId="0" xfId="0" applyNumberFormat="1" applyFont="1" applyFill="1" applyBorder="1" applyAlignment="1">
      <x:alignment vertical="center" wrapText="1"/>
    </x:xf>
    <x:xf numFmtId="0" fontId="24" fillId="33" borderId="0" xfId="0" applyNumberFormat="1" applyFont="1" applyFill="1" applyBorder="1" applyAlignment="1">
      <x:alignment vertical="center" wrapText="1"/>
    </x:xf>
    <x:xf numFmtId="0" fontId="25" fillId="33" borderId="0" xfId="0" applyNumberFormat="1" applyFont="1" applyFill="1" applyBorder="1"/>
    <x:xf numFmtId="0" fontId="14" fillId="33" borderId="0" xfId="0" applyNumberFormat="1" applyFont="1" applyFill="1" applyBorder="1" applyAlignment="1">
      <x:alignment vertical="top" wrapText="1"/>
    </x:xf>
    <x:xf numFmtId="0" fontId="26" fillId="33" borderId="0" xfId="0" applyNumberFormat="1" applyFont="1" applyFill="1" applyBorder="1" applyAlignment="1">
      <x:alignment vertical="top" wrapText="1"/>
    </x:xf>
    <x:xf numFmtId="0" fontId="15" fillId="35" borderId="0" xfId="0" applyNumberFormat="1" applyFont="1" applyFill="1" applyBorder="1" applyAlignment="1">
      <x:alignment vertical="center"/>
    </x:xf>
    <x:xf numFmtId="0" fontId="27" fillId="31" borderId="0" xfId="0" applyNumberFormat="1" applyFont="1" applyFill="1" applyBorder="1" applyAlignment="1">
      <x:alignment vertical="top" wrapText="1"/>
    </x:xf>
    <x:xf numFmtId="0" fontId="27" fillId="36" borderId="0" xfId="0" applyNumberFormat="1" applyFont="1" applyFill="1" applyBorder="1" applyAlignment="1">
      <x:alignment vertical="top" wrapText="1"/>
    </x:xf>
    <x:xf numFmtId="0" fontId="10" fillId="36" borderId="0" xfId="0" applyNumberFormat="1" applyFont="1" applyFill="1" applyBorder="1" applyAlignment="1">
      <x:alignment vertical="top" wrapText="1"/>
    </x:xf>
    <x:xf numFmtId="0" fontId="17" fillId="37" borderId="0" xfId="0" applyNumberFormat="1" applyFont="1" applyFill="1" applyBorder="1" applyAlignment="1">
      <x:alignment vertical="top" wrapText="1"/>
    </x:xf>
    <x:xf numFmtId="203" fontId="17" fillId="37" borderId="0" xfId="0" applyNumberFormat="1" applyFont="1" applyFill="1" applyBorder="1" applyAlignment="1">
      <x:alignment vertical="top" wrapText="1"/>
    </x:xf>
    <x:xf numFmtId="205" fontId="17" fillId="0" borderId="0" xfId="0" applyNumberFormat="1" applyFont="1" applyFill="1" applyBorder="1" applyAlignment="1">
      <x:alignment vertical="top" wrapText="1"/>
    </x:xf>
    <x:xf numFmtId="203" fontId="17" fillId="0" borderId="0" xfId="0" applyNumberFormat="1" applyFont="1" applyFill="1" applyBorder="1" applyAlignment="1">
      <x:alignment vertical="top" wrapText="1"/>
    </x:xf>
    <x:xf numFmtId="206" fontId="17" fillId="0" borderId="0" xfId="0" applyNumberFormat="1" applyFont="1" applyFill="1" applyBorder="1" applyAlignment="1">
      <x:alignment vertical="top" wrapText="1"/>
    </x:xf>
    <x:xf numFmtId="206" fontId="17" fillId="37" borderId="0" xfId="0" applyNumberFormat="1" applyFont="1" applyFill="1" applyBorder="1" applyAlignment="1">
      <x:alignment vertical="top" wrapText="1"/>
    </x:xf>
    <x:xf numFmtId="205" fontId="17" fillId="37" borderId="0" xfId="0" applyNumberFormat="1" applyFont="1" applyFill="1" applyBorder="1" applyAlignment="1">
      <x:alignment vertical="top" wrapText="1"/>
    </x:xf>
    <x:xf numFmtId="207" fontId="17" fillId="0" borderId="0" xfId="0" applyNumberFormat="1" applyFont="1" applyFill="1" applyBorder="1" applyAlignment="1">
      <x:alignment vertical="top" wrapText="1"/>
    </x:xf>
    <x:xf numFmtId="201" fontId="17" fillId="37" borderId="0" xfId="0" applyNumberFormat="1" applyFont="1" applyFill="1" applyBorder="1" applyAlignment="1">
      <x:alignment vertical="top" wrapText="1"/>
    </x:xf>
    <x:xf numFmtId="0" fontId="18" fillId="36" borderId="0" xfId="0" applyNumberFormat="1" applyFont="1" applyFill="1" applyBorder="1"/>
    <x:xf numFmtId="203" fontId="19" fillId="37" borderId="0" xfId="0" applyNumberFormat="1" applyFont="1" applyFill="1" applyBorder="1" applyAlignment="1">
      <x:alignment horizontal="center" vertical="center"/>
    </x:xf>
    <x:xf numFmtId="0" fontId="20" fillId="38" borderId="0" xfId="0" applyNumberFormat="1" applyFont="1" applyFill="1" applyBorder="1" applyAlignment="1">
      <x:alignment vertical="center" wrapText="1"/>
    </x:xf>
    <x:xf numFmtId="204" fontId="21" fillId="37" borderId="0" xfId="0" applyNumberFormat="1" applyFont="1" applyFill="1" applyBorder="1" applyAlignment="1">
      <x:alignment horizontal="center"/>
    </x:xf>
    <x:xf numFmtId="0" fontId="1" fillId="36" borderId="0" xfId="0" applyNumberFormat="1" applyFont="1" applyFill="1" applyBorder="1"/>
    <x:xf numFmtId="0" fontId="22" fillId="37" borderId="0" xfId="0" applyNumberFormat="1" applyFont="1" applyFill="1" applyBorder="1" applyAlignment="1">
      <x:alignment vertical="center" wrapText="1"/>
    </x:xf>
    <x:xf numFmtId="0" fontId="22" fillId="39" borderId="0" xfId="0" applyNumberFormat="1" applyFont="1" applyFill="1" applyBorder="1" applyAlignment="1">
      <x:alignment vertical="center" wrapText="1"/>
    </x:xf>
    <x:xf numFmtId="205" fontId="0" fillId="0" borderId="0" xfId="0" applyNumberFormat="1" applyFont="1" applyFill="1" applyBorder="1"/>
    <x:xf numFmtId="205" fontId="22" fillId="0" borderId="0" xfId="0" applyNumberFormat="1" applyFont="1" applyFill="1" applyBorder="1"/>
    <x:xf numFmtId="205" fontId="22" fillId="0" borderId="0" xfId="0" applyNumberFormat="1" applyFont="1" applyFill="1" applyBorder="1" applyAlignment="1">
      <x:alignment wrapText="1"/>
    </x:xf>
    <x:xf numFmtId="206" fontId="0" fillId="0" borderId="0" xfId="0" applyNumberFormat="1" applyFont="1" applyFill="1" applyBorder="1"/>
    <x:xf numFmtId="206" fontId="22" fillId="0" borderId="0" xfId="0" applyNumberFormat="1" applyFont="1" applyFill="1" applyBorder="1"/>
    <x:xf numFmtId="206" fontId="22" fillId="0" borderId="0" xfId="0" applyNumberFormat="1" applyFont="1" applyFill="1" applyBorder="1" applyAlignment="1">
      <x:alignment wrapText="1"/>
    </x:xf>
    <x:xf numFmtId="207" fontId="0" fillId="0" borderId="0" xfId="0" applyNumberFormat="1" applyFont="1" applyFill="1" applyBorder="1"/>
    <x:xf numFmtId="207" fontId="22" fillId="0" borderId="0" xfId="0" applyNumberFormat="1" applyFont="1" applyFill="1" applyBorder="1"/>
    <x:xf numFmtId="207" fontId="22" fillId="0" borderId="0" xfId="0" applyNumberFormat="1" applyFont="1" applyFill="1" applyBorder="1" applyAlignment="1">
      <x:alignment wrapText="1"/>
    </x:xf>
    <x:xf numFmtId="0" fontId="24" fillId="38" borderId="0" xfId="0" applyNumberFormat="1" applyFont="1" applyFill="1" applyBorder="1" applyAlignment="1">
      <x:alignment vertical="center" wrapText="1"/>
    </x:xf>
  </x:cellXfs>
  <x:cellStyles count="1">
    <x:cellStyle name="Normal" xfId="0"/>
  </x:cellStyles>
  <x:dxfs count="87">
    <x:dxf>
      <x:fill>
        <x:patternFill>
          <x:bgColor rgb="FFFCE3E3"/>
        </x:patternFill>
      </x:fill>
    </x:dxf>
    <x:dxf>
      <x:fill>
        <x:patternFill>
          <x:bgColor rgb="FFDCF2E5"/>
        </x:patternFill>
      </x:fill>
    </x:dxf>
    <x:dxf>
      <x:fill>
        <x:patternFill>
          <x:bgColor rgb="FFFFF0C8"/>
        </x:patternFill>
      </x:fill>
    </x:dxf>
    <x:dxf>
      <x:font>
        <x:b/>
        <x:color rgb="FF9C2C2C"/>
      </x:font>
    </x:dxf>
    <x:dxf>
      <x:fill>
        <x:patternFill>
          <x:bgColor rgb="FFFFF1CF"/>
        </x:patternFill>
      </x:fill>
    </x:dxf>
    <x:dxf>
      <x:fill>
        <x:patternFill>
          <x:bgColor rgb="FFFCE4DF"/>
        </x:patternFill>
      </x:fill>
    </x:dxf>
    <x:dxf>
      <x:fill>
        <x:patternFill>
          <x:bgColor rgb="FFFCE4DF"/>
        </x:patternFill>
      </x:fill>
    </x:dxf>
    <x:dxf>
      <x:fill>
        <x:patternFill>
          <x:bgColor rgb="FFFCE4D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FFF1CF"/>
        </x:patternFill>
      </x:fill>
    </x:dxf>
    <x:dxf>
      <x:fill>
        <x:patternFill>
          <x:bgColor rgb="FFE8F1F5"/>
        </x:patternFill>
      </x:fill>
    </x:dxf>
    <x:dxf>
      <x:fill>
        <x:patternFill>
          <x:bgColor rgb="FFFCE4DF"/>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ill>
        <x:patternFill>
          <x:bgColor rgb="FFFCE4DF"/>
        </x:patternFill>
      </x:fill>
    </x:dxf>
    <x:dxf>
      <x:fill>
        <x:patternFill>
          <x:bgColor rgb="FFFCE4DF"/>
        </x:patternFill>
      </x:fill>
    </x:dxf>
    <x:dxf>
      <x:fill>
        <x:patternFill>
          <x:bgColor rgb="FFFFF1CF"/>
        </x:patternFill>
      </x:fill>
    </x:dxf>
    <x:dxf>
      <x:fill>
        <x:patternFill>
          <x:bgColor rgb="FFE3F2E8"/>
        </x:patternFill>
      </x:fill>
    </x:dxf>
    <x:dxf>
      <x:fill>
        <x:patternFill>
          <x:bgColor rgb="FFE3F2E8"/>
        </x:patternFill>
      </x:fill>
    </x:dxf>
    <x:dxf>
      <x:fill>
        <x:patternFill>
          <x:bgColor rgb="FFE8F1F5"/>
        </x:patternFill>
      </x:fill>
    </x:dxf>
    <x:dxf>
      <x:fill>
        <x:patternFill>
          <x:bgColor rgb="FFE3F2E8"/>
        </x:patternFill>
      </x:fill>
    </x:dxf>
    <x:dxf>
      <x:fill>
        <x:patternFill>
          <x:bgColor rgb="FFE8F1F5"/>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b/>
        <x:color rgb="FF8B2720"/>
      </x:font>
      <x:fill>
        <x:patternFill>
          <x:bgColor rgb="FFFDE3DF"/>
        </x:patternFill>
      </x:fill>
    </x:dxf>
    <x:dxf>
      <x:font>
        <x:b/>
        <x:color rgb="FF7A5200"/>
      </x:font>
      <x:fill>
        <x:patternFill>
          <x:bgColor rgb="FFFFF2CC"/>
        </x:patternFill>
      </x:fill>
    </x:dxf>
    <x:dxf>
      <x:fill>
        <x:patternFill>
          <x:bgColor rgb="FFFFF2CC"/>
        </x:patternFill>
      </x:fill>
    </x:dxf>
    <x:dxf>
      <x:fill>
        <x:patternFill>
          <x:bgColor rgb="FFDFF1E6"/>
        </x:patternFill>
      </x:fill>
    </x:dxf>
    <x:dxf>
      <x:font>
        <x:b/>
      </x:font>
      <x:fill>
        <x:patternFill>
          <x:bgColor rgb="FFDFF1E6"/>
        </x:patternFill>
      </x:fill>
    </x:dxf>
    <x:dxf>
      <x:font>
        <x:color rgb="FF775000"/>
      </x:font>
      <x:fill>
        <x:patternFill>
          <x:bgColor rgb="FFFFF2CC"/>
        </x:patternFill>
      </x:fill>
    </x:dxf>
    <x:dxf>
      <x:font>
        <x:b/>
        <x:color rgb="FF8B2720"/>
      </x:font>
      <x:fill>
        <x:patternFill patternType="solid">
          <x:bgColor rgb="FFFDE3DF"/>
        </x:patternFill>
      </x:fill>
    </x:dxf>
    <x:dxf>
      <x:font>
        <x:b/>
        <x:color rgb="FF7A5200"/>
      </x:font>
      <x:fill>
        <x:patternFill patternType="solid">
          <x:bgColor rgb="FFFFF2CC"/>
        </x:patternFill>
      </x:fill>
    </x:dxf>
    <x:dxf>
      <x:fill>
        <x:patternFill patternType="solid">
          <x:bgColor rgb="FFFFF2CC"/>
        </x:patternFill>
      </x:fill>
    </x:dxf>
    <x:dxf>
      <x:fill>
        <x:patternFill patternType="solid">
          <x:bgColor rgb="FFDFF1E6"/>
        </x:patternFill>
      </x:fill>
    </x:dxf>
    <x:dxf>
      <x:font>
        <x:b/>
      </x:font>
      <x:fill>
        <x:patternFill patternType="solid">
          <x:bgColor rgb="FFDFF1E6"/>
        </x:patternFill>
      </x:fill>
    </x:dxf>
    <x:dxf>
      <x:font>
        <x:b/>
        <x:color rgb="FF8B2720"/>
      </x:font>
      <x:fill>
        <x:patternFill patternType="solid">
          <x:bgColor rgb="FFFDE3DF"/>
        </x:patternFill>
      </x:fill>
    </x:dxf>
    <x:dxf>
      <x:font>
        <x:b/>
        <x:color rgb="FF7A5200"/>
      </x:font>
      <x:fill>
        <x:patternFill patternType="solid">
          <x:bgColor rgb="FFFFF2CC"/>
        </x:patternFill>
      </x:fill>
    </x:dxf>
    <x:dxf>
      <x:fill>
        <x:patternFill patternType="solid">
          <x:bgColor rgb="FFFFF2CC"/>
        </x:patternFill>
      </x:fill>
    </x:dxf>
    <x:dxf>
      <x:fill>
        <x:patternFill patternType="solid">
          <x:bgColor rgb="FFDFF1E6"/>
        </x:patternFill>
      </x:fill>
    </x:dxf>
    <x:dxf>
      <x:font>
        <x:b/>
      </x:font>
      <x:fill>
        <x:patternFill patternType="solid">
          <x:bgColor rgb="FFDFF1E6"/>
        </x:patternFill>
      </x:fill>
    </x:dxf>
    <x:dxf>
      <x:font>
        <x:b/>
        <x:color rgb="FF8B2720"/>
      </x:font>
      <x:fill>
        <x:patternFill patternType="solid">
          <x:bgColor rgb="FFFDE3DF"/>
        </x:patternFill>
      </x:fill>
    </x:dxf>
    <x:dxf>
      <x:font>
        <x:b/>
        <x:color rgb="FF7A5200"/>
      </x:font>
      <x:fill>
        <x:patternFill patternType="solid">
          <x:bgColor rgb="FFFFF2CC"/>
        </x:patternFill>
      </x:fill>
    </x:dxf>
    <x:dxf>
      <x:fill>
        <x:patternFill patternType="solid">
          <x:bgColor rgb="FFFFF2CC"/>
        </x:patternFill>
      </x:fill>
    </x:dxf>
    <x:dxf>
      <x:fill>
        <x:patternFill patternType="solid">
          <x:bgColor rgb="FFDFF1E6"/>
        </x:patternFill>
      </x:fill>
    </x:dxf>
    <x:dxf>
      <x:font>
        <x:b/>
      </x:font>
      <x:fill>
        <x:patternFill patternType="solid">
          <x:bgColor rgb="FFDFF1E6"/>
        </x:patternFill>
      </x:fill>
    </x:dxf>
    <x:dxf>
      <x:font>
        <x:color rgb="FF775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1e9b76b29e4990" /><Relationship Type="http://schemas.openxmlformats.org/officeDocument/2006/relationships/theme" Target="/xl/theme/theme1.xml" Id="R7eb367838ade4712" /><Relationship Type="http://schemas.openxmlformats.org/officeDocument/2006/relationships/sharedStrings" Target="/xl/sharedStrings.xml" Id="R296ac635dc944ed6" /><Relationship Type="http://schemas.openxmlformats.org/officeDocument/2006/relationships/worksheet" Target="/xl/worksheets/sheet1.xml" Id="Rad8be2f6e20549f0" /><Relationship Type="http://schemas.openxmlformats.org/officeDocument/2006/relationships/worksheet" Target="/xl/worksheets/sheet2.xml" Id="R20a66e4f87e448d5" /><Relationship Type="http://schemas.openxmlformats.org/officeDocument/2006/relationships/worksheet" Target="/xl/worksheets/sheet3.xml" Id="R82273e8517c340e0" /><Relationship Type="http://schemas.openxmlformats.org/officeDocument/2006/relationships/worksheet" Target="/xl/worksheets/sheet4.xml" Id="Ra8297a688f5643cf" /><Relationship Type="http://schemas.openxmlformats.org/officeDocument/2006/relationships/worksheet" Target="/xl/worksheets/sheet5.xml" Id="Rb6c84720d9664fc4" /><Relationship Type="http://schemas.openxmlformats.org/officeDocument/2006/relationships/worksheet" Target="/xl/worksheets/sheet6.xml" Id="R56a1f0d3a53148a6" /><Relationship Type="http://schemas.openxmlformats.org/officeDocument/2006/relationships/worksheet" Target="/xl/worksheets/sheet7.xml" Id="R7d92ab7dafc94dd6" /><Relationship Type="http://schemas.openxmlformats.org/officeDocument/2006/relationships/worksheet" Target="/xl/worksheets/sheet8.xml" Id="Rc3c92ee3c66e493e" /><Relationship Type="http://schemas.openxmlformats.org/officeDocument/2006/relationships/worksheet" Target="/xl/worksheets/sheet9.xml" Id="R21dbfc6f437743e1" /><Relationship Type="http://schemas.openxmlformats.org/officeDocument/2006/relationships/worksheet" Target="/xl/worksheets/sheet10.xml" Id="R087552cfe3174e70" /><Relationship Type="http://schemas.openxmlformats.org/officeDocument/2006/relationships/worksheet" Target="/xl/worksheets/sheet11.xml" Id="R96d264d0cb904026" /><Relationship Type="http://schemas.openxmlformats.org/officeDocument/2006/relationships/worksheet" Target="/xl/worksheets/sheet12.xml" Id="R70c3068a80e44663" /><Relationship Type="http://schemas.openxmlformats.org/officeDocument/2006/relationships/worksheet" Target="/xl/worksheets/sheet13.xml" Id="Rae33ac9adb7e4365" /><Relationship Type="http://schemas.openxmlformats.org/officeDocument/2006/relationships/worksheet" Target="/xl/worksheets/sheet14.xml" Id="Re3bf3a98542f4c7b" /><Relationship Type="http://schemas.openxmlformats.org/officeDocument/2006/relationships/worksheet" Target="/xl/worksheets/sheet15.xml" Id="Rfcdc67456df442ce" /><Relationship Type="http://schemas.openxmlformats.org/officeDocument/2006/relationships/worksheet" Target="/xl/worksheets/sheet16.xml" Id="Rc7e50d6fe5354457" /><Relationship Type="http://schemas.openxmlformats.org/officeDocument/2006/relationships/worksheet" Target="/xl/worksheets/sheet17.xml" Id="Ra4b6eb9e4eb0403b" /><Relationship Type="http://schemas.openxmlformats.org/officeDocument/2006/relationships/worksheet" Target="/xl/worksheets/sheet18.xml" Id="R9397c17efac94c6c" /><Relationship Type="http://schemas.openxmlformats.org/officeDocument/2006/relationships/worksheet" Target="/xl/worksheets/sheet19.xml" Id="R753206cc34a24414" /><Relationship Type="http://schemas.microsoft.com/office/2017/10/relationships/person" Target="/xl/persons/person.xml" Id="Rd446739eaf7c429f" /></Relationships>
</file>

<file path=xl/persons/person.xml><?xml version="1.0" encoding="utf-8"?>
<xltc:personList xmlns:xltc="http://schemas.microsoft.com/office/spreadsheetml/2018/threadedcomments">
  <xltc:person displayName="Kian" id="{CDCFB182-ADB5-4BD8-BA96-3C8396DA9E8D}"/>
</xltc:personList>
</file>

<file path=xl/tables/table1.xml><?xml version="1.0" encoding="utf-8"?>
<x:table xmlns:x="http://schemas.openxmlformats.org/spreadsheetml/2006/main" id="4" name="CCAReviewRegister" displayName="CCAReviewRegister" ref="A4:N294" headerRowCount="1" totalsRowCount="0" totalsRowShown="0">
  <x:tableColumns count="14">
    <x:tableColumn id="1" name="ID"/>
    <x:tableColumn id="2" name="Review domain"/>
    <x:tableColumn id="3" name="Priority"/>
    <x:tableColumn id="4" name="Earliest principal gate"/>
    <x:tableColumn id="5" name="Review question"/>
    <x:tableColumn id="6" name="Required evidence / closure"/>
    <x:tableColumn id="7" name="Evidence status"/>
    <x:tableColumn id="8" name="Reviewer / discipline"/>
    <x:tableColumn id="9" name="Finding and next action"/>
    <x:tableColumn id="10" name="Current evidence / confidence"/>
    <x:tableColumn id="11" name="Applicability"/>
    <x:tableColumn id="12" name="Source basis"/>
    <x:tableColumn id="13" name="Source URL"/>
    <x:tableColumn id="14" name="Closure"/>
  </x:tableColumns>
  <x:tableStyleInfo name="TableStyleMedium2" showFirstColumn="0" showLastColumn="0" showRowStripes="1" showColumnStripes="0"/>
</x:table>
</file>

<file path=xl/tables/table2.xml><?xml version="1.0" encoding="utf-8"?>
<x:table xmlns:x="http://schemas.openxmlformats.org/spreadsheetml/2006/main" id="2" name="CCABaseline" displayName="CCABaseline" ref="A3:E12" headerRowCount="1" totalsRowCount="0" totalsRowShown="0">
  <x:tableColumns count="5">
    <x:tableColumn id="1" name="Record"/>
    <x:tableColumn id="2" name="Historical / controlled baseline"/>
    <x:tableColumn id="3" name="Review implication"/>
    <x:tableColumn id="4" name="Source and locator"/>
    <x:tableColumn id="5" name="Current status / caution"/>
  </x:tableColumns>
  <x:tableStyleInfo name="TableStyleMedium2" showFirstColumn="0" showLastColumn="0" showRowStripes="1" showColumnStripes="0"/>
</x:table>
</file>

<file path=xl/tables/table3.xml><?xml version="1.0" encoding="utf-8"?>
<x:table xmlns:x="http://schemas.openxmlformats.org/spreadsheetml/2006/main" id="3" name="CCASources" displayName="CCASources" ref="A3:F23" headerRowCount="1" totalsRowCount="0" totalsRowShown="0">
  <x:tableColumns count="6">
    <x:tableColumn id="1" name="Source ID"/>
    <x:tableColumn id="2" name="Type"/>
    <x:tableColumn id="3" name="Document / title"/>
    <x:tableColumn id="4" name="Plain-text source URL"/>
    <x:tableColumn id="5" name="Use and limitation"/>
    <x:tableColumn id="6" name="Review context date"/>
  </x:tableColumns>
  <x:tableStyleInfo name="TableStyleMedium2" showFirstColumn="0" showLastColumn="0" showRowStripes="1" showColumnStripes="0"/>
</x:table>
</file>

<file path=xl/tables/table4.xml><?xml version="1.0" encoding="utf-8"?>
<x:table xmlns:x="http://schemas.openxmlformats.org/spreadsheetml/2006/main" id="5" name="ERBFindings" displayName="ERBFindings" ref="A4:H51" headerRowCount="1" totalsRowCount="0" totalsRowShown="0">
  <x:tableColumns count="8">
    <x:tableColumn id="1" name="ID"/>
    <x:tableColumn id="2" name="Status"/>
    <x:tableColumn id="3" name="Category / scope"/>
    <x:tableColumn id="4" name="Original observation"/>
    <x:tableColumn id="5" name="Correction / action"/>
    <x:tableColumn id="6" name="Remaining / closure scope"/>
    <x:tableColumn id="7" name="Affected rows"/>
    <x:tableColumn id="8" name="Evidence"/>
  </x:tableColumns>
  <x:tableStyleInfo name="TableStyleMedium2" showFirstColumn="0" showLastColumn="0" showRowStripes="1" showColumnStripes="0"/>
</x:table>
</file>

<file path=xl/tables/table5.xml><?xml version="1.0" encoding="utf-8"?>
<x:table xmlns:x="http://schemas.openxmlformats.org/spreadsheetml/2006/main" id="6" name="BoardVetting" displayName="BoardVetting" ref="A4:O294" headerRowCount="1" totalsRowCount="0" totalsRowShown="0">
  <x:tableColumns count="15">
    <x:tableColumn id="1" name="Question ID"/>
    <x:tableColumn id="2" name="Domain"/>
    <x:tableColumn id="3" name="Expected condition"/>
    <x:tableColumn id="4" name="Observed actual board / source"/>
    <x:tableColumn id="5" name="Specific delta"/>
    <x:tableColumn id="6" name="Evidence status"/>
    <x:tableColumn id="7" name="Criterion closure"/>
    <x:tableColumn id="8" name="RVB-17 closure"/>
    <x:tableColumn id="9" name="Verification method"/>
    <x:tableColumn id="10" name="Actual objects / coordinates"/>
    <x:tableColumn id="11" name="Evidence path / locator"/>
    <x:tableColumn id="12" name="Remaining work / limitations"/>
    <x:tableColumn id="13" name="Source investigation complete"/>
    <x:tableColumn id="14" name="Physical evidence needed"/>
    <x:tableColumn id="15" name="Priority"/>
  </x:tableColumns>
  <x:tableStyleInfo name="TableStyleMedium2" showFirstColumn="0" showLastColumn="0" showRowStripes="1" showColumnStripes="0"/>
</x:table>
</file>

<file path=xl/tables/table6.xml><?xml version="1.0" encoding="utf-8"?>
<x:table xmlns:x="http://schemas.openxmlformats.org/spreadsheetml/2006/main" id="7" name="CurrentDeltas" displayName="CurrentDeltas" ref="A4:I34" headerRowCount="1" totalsRowCount="0" totalsRowShown="0">
  <x:tableColumns count="9">
    <x:tableColumn id="1" name="ID"/>
    <x:tableColumn id="2" name="Status"/>
    <x:tableColumn id="3" name="Scope / discipline"/>
    <x:tableColumn id="4" name="Actual finding"/>
    <x:tableColumn id="5" name="Mechanism / delta"/>
    <x:tableColumn id="6" name="Required action"/>
    <x:tableColumn id="7" name="Correction this audit"/>
    <x:tableColumn id="8" name="Affected questions"/>
    <x:tableColumn id="9" name="Evidence"/>
  </x:tableColumns>
  <x:tableStyleInfo name="TableStyleMedium2" showFirstColumn="0" showLastColumn="0" showRowStripes="1" showColumnStripes="0"/>
</x:table>
</file>

<file path=xl/tables/table7.xml><?xml version="1.0" encoding="utf-8"?>
<x:table xmlns:x="http://schemas.openxmlformats.org/spreadsheetml/2006/main" id="8" name="OnlineResolution" displayName="OnlineResolution" ref="A4:K294" headerRowCount="1" totalsRowCount="0" totalsRowShown="0">
  <x:tableColumns count="11">
    <x:tableColumn id="1" name="ID"/>
    <x:tableColumn id="2" name="Domain"/>
    <x:tableColumn id="3" name="Online evidence status"/>
    <x:tableColumn id="4" name="Actual result / correction / limitation"/>
    <x:tableColumn id="5" name="Online action complete"/>
    <x:tableColumn id="6" name="Prior criterion closure"/>
    <x:tableColumn id="7" name="Current criterion closure"/>
    <x:tableColumn id="8" name="Method"/>
    <x:tableColumn id="9" name="Evidence"/>
    <x:tableColumn id="10" name="Remaining original acceptance"/>
    <x:tableColumn id="11" name="Final review groups"/>
  </x:tableColumns>
  <x:tableStyleInfo name="TableStyleMedium2" showFirstColumn="0" showLastColumn="0" showRowStripes="1" showColumnStripes="0"/>
</x:table>
</file>

<file path=xl/tables/table8.xml><?xml version="1.0" encoding="utf-8"?>
<x:table xmlns:x="http://schemas.openxmlformats.org/spreadsheetml/2006/main" id="9" name="FinalReview" displayName="FinalReview" ref="A4:G12" headerRowCount="1" totalsRowCount="0" totalsRowShown="0">
  <x:tableColumns count="7">
    <x:tableColumn id="1" name="ID"/>
    <x:tableColumn id="2" name="Status"/>
    <x:tableColumn id="3" name="Scope"/>
    <x:tableColumn id="4" name="Online result"/>
    <x:tableColumn id="5" name="What remains / why online is insufficient"/>
    <x:tableColumn id="6" name="Evidence"/>
    <x:tableColumn id="7" name="Physical test passed"/>
  </x:tableColumns>
  <x:tableStyleInfo name="TableStyleMedium2" showFirstColumn="0" showLastColumn="0" showRowStripes="1" showColumnStripes="0"/>
</x:table>
</file>

<file path=xl/tables/table9.xml><?xml version="1.0" encoding="utf-8"?>
<x:table xmlns:x="http://schemas.openxmlformats.org/spreadsheetml/2006/main" id="10" name="RVB21Changes" displayName="RVB21Changes" ref="A4:F21" headerRowCount="1" totalsRowCount="0" totalsRowShown="0">
  <x:tableColumns count="6">
    <x:tableColumn id="1" name="ID"/>
    <x:tableColumn id="2" name="Change"/>
    <x:tableColumn id="3" name="Result"/>
    <x:tableColumn id="4" name="Source state"/>
    <x:tableColumn id="5" name="Remaining work"/>
    <x:tableColumn id="6" name="Evidence"/>
  </x:tableColumns>
  <x:tableStyleInfo name="TableStyleMedium2" showFirstColumn="0" showLastColumn="0" showRowStripes="1" showColumnStripes="0"/>
</x:table>
</file>

<file path=xl/tables/table10.xml><?xml version="1.0" encoding="utf-8"?>
<x:table xmlns:x="http://schemas.openxmlformats.org/spreadsheetml/2006/main" id="11" name="RVB22CriteriaTable" displayName="RVB22CriteriaTable" ref="A4:G294" headerRowCount="1" totalsRowCount="0" totalsRowShown="0">
  <x:tableColumns count="7">
    <x:tableColumn id="1" name="Criterion"/>
    <x:tableColumn id="2" name="Closure"/>
    <x:tableColumn id="3" name="Desktop status"/>
    <x:tableColumn id="4" name="Evidence status"/>
    <x:tableColumn id="5" name="Current observation"/>
    <x:tableColumn id="6" name="Remaining condition"/>
    <x:tableColumn id="7" name="Evidence paths"/>
  </x:tableColumns>
  <x:tableStyleInfo name="TableStyleMedium2" showFirstColumn="0" showLastColumn="0" showRowStripes="1" showColumnStripes="0"/>
</x:table>
</file>

<file path=xl/tables/table11.xml><?xml version="1.0" encoding="utf-8"?>
<x:table xmlns:x="http://schemas.openxmlformats.org/spreadsheetml/2006/main" id="12" name="RVB22RedlinesTable" displayName="RVB22RedlinesTable" ref="A4:F355" headerRowCount="1" totalsRowCount="0" totalsRowShown="0">
  <x:tableColumns count="6">
    <x:tableColumn id="1" name="Redline"/>
    <x:tableColumn id="2" name="Lane"/>
    <x:tableColumn id="3" name="Status"/>
    <x:tableColumn id="4" name="Finding"/>
    <x:tableColumn id="5" name="Correction / disposition"/>
    <x:tableColumn id="6" name="Evidence paths"/>
  </x:tableColumns>
  <x:tableStyleInfo name="TableStyleMedium2" showFirstColumn="0" showLastColumn="0" showRowStripes="1" showColumnStripes="0"/>
</x:table>
</file>

<file path=xl/tables/table12.xml><?xml version="1.0" encoding="utf-8"?>
<x:table xmlns:x="http://schemas.openxmlformats.org/spreadsheetml/2006/main" id="13" name="RVB22InputsTable" displayName="RVB22InputsTable" ref="A4:C44" headerRowCount="1" totalsRowCount="0" totalsRowShown="0">
  <x:tableColumns count="3">
    <x:tableColumn id="1" name="Input / bound"/>
    <x:tableColumn id="2" name="Value"/>
    <x:tableColumn id="3" name="Basis / source"/>
  </x:tableColumns>
  <x:tableStyleInfo name="TableStyleMedium2" showFirstColumn="0" showLastColumn="0" showRowStripes="1" showColumnStripes="0"/>
</x:table>
</file>

<file path=xl/tables/table13.xml><?xml version="1.0" encoding="utf-8"?>
<x:table xmlns:x="http://schemas.openxmlformats.org/spreadsheetml/2006/main" id="15" name="RVB22IterationsTable" displayName="RVB22IterationsTable" ref="A4:D10" headerRowCount="1" totalsRowCount="0" totalsRowShown="0">
  <x:tableColumns count="4">
    <x:tableColumn id="1" name="Iteration"/>
    <x:tableColumn id="2" name="Effectivity"/>
    <x:tableColumn id="3" name="Source / verification record"/>
    <x:tableColumn id="4" name="Evidence"/>
  </x:tableColumns>
  <x:tableStyleInfo name="TableStyleMedium2" showFirstColumn="0" showLastColumn="0" showRowStripes="1" showColumnStripes="0"/>
</x:table>
</file>

<file path=xl/tables/table14.xml><?xml version="1.0" encoding="utf-8"?>
<x:table xmlns:x="http://schemas.openxmlformats.org/spreadsheetml/2006/main" id="14" name="RVB22GatesTable" displayName="RVB22GatesTable" ref="A4:D15" headerRowCount="1" totalsRowCount="0" totalsRowShown="0">
  <x:tableColumns count="4">
    <x:tableColumn id="1" name="Gate"/>
    <x:tableColumn id="2" name="Status"/>
    <x:tableColumn id="3" name="Description"/>
    <x:tableColumn id="4" name="Closure action"/>
  </x:tableColumns>
  <x:tableStyleInfo name="TableStyleMedium2" showFirstColumn="0" showLastColumn="0" showRowStripes="1" showColumnStripes="0"/>
</x:table>
</file>

<file path=xl/tables/table15.xml><?xml version="1.0" encoding="utf-8"?>
<x:table xmlns:x="http://schemas.openxmlformats.org/spreadsheetml/2006/main" id="16" name="RVB22EvidenceTable" displayName="RVB22EvidenceTable" ref="A4:C1647" headerRowCount="1" totalsRowCount="0" totalsRowShown="0">
  <x:tableColumns count="3">
    <x:tableColumn id="1" name="Criterion"/>
    <x:tableColumn id="2" name="Evidence path"/>
    <x:tableColumn id="3"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9-07T23:54:18.787" personId="{CDCFB182-ADB5-4BD8-BA96-3C8396DA9E8D}" id="{CA7BD738-A173-4B9B-B7AF-A210CFB30B01}">
    <xltc:text>Source: JLCPCB Standard PCBA published setup/stencil fees. https://jlcpcb.com/help/article/pcb-assembly-price ; accessed 2026-09-07. Excludes job-specific fees.</xltc:text>
  </xltc:threadedComment>
  <xltc:threadedComment ref="C6" dT="2026-09-07T23:54:18.796" personId="{CDCFB182-ADB5-4BD8-BA96-3C8396DA9E8D}" id="{11653CE8-CB05-4491-AABD-F88B56DE82E7}">
    <xltc:text>Source: JLCPCB Standard PCBA published setup/stencil fees. https://jlcpcb.com/help/article/pcb-assembly-price ; accessed 2026-09-07. Excludes job-specific fees.</xltc:text>
  </xltc:threadedComment>
  <xltc:threadedComment ref="B7" dT="2026-09-07T23:54:18.796" personId="{CDCFB182-ADB5-4BD8-BA96-3C8396DA9E8D}" id="{C282656B-79A1-482A-AA63-1234BFC6D1B2}">
    <xltc:text>Source: JLCPCB Standard PCBA published setup/stencil fees. https://jlcpcb.com/help/article/pcb-assembly-price ; accessed 2026-09-07. Excludes job-specific fees.</xltc:text>
  </xltc:threadedComment>
  <xltc:threadedComment ref="C7" dT="2026-09-07T23:54:18.796" personId="{CDCFB182-ADB5-4BD8-BA96-3C8396DA9E8D}" id="{7F71A0F0-CD47-4448-AC26-23EBC88CC668}">
    <xltc:text>Source: JLCPCB Standard PCBA published setup/stencil fees. https://jlcpcb.com/help/article/pcb-assembly-price ; accessed 2026-09-07. Excludes job-specific fees.</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aee623ca03de46e2" /></Relationships>
</file>

<file path=xl/worksheets/_rels/sheet3.xml.rels>&#65279;<?xml version="1.0" encoding="utf-8"?><Relationships xmlns="http://schemas.openxmlformats.org/package/2006/relationships"><Relationship Type="http://schemas.openxmlformats.org/officeDocument/2006/relationships/table" Target="/xl/tables/table2.xml" Id="R4ba4bf4fa8234ef3" /></Relationships>
</file>

<file path=xl/worksheets/_rels/sheet5.xml.rels>&#65279;<?xml version="1.0" encoding="utf-8"?><Relationships xmlns="http://schemas.openxmlformats.org/package/2006/relationships"><Relationship Type="http://schemas.openxmlformats.org/officeDocument/2006/relationships/table" Target="/xl/tables/table3.xml" Id="R8d27c5ac28bc467e" /></Relationships>
</file>

<file path=xl/worksheets/_rels/sheet6.xml.rels>&#65279;<?xml version="1.0" encoding="utf-8"?><Relationships xmlns="http://schemas.openxmlformats.org/package/2006/relationships"><Relationship Type="http://schemas.openxmlformats.org/officeDocument/2006/relationships/table" Target="/xl/tables/table4.xml" Id="Rc95f7cc1ca7840e1" /></Relationships>
</file>

<file path=xl/worksheets/_rels/sheet7.xml.rels>&#65279;<?xml version="1.0" encoding="utf-8"?><Relationships xmlns="http://schemas.openxmlformats.org/package/2006/relationships"><Relationship Type="http://schemas.openxmlformats.org/officeDocument/2006/relationships/comments" Target="/xl/comments1.xml" Id="R0d1cfa43e9874dff" /><Relationship Type="http://schemas.openxmlformats.org/officeDocument/2006/relationships/vmlDrawing" Target="/xl/drawings/vmldrawing.vml" Id="Ra63f98c813374b4d" /><Relationship Type="http://schemas.microsoft.com/office/2017/10/relationships/threadedComment" Target="/xl/threadedcomments/threadedcomment.xml" Id="R5f376a25704549c5" /></Relationships>
</file>

<file path=xl/worksheets/_rels/sheet8.xml.rels>&#65279;<?xml version="1.0" encoding="utf-8"?><Relationships xmlns="http://schemas.openxmlformats.org/package/2006/relationships"><Relationship Type="http://schemas.openxmlformats.org/officeDocument/2006/relationships/table" Target="/xl/tables/table5.xml" Id="R70e9495bf6a5448a" /></Relationships>
</file>

<file path=xl/worksheets/_rels/sheet9.xml.rels>&#65279;<?xml version="1.0" encoding="utf-8"?><Relationships xmlns="http://schemas.openxmlformats.org/package/2006/relationships"><Relationship Type="http://schemas.openxmlformats.org/officeDocument/2006/relationships/table" Target="/xl/tables/table6.xml" Id="Rb559fdfac16642f7" /></Relationships>
</file>

<file path=xl/worksheets/_rels/sheet10.xml.rels>&#65279;<?xml version="1.0" encoding="utf-8"?><Relationships xmlns="http://schemas.openxmlformats.org/package/2006/relationships"><Relationship Type="http://schemas.openxmlformats.org/officeDocument/2006/relationships/table" Target="/xl/tables/table7.xml" Id="R5e28126cfd1a4f66" /></Relationships>
</file>

<file path=xl/worksheets/_rels/sheet11.xml.rels>&#65279;<?xml version="1.0" encoding="utf-8"?><Relationships xmlns="http://schemas.openxmlformats.org/package/2006/relationships"><Relationship Type="http://schemas.openxmlformats.org/officeDocument/2006/relationships/table" Target="/xl/tables/table8.xml" Id="Re32bf7ca7f42427b" /></Relationships>
</file>

<file path=xl/worksheets/_rels/sheet12.xml.rels>&#65279;<?xml version="1.0" encoding="utf-8"?><Relationships xmlns="http://schemas.openxmlformats.org/package/2006/relationships"><Relationship Type="http://schemas.openxmlformats.org/officeDocument/2006/relationships/table" Target="/xl/tables/table9.xml" Id="R77cbdd20825b4060" /></Relationships>
</file>

<file path=xl/worksheets/_rels/sheet14.xml.rels>&#65279;<?xml version="1.0" encoding="utf-8"?><Relationships xmlns="http://schemas.openxmlformats.org/package/2006/relationships"><Relationship Type="http://schemas.openxmlformats.org/officeDocument/2006/relationships/table" Target="/xl/tables/table10.xml" Id="Rc329ba677f9a49ef" /></Relationships>
</file>

<file path=xl/worksheets/_rels/sheet15.xml.rels>&#65279;<?xml version="1.0" encoding="utf-8"?><Relationships xmlns="http://schemas.openxmlformats.org/package/2006/relationships"><Relationship Type="http://schemas.openxmlformats.org/officeDocument/2006/relationships/table" Target="/xl/tables/table11.xml" Id="R355bc31c0dda4ae9" /></Relationships>
</file>

<file path=xl/worksheets/_rels/sheet16.xml.rels>&#65279;<?xml version="1.0" encoding="utf-8"?><Relationships xmlns="http://schemas.openxmlformats.org/package/2006/relationships"><Relationship Type="http://schemas.openxmlformats.org/officeDocument/2006/relationships/table" Target="/xl/tables/table12.xml" Id="Rd2efe341feef4d37" /></Relationships>
</file>

<file path=xl/worksheets/_rels/sheet17.xml.rels>&#65279;<?xml version="1.0" encoding="utf-8"?><Relationships xmlns="http://schemas.openxmlformats.org/package/2006/relationships"><Relationship Type="http://schemas.openxmlformats.org/officeDocument/2006/relationships/table" Target="/xl/tables/table13.xml" Id="Re0e85afe961d4fb3" /></Relationships>
</file>

<file path=xl/worksheets/_rels/sheet18.xml.rels>&#65279;<?xml version="1.0" encoding="utf-8"?><Relationships xmlns="http://schemas.openxmlformats.org/package/2006/relationships"><Relationship Type="http://schemas.openxmlformats.org/officeDocument/2006/relationships/table" Target="/xl/tables/table14.xml" Id="Rf8a7ef4575fd4ab6" /></Relationships>
</file>

<file path=xl/worksheets/_rels/sheet19.xml.rels>&#65279;<?xml version="1.0" encoding="utf-8"?><Relationships xmlns="http://schemas.openxmlformats.org/package/2006/relationships"><Relationship Type="http://schemas.openxmlformats.org/officeDocument/2006/relationships/table" Target="/xl/tables/table15.xml" Id="Rf25618f5426540de"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8" customHeight="1">
      <x:c r="A1" s="140" t="str">
        <x:v>GR86 CCA I21 corrective engineering</x:v>
      </x:c>
      <x:c r="B1" s="140" t="str">
        <x:v>GR86 CCA | RVB-21 CORRECTIVE ENGINEERING</x:v>
      </x:c>
      <x:c r="C1" s="140" t="str">
        <x:v>GR86 CCA | RVB-21 CORRECTIVE ENGINEERING</x:v>
      </x:c>
      <x:c r="D1" s="140" t="str">
        <x:v>GR86 CCA | RVB-21 CORRECTIVE ENGINEERING</x:v>
      </x:c>
      <x:c r="E1" s="140" t="str">
        <x:v>GR86 CCA | RVB-21 CORRECTIVE ENGINEERING</x:v>
      </x:c>
      <x:c r="F1" s="140" t="str">
        <x:v>GR86 CCA | RVB-21 CORRECTIVE ENGINEERING</x:v>
      </x:c>
      <x:c r="G1" s="140" t="str">
        <x:v>GR86 CCA | RVB-21 CORRECTIVE ENGINEERING</x:v>
      </x:c>
      <x:c r="H1" s="140" t="str">
        <x:v>GR86 CCA | RVB-21 CORRECTIVE ENGINEERING</x:v>
      </x:c>
    </x:row>
    <x:row r="2" ht="26" customHeight="1">
      <x:c r="A2" s="104"/>
      <x:c r="B2" s="104"/>
      <x:c r="C2" s="104"/>
      <x:c r="D2" s="104"/>
      <x:c r="E2" s="104"/>
      <x:c r="F2" s="104"/>
      <x:c r="G2" s="104"/>
      <x:c r="H2" s="104"/>
    </x:row>
    <x:row r="3" ht="55" customHeight="1">
      <x:c r="A3" s="145" t="str">
        <x:v>RVB22 applies source corrections, bounded equivalent models and criterion-by-criterion review to the recovered engineering checkpoint. See RVB22 Current for the controlling review and RVB22 Gates for remaining actions.</x:v>
      </x:c>
      <x:c r="B3" s="145" t="str">
        <x:v>Recovered and hash-verified the later RVB-20 checkpoint. This pass corrects analysis and traceability, implements additional CAD/firmware fixes, and reconciles each original review criterion.</x:v>
      </x:c>
      <x:c r="C3" s="145" t="str">
        <x:v>Recovered and hash-verified the later RVB-20 checkpoint. This pass corrects analysis and traceability, implements additional CAD/firmware fixes, and reconciles each original review criterion.</x:v>
      </x:c>
      <x:c r="D3" s="145" t="str">
        <x:v>Recovered and hash-verified the later RVB-20 checkpoint. This pass corrects analysis and traceability, implements additional CAD/firmware fixes, and reconciles each original review criterion.</x:v>
      </x:c>
      <x:c r="E3" s="145" t="str">
        <x:v>Recovered and hash-verified the later RVB-20 checkpoint. This pass corrects analysis and traceability, implements additional CAD/firmware fixes, and reconciles each original review criterion.</x:v>
      </x:c>
      <x:c r="F3" s="145" t="str">
        <x:v>Recovered and hash-verified the later RVB-20 checkpoint. This pass corrects analysis and traceability, implements additional CAD/firmware fixes, and reconciles each original review criterion.</x:v>
      </x:c>
      <x:c r="G3" s="145" t="str">
        <x:v>Recovered and hash-verified the later RVB-20 checkpoint. This pass corrects analysis and traceability, implements additional CAD/firmware fixes, and reconciles each original review criterion.</x:v>
      </x:c>
      <x:c r="H3" s="145" t="str">
        <x:v>Recovered and hash-verified the later RVB-20 checkpoint. This pass corrects analysis and traceability, implements additional CAD/firmware fixes, and reconciles each original review criterion.</x:v>
      </x:c>
    </x:row>
    <x:row r="4" ht="60" customHeight="1">
      <x:c r="A4" s="142" t="str">
        <x:v>Native checks complete; thermal engineering and qualification remain open</x:v>
      </x:c>
      <x:c r="B4" s="142" t="str">
        <x:v>PRODUCT RELEASE HOLD. The current manufactured-data/compiled-image baseline remains RVB-19. Staged changes require KiCad gates, affected output regeneration and an embedded rebuild before adoption.</x:v>
      </x:c>
      <x:c r="C4" s="142" t="str">
        <x:v>PRODUCT RELEASE HOLD. The current manufactured-data/compiled-image baseline remains RVB-19. Staged changes require KiCad gates, affected output regeneration and an embedded rebuild before adoption.</x:v>
      </x:c>
      <x:c r="D4" s="142" t="str">
        <x:v>PRODUCT RELEASE HOLD. The current manufactured-data/compiled-image baseline remains RVB-19. Staged changes require KiCad gates, affected output regeneration and an embedded rebuild before adoption.</x:v>
      </x:c>
      <x:c r="E4" s="142" t="str">
        <x:v>PRODUCT RELEASE HOLD. The current manufactured-data/compiled-image baseline remains RVB-19. Staged changes require KiCad gates, affected output regeneration and an embedded rebuild before adoption.</x:v>
      </x:c>
      <x:c r="F4" s="142" t="str">
        <x:v>PRODUCT RELEASE HOLD. The current manufactured-data/compiled-image baseline remains RVB-19. Staged changes require KiCad gates, affected output regeneration and an embedded rebuild before adoption.</x:v>
      </x:c>
      <x:c r="G4" s="142" t="str">
        <x:v>PRODUCT RELEASE HOLD. The current manufactured-data/compiled-image baseline remains RVB-19. Staged changes require KiCad gates, affected output regeneration and an embedded rebuild before adoption.</x:v>
      </x:c>
      <x:c r="H4" s="142" t="str">
        <x:v>PRODUCT RELEASE HOLD. The current manufactured-data/compiled-image baseline remains RVB-19. Staged changes require KiCad gates, affected output regeneration and an embedded rebuild before adoption.</x:v>
      </x:c>
    </x:row>
    <x:row r="5" ht="26" customHeight="1">
      <x:c r="A5" s="104"/>
      <x:c r="B5" s="104"/>
      <x:c r="C5" s="104"/>
      <x:c r="D5" s="104"/>
      <x:c r="E5" s="104"/>
      <x:c r="F5" s="104"/>
      <x:c r="G5" s="104"/>
      <x:c r="H5" s="104"/>
    </x:row>
    <x:row r="6" ht="38" customHeight="1">
      <x:c r="A6" s="149" t="str">
        <x:v>QUESTIONS</x:v>
      </x:c>
      <x:c r="B6" s="149" t="str">
        <x:v>QUESTIONS</x:v>
      </x:c>
      <x:c r="C6" s="149" t="str">
        <x:v>CRITERIA CLOSED</x:v>
      </x:c>
      <x:c r="D6" s="149" t="str">
        <x:v>CRITERIA CLOSED</x:v>
      </x:c>
      <x:c r="E6" s="149" t="str">
        <x:v>CRITERIA OPEN</x:v>
      </x:c>
      <x:c r="F6" s="149" t="str">
        <x:v>CRITERIA OPEN</x:v>
      </x:c>
      <x:c r="G6" s="149" t="str">
        <x:v>N/A</x:v>
      </x:c>
      <x:c r="H6" s="149" t="str">
        <x:v>N/A</x:v>
      </x:c>
    </x:row>
    <x:row r="7" ht="48" customHeight="1">
      <x:c r="A7" s="152" t="n">
        <x:f>COUNTA('Review Register'!$A$5:$A$294)</x:f>
        <x:v>290</x:v>
      </x:c>
      <x:c r="B7" s="152"/>
      <x:c r="C7" s="152" t="n">
        <x:f>COUNTIF('Review Register'!$N$5:$N$294,"CLOSED")</x:f>
        <x:v>134</x:v>
      </x:c>
      <x:c r="D7" s="152"/>
      <x:c r="E7" s="152" t="n">
        <x:f>COUNTIF('Review Register'!$N$5:$N$294,"OPEN")</x:f>
        <x:v>152</x:v>
      </x:c>
      <x:c r="F7" s="152"/>
      <x:c r="G7" s="152" t="n">
        <x:f>COUNTIF('Review Register'!$N$5:$N$294,"N/A")</x:f>
        <x:v>4</x:v>
      </x:c>
      <x:c r="H7" s="152"/>
    </x:row>
    <x:row r="8" ht="26" customHeight="1">
      <x:c r="A8" s="104"/>
      <x:c r="B8" s="104"/>
      <x:c r="C8" s="104"/>
      <x:c r="D8" s="104"/>
      <x:c r="E8" s="104"/>
      <x:c r="F8" s="104"/>
      <x:c r="G8" s="104"/>
      <x:c r="H8" s="104"/>
    </x:row>
    <x:row r="9" ht="40" customHeight="1">
      <x:c r="A9" s="148" t="str">
        <x:v>NET CRITERIA CLOSED SINCE USER BASELINE</x:v>
      </x:c>
      <x:c r="B9" s="148" t="str">
        <x:v>ADDITIONAL CRITERIA CLOSED THIS PASS</x:v>
      </x:c>
      <x:c r="C9" s="148" t="str">
        <x:v>ADDITIONAL CRITERIA CLOSED THIS PASS</x:v>
      </x:c>
      <x:c r="D9" s="148" t="str">
        <x:v>ADDITIONAL CRITERIA CLOSED THIS PASS</x:v>
      </x:c>
      <x:c r="E9" s="148" t="str">
        <x:v>ADDITIONAL CRITERIA CLOSED THIS PASS</x:v>
      </x:c>
      <x:c r="F9" s="148" t="str">
        <x:v>ADDITIONAL CRITERIA CLOSED THIS PASS</x:v>
      </x:c>
      <x:c r="G9" s="156" t="n">
        <x:f>C7-'RVB22 Inputs'!B5</x:f>
        <x:v>61</x:v>
      </x:c>
      <x:c r="H9" s="156"/>
    </x:row>
    <x:row r="10" ht="26" customHeight="1">
      <x:c r="A10" s="104"/>
      <x:c r="B10" s="104"/>
      <x:c r="C10" s="104"/>
      <x:c r="D10" s="104"/>
      <x:c r="E10" s="104"/>
      <x:c r="F10" s="104"/>
      <x:c r="G10" s="104"/>
      <x:c r="H10" s="104"/>
    </x:row>
    <x:row r="11" ht="70" customHeight="1">
      <x:c r="A11" s="145" t="str">
        <x:v>CURRENT SOURCE: corrected power/reset and input protection, U.FL launch, oil clamp/storage, firmware diagnostics/cadence, and mechanics/process instructions. The exact effectivity and model limits are recorded in the RVB22 tabs.</x:v>
      </x:c>
      <x:c r="B11" s="145" t="str">
        <x:v>IMPLEMENTED CANDIDATES: RF matching, reset supervisor, UART/CAN fault-resistance and D501 flow-through corrections; firmware CAN loss accounting, oil cadence, ADC recovery hysteresis and GPS epoch freshness. See combined CAD and final 30-file firmware manifests.</x:v>
      </x:c>
      <x:c r="C11" s="145" t="str">
        <x:v>IMPLEMENTED CANDIDATES: RF matching, reset supervisor, UART/CAN fault-resistance and D501 flow-through corrections; firmware CAN loss accounting, oil cadence, ADC recovery hysteresis and GPS epoch freshness. See combined CAD and final 30-file firmware manifests.</x:v>
      </x:c>
      <x:c r="D11" s="145" t="str">
        <x:v>IMPLEMENTED CANDIDATES: RF matching, reset supervisor, UART/CAN fault-resistance and D501 flow-through corrections; firmware CAN loss accounting, oil cadence, ADC recovery hysteresis and GPS epoch freshness. See combined CAD and final 30-file firmware manifests.</x:v>
      </x:c>
      <x:c r="E11" s="145" t="str">
        <x:v>IMPLEMENTED CANDIDATES: RF matching, reset supervisor, UART/CAN fault-resistance and D501 flow-through corrections; firmware CAN loss accounting, oil cadence, ADC recovery hysteresis and GPS epoch freshness. See combined CAD and final 30-file firmware manifests.</x:v>
      </x:c>
      <x:c r="F11" s="145" t="str">
        <x:v>IMPLEMENTED CANDIDATES: RF matching, reset supervisor, UART/CAN fault-resistance and D501 flow-through corrections; firmware CAN loss accounting, oil cadence, ADC recovery hysteresis and GPS epoch freshness. See combined CAD and final 30-file firmware manifests.</x:v>
      </x:c>
      <x:c r="G11" s="145" t="str">
        <x:v>IMPLEMENTED CANDIDATES: RF matching, reset supervisor, UART/CAN fault-resistance and D501 flow-through corrections; firmware CAN loss accounting, oil cadence, ADC recovery hysteresis and GPS epoch freshness. See combined CAD and final 30-file firmware manifests.</x:v>
      </x:c>
      <x:c r="H11" s="145" t="str">
        <x:v>IMPLEMENTED CANDIDATES: RF matching, reset supervisor, UART/CAN fault-resistance and D501 flow-through corrections; firmware CAN loss accounting, oil cadence, ADC recovery hysteresis and GPS epoch freshness. See combined CAD and final 30-file firmware manifests.</x:v>
      </x:c>
    </x:row>
    <x:row r="12" ht="26" customHeight="1">
      <x:c r="A12" s="104"/>
      <x:c r="B12" s="104"/>
      <x:c r="C12" s="104"/>
      <x:c r="D12" s="104"/>
      <x:c r="E12" s="104"/>
      <x:c r="F12" s="104"/>
      <x:c r="G12" s="104"/>
      <x:c r="H12" s="104"/>
    </x:row>
    <x:row r="13" ht="70" customHeight="1">
      <x:c r="A13" s="145" t="str">
        <x:v>POWER / RF: source-bound numerical results and exact component/route revisions are recorded in RVB22 Inputs and the evidence paths. Native tool execution and physical correlation are identified separately; passing finite cases are not unlimited guarantees.</x:v>
      </x:c>
      <x:c r="B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C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D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E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F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G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c r="H13" s="145" t="str">
        <x:v>RF/RESET: 20,736 bounded RF cases pass; worst return loss 10.7902 dB / insertion loss 0.7054 dB. Supervisor has passing declared static/startup/recovery screens; minimum declared stabilization margin 11.488 ms. Native validation is pending. Normal-load nuisance-reset susceptibility remains explicit.</x:v>
      </x:c>
    </x:row>
    <x:row r="14" ht="26" customHeight="1">
      <x:c r="A14" s="104"/>
      <x:c r="B14" s="104"/>
      <x:c r="C14" s="104"/>
      <x:c r="D14" s="104"/>
      <x:c r="E14" s="104"/>
      <x:c r="F14" s="104"/>
      <x:c r="G14" s="104"/>
      <x:c r="H14" s="104"/>
    </x:row>
    <x:row r="15" ht="70" customHeight="1">
      <x:c r="A15" s="145" t="str">
        <x:v>FIRMWARE: current source tests, configuration and build disposition are recorded per criterion. The existing historical tabs do not establish the current firmware image or build acceptance.</x:v>
      </x:c>
      <x:c r="B15" s="145" t="str">
        <x:v>FIRMWARE: actual-source tests pass for CAN loss/backpressure (19 each), oil cadence (900,106), ADC fault recovery (25,244), GPS queue/parser (612,033) and dated GPS epochs (23). Final 2.1.3 has no embedded image.</x:v>
      </x:c>
      <x:c r="C15" s="145" t="str">
        <x:v>FIRMWARE: actual-source tests pass for CAN loss/backpressure (19 each), oil cadence (900,106), ADC fault recovery (25,244), GPS queue/parser (612,033) and dated GPS epochs (23). Final 2.1.3 has no embedded image.</x:v>
      </x:c>
      <x:c r="D15" s="145" t="str">
        <x:v>FIRMWARE: actual-source tests pass for CAN loss/backpressure (19 each), oil cadence (900,106), ADC fault recovery (25,244), GPS queue/parser (612,033) and dated GPS epochs (23). Final 2.1.3 has no embedded image.</x:v>
      </x:c>
      <x:c r="E15" s="145" t="str">
        <x:v>FIRMWARE: actual-source tests pass for CAN loss/backpressure (19 each), oil cadence (900,106), ADC fault recovery (25,244), GPS queue/parser (612,033) and dated GPS epochs (23). Final 2.1.3 has no embedded image.</x:v>
      </x:c>
      <x:c r="F15" s="145" t="str">
        <x:v>FIRMWARE: actual-source tests pass for CAN loss/backpressure (19 each), oil cadence (900,106), ADC fault recovery (25,244), GPS queue/parser (612,033) and dated GPS epochs (23). Final 2.1.3 has no embedded image.</x:v>
      </x:c>
      <x:c r="G15" s="145" t="str">
        <x:v>FIRMWARE: actual-source tests pass for CAN loss/backpressure (19 each), oil cadence (900,106), ADC fault recovery (25,244), GPS queue/parser (612,033) and dated GPS epochs (23). Final 2.1.3 has no embedded image.</x:v>
      </x:c>
      <x:c r="H15" s="145" t="str">
        <x:v>FIRMWARE: actual-source tests pass for CAN loss/backpressure (19 each), oil cadence (900,106), ADC fault recovery (25,244), GPS queue/parser (612,033) and dated GPS epochs (23). Final 2.1.3 has no embedded image.</x:v>
      </x:c>
    </x:row>
    <x:row r="16" ht="26" customHeight="1">
      <x:c r="A16" s="104"/>
      <x:c r="B16" s="104"/>
      <x:c r="C16" s="104"/>
      <x:c r="D16" s="104"/>
      <x:c r="E16" s="104"/>
      <x:c r="F16" s="104"/>
      <x:c r="G16" s="104"/>
      <x:c r="H16" s="104"/>
    </x:row>
    <x:row r="17" ht="70" customHeight="1">
      <x:c r="A17" s="145" t="str">
        <x:v>OIL / INSTALLATION: exact sensor and harness bounds are explicit. Private-return, vehicle-ground and accessory conditions are retained in current evidence and gate actions.</x:v>
      </x:c>
      <x:c r="B17" s="145" t="str">
        <x:v>OIL/RETURN: actual endpoint and common-ground inspection covers 55 forward paths and 122 ground pads. Finite dip model gives 50 ms ≥45.887%, 100 ms ≥84.839%, step ≤132.5 ms. 100 nH return-stress failures and unknown RTN/off-state behavior remain explicit.</x:v>
      </x:c>
      <x:c r="C17" s="145" t="str">
        <x:v>OIL/RETURN: actual endpoint and common-ground inspection covers 55 forward paths and 122 ground pads. Finite dip model gives 50 ms ≥45.887%, 100 ms ≥84.839%, step ≤132.5 ms. 100 nH return-stress failures and unknown RTN/off-state behavior remain explicit.</x:v>
      </x:c>
      <x:c r="D17" s="145" t="str">
        <x:v>OIL/RETURN: actual endpoint and common-ground inspection covers 55 forward paths and 122 ground pads. Finite dip model gives 50 ms ≥45.887%, 100 ms ≥84.839%, step ≤132.5 ms. 100 nH return-stress failures and unknown RTN/off-state behavior remain explicit.</x:v>
      </x:c>
      <x:c r="E17" s="145" t="str">
        <x:v>OIL/RETURN: actual endpoint and common-ground inspection covers 55 forward paths and 122 ground pads. Finite dip model gives 50 ms ≥45.887%, 100 ms ≥84.839%, step ≤132.5 ms. 100 nH return-stress failures and unknown RTN/off-state behavior remain explicit.</x:v>
      </x:c>
      <x:c r="F17" s="145" t="str">
        <x:v>OIL/RETURN: actual endpoint and common-ground inspection covers 55 forward paths and 122 ground pads. Finite dip model gives 50 ms ≥45.887%, 100 ms ≥84.839%, step ≤132.5 ms. 100 nH return-stress failures and unknown RTN/off-state behavior remain explicit.</x:v>
      </x:c>
      <x:c r="G17" s="145" t="str">
        <x:v>OIL/RETURN: actual endpoint and common-ground inspection covers 55 forward paths and 122 ground pads. Finite dip model gives 50 ms ≥45.887%, 100 ms ≥84.839%, step ≤132.5 ms. 100 nH return-stress failures and unknown RTN/off-state behavior remain explicit.</x:v>
      </x:c>
      <x:c r="H17" s="145" t="str">
        <x:v>OIL/RETURN: actual endpoint and common-ground inspection covers 55 forward paths and 122 ground pads. Finite dip model gives 50 ms ≥45.887%, 100 ms ≥84.839%, step ≤132.5 ms. 100 nH return-stress failures and unknown RTN/off-state behavior remain explicit.</x:v>
      </x:c>
    </x:row>
    <x:row r="18" ht="26" customHeight="1">
      <x:c r="A18" s="104"/>
      <x:c r="B18" s="104"/>
      <x:c r="C18" s="104"/>
      <x:c r="D18" s="104"/>
      <x:c r="E18" s="104"/>
      <x:c r="F18" s="104"/>
      <x:c r="G18" s="104"/>
      <x:c r="H18" s="104"/>
    </x:row>
    <x:row r="19" ht="70" customHeight="1">
      <x:c r="A19" s="145" t="str">
        <x:v>ASSEMBLY / RELEASE: supplier process, filled/capped vias, component handling, mechanical fit and thermal installation requirements are controlled in current source and gates. Historical cost and qualification estimates are not current supplier acceptance.</x:v>
      </x:c>
      <x:c r="B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C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D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E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F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G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c r="H19" s="145" t="str">
        <x:v>PART/PROCESS: exact part/copper/thermal calculations distinguish limits from typical estimates. F101 fuse peak255–260°C conflicts with the ESP/L406 full-board profile. Canonical49 and combined-candidate48 exact-MPN MSL fields remain unknown; actual process acceptance is pending.</x:v>
      </x:c>
    </x:row>
    <x:row r="20" ht="26" customHeight="1">
      <x:c r="A20" s="104"/>
      <x:c r="B20" s="104"/>
      <x:c r="C20" s="104"/>
      <x:c r="D20" s="104"/>
      <x:c r="E20" s="104"/>
      <x:c r="F20" s="104"/>
      <x:c r="G20" s="104"/>
      <x:c r="H20" s="104"/>
    </x:row>
    <x:row r="21" ht="70" customHeight="1">
      <x:c r="A21" s="142" t="str">
        <x:v>ORIGINAL CRITERIA: 114 closed / 172 open / 4 N/A. 7 additional requirements close against original wording. Source/model estimates, implemented candidates and actual hardware/supplier acceptance have distinct statuses; open count has not been forced to zero.</x:v>
      </x:c>
      <x:c r="B21" s="142" t="str">
        <x:v>ORIGINAL CRITERIA: 114 closed / 172 open / 4 N/A. 7 additional requirements close against original wording. Source/model estimates, implemented candidates and actual hardware/supplier acceptance have distinct statuses; open count has not been forced to zero.</x:v>
      </x:c>
      <x:c r="C21" s="142" t="str">
        <x:v>ORIGINAL CRITERIA: 114 closed / 172 open / 4 N/A. 7 additional requirements close against original wording. Source/model estimates, implemented candidates and actual hardware/supplier acceptance have distinct statuses; open count has not been forced to zero.</x:v>
      </x:c>
      <x:c r="D21" s="142" t="str">
        <x:v>ORIGINAL CRITERIA: 114 closed / 172 open / 4 N/A. 7 additional requirements close against original wording. Source/model estimates, implemented candidates and actual hardware/supplier acceptance have distinct statuses; open count has not been forced to zero.</x:v>
      </x:c>
      <x:c r="E21" s="142" t="str">
        <x:v>ORIGINAL CRITERIA: 114 closed / 172 open / 4 N/A. 7 additional requirements close against original wording. Source/model estimates, implemented candidates and actual hardware/supplier acceptance have distinct statuses; open count has not been forced to zero.</x:v>
      </x:c>
      <x:c r="F21" s="142" t="str">
        <x:v>ORIGINAL CRITERIA: 114 closed / 172 open / 4 N/A. 7 additional requirements close against original wording. Source/model estimates, implemented candidates and actual hardware/supplier acceptance have distinct statuses; open count has not been forced to zero.</x:v>
      </x:c>
      <x:c r="G21" s="142" t="str">
        <x:v>ORIGINAL CRITERIA: 114 closed / 172 open / 4 N/A. 7 additional requirements close against original wording. Source/model estimates, implemented candidates and actual hardware/supplier acceptance have distinct statuses; open count has not been forced to zero.</x:v>
      </x:c>
      <x:c r="H21" s="142" t="str">
        <x:v>ORIGINAL CRITERIA: 114 closed / 172 open / 4 N/A. 7 additional requirements close against original wording. Source/model estimates, implemented candidates and actual hardware/supplier acceptance have distinct statuses; open count has not been forced to zero.</x:v>
      </x:c>
    </x:row>
    <x:row r="22" ht="26" customHeight="1">
      <x:c r="A22" s="104"/>
      <x:c r="B22" s="104"/>
      <x:c r="C22" s="104"/>
      <x:c r="D22" s="104"/>
      <x:c r="E22" s="104"/>
      <x:c r="F22" s="104"/>
      <x:c r="G22" s="104"/>
      <x:c r="H22" s="104"/>
    </x:row>
    <x:row r="23" ht="70" customHeight="1">
      <x:c r="A23" s="142" t="str">
        <x:v>CURRENT SOURCE: canonical RVB-19 retains source-bound zero-unconnected/unwaived-electrical findings and compiled 2.1.2. Combined corrective CAD and final 2.1.3 source remain pending native/target gates, output regeneration and adoption.</x:v>
      </x:c>
      <x:c r="B23" s="142" t="str">
        <x:v>CURRENT SOURCE: canonical RVB-19 retains source-bound zero-unconnected/unwaived-electrical findings and compiled 2.1.2. Combined corrective CAD and final 2.1.3 source remain pending native/target gates, output regeneration and adoption.</x:v>
      </x:c>
      <x:c r="C23" s="142" t="str">
        <x:v>CURRENT SOURCE: canonical RVB-19 retains source-bound zero-unconnected/unwaived-electrical findings and compiled 2.1.2. Combined corrective CAD and final 2.1.3 source remain pending native/target gates, output regeneration and adoption.</x:v>
      </x:c>
      <x:c r="D23" s="142" t="str">
        <x:v>CURRENT SOURCE: canonical RVB-19 retains source-bound zero-unconnected/unwaived-electrical findings and compiled 2.1.2. Combined corrective CAD and final 2.1.3 source remain pending native/target gates, output regeneration and adoption.</x:v>
      </x:c>
      <x:c r="E23" s="142" t="str">
        <x:v>CURRENT SOURCE: canonical RVB-19 retains source-bound zero-unconnected/unwaived-electrical findings and compiled 2.1.2. Combined corrective CAD and final 2.1.3 source remain pending native/target gates, output regeneration and adoption.</x:v>
      </x:c>
      <x:c r="F23" s="142" t="str">
        <x:v>CURRENT SOURCE: canonical RVB-19 retains source-bound zero-unconnected/unwaived-electrical findings and compiled 2.1.2. Combined corrective CAD and final 2.1.3 source remain pending native/target gates, output regeneration and adoption.</x:v>
      </x:c>
      <x:c r="G23" s="142" t="str">
        <x:v>CURRENT SOURCE: canonical RVB-19 retains source-bound zero-unconnected/unwaived-electrical findings and compiled 2.1.2. Combined corrective CAD and final 2.1.3 source remain pending native/target gates, output regeneration and adoption.</x:v>
      </x:c>
      <x:c r="H23" s="142" t="str">
        <x:v>CURRENT SOURCE: canonical RVB-19 retains source-bound zero-unconnected/unwaived-electrical findings and compiled 2.1.2. Combined corrective CAD and final 2.1.3 source remain pending native/target gates, output regeneration and adoption.</x:v>
      </x:c>
    </x:row>
    <x:row r="24" ht="26" customHeight="1">
      <x:c r="A24" s="104"/>
      <x:c r="B24" s="104"/>
      <x:c r="C24" s="104"/>
      <x:c r="D24" s="104"/>
      <x:c r="E24" s="104"/>
      <x:c r="F24" s="104"/>
      <x:c r="G24" s="104"/>
      <x:c r="H24" s="104"/>
    </x:row>
    <x:row r="25" ht="70" customHeight="1">
      <x:c r="A25" s="145" t="str">
        <x:v>READING ORDER: RVB21 Changes; Final Review; Online Resolution; Review Register. SOURCE_EFFECTIVITY.md and RELEASE_MANIFEST.json identify exact current and staged sources. Historical tabs retain dated context.</x:v>
      </x:c>
      <x:c r="B25" s="145" t="str">
        <x:v>READING ORDER: RVB21 Changes; Final Review; Online Resolution; Review Register. SOURCE_EFFECTIVITY.md and RELEASE_MANIFEST.json identify exact current and staged sources. Historical tabs retain dated context.</x:v>
      </x:c>
      <x:c r="C25" s="145" t="str">
        <x:v>READING ORDER: RVB21 Changes; Final Review; Online Resolution; Review Register. SOURCE_EFFECTIVITY.md and RELEASE_MANIFEST.json identify exact current and staged sources. Historical tabs retain dated context.</x:v>
      </x:c>
      <x:c r="D25" s="145" t="str">
        <x:v>READING ORDER: RVB21 Changes; Final Review; Online Resolution; Review Register. SOURCE_EFFECTIVITY.md and RELEASE_MANIFEST.json identify exact current and staged sources. Historical tabs retain dated context.</x:v>
      </x:c>
      <x:c r="E25" s="145" t="str">
        <x:v>READING ORDER: RVB21 Changes; Final Review; Online Resolution; Review Register. SOURCE_EFFECTIVITY.md and RELEASE_MANIFEST.json identify exact current and staged sources. Historical tabs retain dated context.</x:v>
      </x:c>
      <x:c r="F25" s="145" t="str">
        <x:v>READING ORDER: RVB21 Changes; Final Review; Online Resolution; Review Register. SOURCE_EFFECTIVITY.md and RELEASE_MANIFEST.json identify exact current and staged sources. Historical tabs retain dated context.</x:v>
      </x:c>
      <x:c r="G25" s="145" t="str">
        <x:v>READING ORDER: RVB21 Changes; Final Review; Online Resolution; Review Register. SOURCE_EFFECTIVITY.md and RELEASE_MANIFEST.json identify exact current and staged sources. Historical tabs retain dated context.</x:v>
      </x:c>
      <x:c r="H25" s="145" t="str">
        <x:v>READING ORDER: RVB21 Changes; Final Review; Online Resolution; Review Register. SOURCE_EFFECTIVITY.md and RELEASE_MANIFEST.json identify exact current and staged sources. Historical tabs retain dated context.</x:v>
      </x:c>
    </x:row>
    <x:row r="26" ht="26" customHeight="1">
      <x:c r="A26" s="104"/>
      <x:c r="B26" s="104"/>
      <x:c r="C26" s="104"/>
      <x:c r="D26" s="104"/>
      <x:c r="E26" s="104"/>
      <x:c r="F26" s="104"/>
      <x:c r="G26" s="104"/>
      <x:c r="H26" s="104"/>
    </x:row>
    <x:row r="27" ht="70" customHeight="1">
      <x:c r="A27" s="145" t="str">
        <x:v>REMAINING: native/embedded execution and matching outputs; exact device/process/antenna/installation limits; physical and supplier acceptance. Review failed and uncertain model cases before adoption. No physical pass, source promotion or order is recorded.</x:v>
      </x:c>
      <x:c r="B27" s="145" t="str">
        <x:v>REMAINING: native/embedded execution and matching outputs; exact device/process/antenna/installation limits; physical and supplier acceptance. Review failed and uncertain model cases before adoption. No physical pass, source promotion or order is recorded.</x:v>
      </x:c>
      <x:c r="C27" s="145" t="str">
        <x:v>REMAINING: native/embedded execution and matching outputs; exact device/process/antenna/installation limits; physical and supplier acceptance. Review failed and uncertain model cases before adoption. No physical pass, source promotion or order is recorded.</x:v>
      </x:c>
      <x:c r="D27" s="145" t="str">
        <x:v>REMAINING: native/embedded execution and matching outputs; exact device/process/antenna/installation limits; physical and supplier acceptance. Review failed and uncertain model cases before adoption. No physical pass, source promotion or order is recorded.</x:v>
      </x:c>
      <x:c r="E27" s="145" t="str">
        <x:v>REMAINING: native/embedded execution and matching outputs; exact device/process/antenna/installation limits; physical and supplier acceptance. Review failed and uncertain model cases before adoption. No physical pass, source promotion or order is recorded.</x:v>
      </x:c>
      <x:c r="F27" s="145" t="str">
        <x:v>REMAINING: native/embedded execution and matching outputs; exact device/process/antenna/installation limits; physical and supplier acceptance. Review failed and uncertain model cases before adoption. No physical pass, source promotion or order is recorded.</x:v>
      </x:c>
      <x:c r="G27" s="145" t="str">
        <x:v>REMAINING: native/embedded execution and matching outputs; exact device/process/antenna/installation limits; physical and supplier acceptance. Review failed and uncertain model cases before adoption. No physical pass, source promotion or order is recorded.</x:v>
      </x:c>
      <x:c r="H27" s="145" t="str">
        <x:v>REMAINING: native/embedded execution and matching outputs; exact device/process/antenna/installation limits; physical and supplier acceptance. Review failed and uncertain model cases before adoption. No physical pass, source promotion or order is recorded.</x:v>
      </x:c>
    </x:row>
    <x:row r="28" ht="26" customHeight="1">
      <x:c r="A28" s="104"/>
      <x:c r="B28" s="104"/>
      <x:c r="C28" s="104"/>
      <x:c r="D28" s="104"/>
      <x:c r="E28" s="104"/>
      <x:c r="F28" s="104"/>
      <x:c r="G28" s="104"/>
      <x:c r="H28" s="104"/>
    </x:row>
    <x:row r="29" ht="26" customHeight="1">
      <x:c r="A29" s="104"/>
      <x:c r="B29" s="104"/>
      <x:c r="C29" s="104"/>
      <x:c r="D29" s="104"/>
      <x:c r="E29" s="104"/>
      <x:c r="F29" s="104"/>
      <x:c r="G29" s="104"/>
      <x:c r="H29" s="104"/>
    </x:row>
    <x:row r="30" ht="26" customHeight="1">
      <x:c r="A30" s="104"/>
      <x:c r="B30" s="104"/>
      <x:c r="C30" s="104"/>
      <x:c r="D30" s="104"/>
      <x:c r="E30" s="104"/>
      <x:c r="F30" s="104"/>
      <x:c r="G30" s="104"/>
      <x:c r="H30" s="104"/>
    </x:row>
    <x:row r="31" ht="26" customHeight="1">
      <x:c r="A31" s="104"/>
      <x:c r="B31" s="104"/>
      <x:c r="C31" s="104"/>
      <x:c r="D31" s="104"/>
      <x:c r="E31" s="104"/>
      <x:c r="F31" s="104"/>
      <x:c r="G31" s="104"/>
      <x:c r="H31" s="104"/>
    </x:row>
    <x:row r="32" ht="26" customHeight="1">
      <x:c r="A32" s="104"/>
      <x:c r="B32" s="104"/>
      <x:c r="C32" s="104"/>
      <x:c r="D32" s="104"/>
      <x:c r="E32" s="104"/>
      <x:c r="F32" s="104"/>
      <x:c r="G32" s="104"/>
      <x:c r="H32" s="104"/>
    </x:row>
    <x:row r="33" ht="26" customHeight="1">
      <x:c r="A33" s="104"/>
      <x:c r="B33" s="104"/>
      <x:c r="C33" s="104"/>
      <x:c r="D33" s="104"/>
      <x:c r="E33" s="104"/>
      <x:c r="F33" s="104"/>
      <x:c r="G33" s="104"/>
      <x:c r="H33" s="104"/>
    </x:row>
    <x:row r="34" ht="26" customHeight="1">
      <x:c r="A34" s="104"/>
      <x:c r="B34" s="104"/>
      <x:c r="C34" s="104"/>
      <x:c r="D34" s="104"/>
      <x:c r="E34" s="104"/>
      <x:c r="F34" s="104"/>
      <x:c r="G34" s="104"/>
      <x:c r="H34" s="104"/>
    </x:row>
    <x:row r="35" ht="26" customHeight="1">
      <x:c r="A35" s="104"/>
      <x:c r="B35" s="104"/>
      <x:c r="C35" s="104"/>
      <x:c r="D35" s="104"/>
      <x:c r="E35" s="104"/>
      <x:c r="F35" s="104"/>
      <x:c r="G35" s="104"/>
      <x:c r="H35" s="104"/>
    </x:row>
    <x:row r="36" ht="26" customHeight="1">
      <x:c r="A36" s="104"/>
      <x:c r="B36" s="104"/>
      <x:c r="C36" s="104"/>
      <x:c r="D36" s="104"/>
      <x:c r="E36" s="104"/>
      <x:c r="F36" s="104"/>
      <x:c r="G36" s="104"/>
      <x:c r="H36" s="104"/>
    </x:row>
    <x:row r="37" ht="26" customHeight="1">
      <x:c r="A37" s="104"/>
      <x:c r="B37" s="104"/>
      <x:c r="C37" s="104"/>
      <x:c r="D37" s="104"/>
      <x:c r="E37" s="104"/>
      <x:c r="F37" s="104"/>
      <x:c r="G37" s="104"/>
      <x:c r="H37" s="104"/>
    </x:row>
    <x:row r="38" ht="26" customHeight="1">
      <x:c r="A38" s="104"/>
      <x:c r="B38" s="104"/>
      <x:c r="C38" s="104"/>
      <x:c r="D38" s="104"/>
      <x:c r="E38" s="104"/>
      <x:c r="F38" s="104"/>
      <x:c r="G38" s="104"/>
      <x:c r="H38" s="104"/>
    </x:row>
    <x:row r="39" ht="26" customHeight="1">
      <x:c r="A39" s="104"/>
      <x:c r="B39" s="104"/>
      <x:c r="C39" s="104"/>
      <x:c r="D39" s="104"/>
      <x:c r="E39" s="104"/>
      <x:c r="F39" s="104"/>
      <x:c r="G39" s="104"/>
      <x:c r="H39" s="104"/>
    </x:row>
    <x:row r="40" ht="26" customHeight="1">
      <x:c r="A40" s="104"/>
      <x:c r="B40" s="104"/>
      <x:c r="C40" s="104"/>
      <x:c r="D40" s="104"/>
      <x:c r="E40" s="104"/>
      <x:c r="F40" s="104"/>
      <x:c r="G40" s="104"/>
      <x:c r="H40" s="104"/>
    </x:row>
    <x:row r="41" ht="26" customHeight="1">
      <x:c r="A41"/>
      <x:c r="B41"/>
      <x:c r="C41"/>
      <x:c r="D41"/>
      <x:c r="E41"/>
      <x:c r="F41"/>
      <x:c r="G41"/>
      <x:c r="H41"/>
    </x:row>
    <x:row r="42" ht="26" customHeight="1">
      <x:c r="A42"/>
      <x:c r="B42"/>
      <x:c r="C42"/>
      <x:c r="D42"/>
      <x:c r="E42"/>
      <x:c r="F42"/>
      <x:c r="G42"/>
      <x:c r="H42"/>
    </x:row>
    <x:row r="43" ht="26" customHeight="1">
      <x:c r="A43"/>
      <x:c r="B43"/>
      <x:c r="C43"/>
      <x:c r="D43"/>
      <x:c r="E43"/>
      <x:c r="F43"/>
      <x:c r="G43"/>
      <x:c r="H43"/>
    </x:row>
    <x:row r="44" ht="26" customHeight="1">
      <x:c r="A44"/>
      <x:c r="B44"/>
      <x:c r="C44"/>
      <x:c r="D44"/>
      <x:c r="E44"/>
      <x:c r="F44"/>
      <x:c r="G44"/>
      <x:c r="H44"/>
    </x:row>
    <x:row r="45" ht="26" customHeight="1">
      <x:c r="A45"/>
      <x:c r="B45"/>
      <x:c r="C45"/>
      <x:c r="D45"/>
      <x:c r="E45"/>
      <x:c r="F45"/>
      <x:c r="G45"/>
      <x:c r="H45"/>
    </x:row>
    <x:row r="46" ht="26" customHeight="1">
      <x:c r="A46"/>
      <x:c r="B46"/>
      <x:c r="C46"/>
      <x:c r="D46"/>
      <x:c r="E46"/>
      <x:c r="F46"/>
      <x:c r="G46"/>
      <x:c r="H46"/>
    </x:row>
    <x:row r="47" ht="26" customHeight="1">
      <x:c r="A47"/>
      <x:c r="B47"/>
      <x:c r="C47"/>
      <x:c r="D47"/>
      <x:c r="E47"/>
      <x:c r="F47"/>
      <x:c r="G47"/>
      <x:c r="H47"/>
    </x:row>
    <x:row r="48" ht="26" customHeight="1">
      <x:c r="A48"/>
      <x:c r="B48"/>
      <x:c r="C48"/>
      <x:c r="D48"/>
      <x:c r="E48"/>
      <x:c r="F48"/>
      <x:c r="G48"/>
      <x:c r="H48"/>
    </x:row>
    <x:row r="49" ht="26" customHeight="1">
      <x:c r="A49"/>
      <x:c r="B49"/>
      <x:c r="C49"/>
      <x:c r="D49"/>
      <x:c r="E49"/>
      <x:c r="F49"/>
      <x:c r="G49"/>
      <x:c r="H49"/>
    </x:row>
    <x:row r="50" ht="26" customHeight="1">
      <x:c r="A50"/>
      <x:c r="B50"/>
      <x:c r="C50"/>
      <x:c r="D50"/>
      <x:c r="E50"/>
      <x:c r="F50"/>
      <x:c r="G50"/>
      <x:c r="H50"/>
    </x:row>
    <x:row r="51" ht="26" customHeight="1">
      <x:c r="A51"/>
      <x:c r="B51"/>
      <x:c r="C51"/>
      <x:c r="D51"/>
      <x:c r="E51"/>
      <x:c r="F51"/>
      <x:c r="G51"/>
      <x:c r="H51"/>
    </x:row>
    <x:row r="52" ht="26" customHeight="1">
      <x:c r="A52"/>
      <x:c r="B52"/>
      <x:c r="C52"/>
      <x:c r="D52"/>
      <x:c r="E52"/>
      <x:c r="F52"/>
      <x:c r="G52"/>
      <x:c r="H52"/>
    </x:row>
    <x:row r="53" ht="26" customHeight="1">
      <x:c r="A53"/>
      <x:c r="B53"/>
      <x:c r="C53"/>
      <x:c r="D53"/>
      <x:c r="E53"/>
      <x:c r="F53"/>
      <x:c r="G53"/>
      <x:c r="H53"/>
    </x:row>
    <x:row r="54" ht="26" customHeight="1">
      <x:c r="A54"/>
      <x:c r="B54"/>
      <x:c r="C54"/>
      <x:c r="D54"/>
      <x:c r="E54"/>
      <x:c r="F54"/>
      <x:c r="G54"/>
      <x:c r="H54"/>
    </x:row>
    <x:row r="55" ht="26" customHeight="1">
      <x:c r="A55"/>
      <x:c r="B55"/>
      <x:c r="C55"/>
      <x:c r="D55"/>
      <x:c r="E55"/>
      <x:c r="F55"/>
      <x:c r="G55"/>
      <x:c r="H55"/>
    </x:row>
    <x:row r="56" ht="26" customHeight="1">
      <x:c r="A56"/>
      <x:c r="B56"/>
      <x:c r="C56"/>
      <x:c r="D56"/>
      <x:c r="E56"/>
      <x:c r="F56"/>
      <x:c r="G56"/>
      <x:c r="H56"/>
    </x:row>
    <x:row r="57" ht="26" customHeight="1">
      <x:c r="A57"/>
      <x:c r="B57"/>
      <x:c r="C57"/>
      <x:c r="D57"/>
      <x:c r="E57"/>
      <x:c r="F57"/>
      <x:c r="G57"/>
      <x:c r="H57"/>
    </x:row>
  </x:sheetData>
  <x:mergeCells>
    <x:mergeCell ref="A6:B6"/>
    <x:mergeCell ref="C6:D6"/>
    <x:mergeCell ref="E6:F6"/>
    <x:mergeCell ref="G6:H6"/>
    <x:mergeCell ref="A7:B7"/>
    <x:mergeCell ref="C7:D7"/>
    <x:mergeCell ref="E7:F7"/>
    <x:mergeCell ref="G7:H7"/>
    <x:mergeCell ref="G9:H9"/>
    <x:mergeCell ref="A1:H1"/>
    <x:mergeCell ref="A3:H3"/>
    <x:mergeCell ref="A4:H4"/>
    <x:mergeCell ref="A9:F9"/>
    <x:mergeCell ref="A11:H11"/>
    <x:mergeCell ref="A13:H13"/>
    <x:mergeCell ref="A15:H15"/>
    <x:mergeCell ref="A17:H17"/>
    <x:mergeCell ref="A19:H19"/>
    <x:mergeCell ref="A21:H21"/>
    <x:mergeCell ref="A23:H23"/>
    <x:mergeCell ref="A25:H25"/>
    <x:mergeCell ref="A27:H27"/>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7" hidden="0" customWidth="1"/>
    <x:col min="3" max="3" width="10" hidden="0" customWidth="1"/>
    <x:col min="4" max="4" width="20" hidden="0" customWidth="1"/>
    <x:col min="5" max="5" width="40" hidden="0" customWidth="1"/>
    <x:col min="6" max="6" width="40" hidden="0" customWidth="1"/>
    <x:col min="7" max="7" width="24" hidden="0" customWidth="1"/>
    <x:col min="8" max="8" width="25" hidden="0" customWidth="1"/>
    <x:col min="9" max="9" width="110" hidden="0" customWidth="1"/>
    <x:col min="10" max="10" width="140" hidden="0" customWidth="1"/>
    <x:col min="11" max="11" width="27" hidden="0" customWidth="1"/>
    <x:col min="12" max="12" width="13" hidden="0" customWidth="1"/>
    <x:col min="13" max="13" width="34" hidden="0" customWidth="1"/>
    <x:col min="14" max="14" width="16" hidden="0" customWidth="1"/>
  </x:cols>
  <x:sheetData>
    <x:row r="1" ht="32" customHeight="1">
      <x:c r="A1" s="5" t="str">
        <x:v>RVB22 current criterion disposition | original questions and required evidence preserved</x:v>
      </x:c>
      <x:c r="B1" s="5"/>
      <x:c r="C1" s="5"/>
      <x:c r="D1" s="5"/>
      <x:c r="E1" s="5"/>
      <x:c r="F1" s="5"/>
      <x:c r="G1" s="5"/>
      <x:c r="H1" s="5"/>
      <x:c r="I1" s="5"/>
      <x:c r="J1" s="5"/>
      <x:c r="K1" s="5"/>
      <x:c r="L1" s="5"/>
      <x:c r="M1" s="5"/>
    </x:row>
    <x:row r="2" ht="50" customHeight="1">
      <x:c r="A2" s="71" t="str">
        <x:v>RVB-21 | Original questions and required evidence A–F preserved. Evidence status G is distinct from criterion closure N. Candidate source corrections require native/target verification; see RVB21 Changes.</x:v>
      </x:c>
      <x:c r="B2" s="71" t="str">
        <x:v>RVB-21 | Original questions and required evidence A–F preserved. Evidence status G is distinct from criterion closure N. Candidate source corrections require native/target verification; see RVB21 Changes.</x:v>
      </x:c>
      <x:c r="C2" s="71" t="str">
        <x:v>RVB-21 | Original questions and required evidence A–F preserved. Evidence status G is distinct from criterion closure N. Candidate source corrections require native/target verification; see RVB21 Changes.</x:v>
      </x:c>
      <x:c r="D2" s="71" t="str">
        <x:v>RVB-21 | Original questions and required evidence A–F preserved. Evidence status G is distinct from criterion closure N. Candidate source corrections require native/target verification; see RVB21 Changes.</x:v>
      </x:c>
      <x:c r="E2" s="71" t="str">
        <x:v>RVB-21 | Original questions and required evidence A–F preserved. Evidence status G is distinct from criterion closure N. Candidate source corrections require native/target verification; see RVB21 Changes.</x:v>
      </x:c>
      <x:c r="F2" s="71" t="str">
        <x:v>RVB-21 | Original questions and required evidence A–F preserved. Evidence status G is distinct from criterion closure N. Candidate source corrections require native/target verification; see RVB21 Changes.</x:v>
      </x:c>
      <x:c r="G2" s="71" t="str">
        <x:v>RVB-21 | Original questions and required evidence A–F preserved. Evidence status G is distinct from criterion closure N. Candidate source corrections require native/target verification; see RVB21 Changes.</x:v>
      </x:c>
      <x:c r="H2" s="71" t="str">
        <x:v>RVB-21 | Original questions and required evidence A–F preserved. Evidence status G is distinct from criterion closure N. Candidate source corrections require native/target verification; see RVB21 Changes.</x:v>
      </x:c>
      <x:c r="I2" s="71" t="str">
        <x:v>RVB-21 | Original questions and required evidence A–F preserved. Evidence status G is distinct from criterion closure N. Candidate source corrections require native/target verification; see RVB21 Changes.</x:v>
      </x:c>
      <x:c r="J2" s="71" t="str">
        <x:v>RVB-21 | Original questions and required evidence A–F preserved. Evidence status G is distinct from criterion closure N. Candidate source corrections require native/target verification; see RVB21 Changes.</x:v>
      </x:c>
      <x:c r="K2" s="71" t="str">
        <x:v>RVB-21 | Original questions and required evidence A–F preserved. Evidence status G is distinct from criterion closure N. Candidate source corrections require native/target verification; see RVB21 Changes.</x:v>
      </x:c>
      <x:c r="L2" s="71" t="str">
        <x:v>RVB-21 | Original questions and required evidence A–F preserved. Evidence status G is distinct from criterion closure N. Candidate source corrections require native/target verification; see RVB21 Changes.</x:v>
      </x:c>
      <x:c r="M2" s="71" t="str">
        <x:v>RVB-21 | Original questions and required evidence A–F preserved. Evidence status G is distinct from criterion closure N. Candidate source corrections require native/target verification; see RVB21 Changes.</x:v>
      </x:c>
    </x:row>
    <x:row r="4" ht="32" customHeight="1">
      <x:c r="A4" s="5" t="str">
        <x:v>ID</x:v>
      </x:c>
      <x:c r="B4" s="5" t="str">
        <x:v>Review domain</x:v>
      </x:c>
      <x:c r="C4" s="5" t="str">
        <x:v>Priority</x:v>
      </x:c>
      <x:c r="D4" s="5" t="str">
        <x:v>Earliest principal gate</x:v>
      </x:c>
      <x:c r="E4" s="5" t="str">
        <x:v>Review question</x:v>
      </x:c>
      <x:c r="F4" s="5" t="str">
        <x:v>Required evidence / closure</x:v>
      </x:c>
      <x:c r="G4" s="5" t="str">
        <x:v>Evidence status</x:v>
      </x:c>
      <x:c r="H4" s="5" t="str">
        <x:v>Reviewer / discipline</x:v>
      </x:c>
      <x:c r="I4" s="5" t="str">
        <x:v>Finding and next action</x:v>
      </x:c>
      <x:c r="J4" s="5" t="str">
        <x:v>Current evidence / confidence</x:v>
      </x:c>
      <x:c r="K4" s="5" t="str">
        <x:v>Applicability</x:v>
      </x:c>
      <x:c r="L4" s="5" t="str">
        <x:v>Source basis</x:v>
      </x:c>
      <x:c r="M4" s="5" t="str">
        <x:v>Source URL</x:v>
      </x:c>
      <x:c r="N4" t="str">
        <x:v>Closure</x:v>
      </x:c>
    </x:row>
    <x:row r="5" ht="195" customHeight="1">
      <x:c r="A5" s="62" t="str">
        <x:v>CFG-01</x:v>
      </x:c>
      <x:c r="B5" s="62" t="str">
        <x:v>Configuration and review scope</x:v>
      </x:c>
      <x:c r="C5" s="65" t="str">
        <x:v>P0</x:v>
      </x:c>
      <x:c r="D5" s="62" t="str">
        <x:v>G0 Definition</x:v>
      </x:c>
      <x:c r="E5" s="62" t="str">
        <x:v>What exact PCB revision, assembly revision, serial number, harness and firmware commit are under review?</x:v>
      </x:c>
      <x:c r="F5" s="62" t="str">
        <x:v>One configuration cover sheet ties the physical board to CAD, populated BOM, rework list, harness and flashed binary.</x:v>
      </x:c>
      <x:c r="G5" s="22" t="str">
        <x:v>CURRENT SOURCE OR MODEL WITH REMAINING CONDITIONS</x:v>
      </x:c>
      <x:c r="H5" s="22" t="str">
        <x:v>RVB22 coordinated engineering review</x:v>
      </x:c>
      <x:c r="I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serial, fitted harness and flash readback cannot be supplied from CAD.</x:v>
      </x:c>
      <x:c r="J5" s="161" t="str">
        <x:v>control/EXECUTION_PLAN_CURRENT.md
control/CLOSED_CRITERIA_ADJUDICATION.json
current/I21_SOURCE_VERIFICATION.json
iterations/I20_controlled_handoff/NATIVE_BINDING.json
current/SOURCE_EFFECTIVITY.json</x:v>
      </x:c>
      <x:c r="K5" s="62" t="str">
        <x:v>Rev B; characterize Rev A only within its approved bench limits</x:v>
      </x:c>
      <x:c r="L5" s="62" t="str">
        <x:v>R1</x:v>
      </x:c>
      <x:c r="M5" s="62" t="str"/>
      <x:c r="N5" s="70" t="str">
        <x:v>OPEN</x:v>
      </x:c>
    </x:row>
    <x:row r="6" ht="195" customHeight="1">
      <x:c r="A6" s="62" t="str">
        <x:v>CFG-02</x:v>
      </x:c>
      <x:c r="B6" s="62" t="str">
        <x:v>Configuration and review scope</x:v>
      </x:c>
      <x:c r="C6" s="65" t="str">
        <x:v>P0</x:v>
      </x:c>
      <x:c r="D6" s="62" t="str">
        <x:v>G0 Definition</x:v>
      </x:c>
      <x:c r="E6" s="62" t="str">
        <x:v>Are as-designed, as-built and as-tested configurations explicitly reconciled?</x:v>
      </x:c>
      <x:c r="F6" s="62" t="str">
        <x:v>Photographs and continuity evidence account for every bodge, removed part, isolation link and test supply.</x:v>
      </x:c>
      <x:c r="G6" s="22" t="str">
        <x:v>CURRENT SOURCE OR MODEL WITH REMAINING CONDITIONS</x:v>
      </x:c>
      <x:c r="H6" s="22" t="str">
        <x:v>RVB22 coordinated engineering review</x:v>
      </x:c>
      <x:c r="I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bodge/removal photographs and unit continuity remain.</x:v>
      </x:c>
      <x:c r="J6" s="161" t="str">
        <x:v>interfaces/HARNESS_INTERFACE_CONTRACT.json
interfaces/HARNESS_CHECKS.json
analyses/harness_wire/HARNESS_WIRE_DELTA.json
current/I21_SOURCE_VERIFICATION.json
iterations/I20_controlled_handoff/NATIVE_BINDING.json
current/SOURCE_EFFECTIVITY.json</x:v>
      </x:c>
      <x:c r="K6" s="62" t="str">
        <x:v>Rev B; characterize Rev A only within its approved bench limits</x:v>
      </x:c>
      <x:c r="L6" s="62" t="str">
        <x:v>R1</x:v>
      </x:c>
      <x:c r="M6" s="62" t="str"/>
      <x:c r="N6" s="70" t="str">
        <x:v>OPEN</x:v>
      </x:c>
    </x:row>
    <x:row r="7" ht="195" customHeight="1">
      <x:c r="A7" s="62" t="str">
        <x:v>CFG-03</x:v>
      </x:c>
      <x:c r="B7" s="62" t="str">
        <x:v>Configuration and review scope</x:v>
      </x:c>
      <x:c r="C7" s="65" t="str">
        <x:v>P0</x:v>
      </x:c>
      <x:c r="D7" s="62" t="str">
        <x:v>G0 Definition</x:v>
      </x:c>
      <x:c r="E7" s="62" t="str">
        <x:v>Is this a bench characterization review, fabrication release, or vehicle-use release?</x:v>
      </x:c>
      <x:c r="F7" s="62" t="str">
        <x:v>The review charter identifies the requested decision, constraints, approvers and prohibited operations.</x:v>
      </x:c>
      <x:c r="G7" s="22" t="str">
        <x:v>CLOSED BY ORIGINAL SCOPE</x:v>
      </x:c>
      <x:c r="H7" s="22" t="str">
        <x:v>RVB22 coordinated engineering review</x:v>
      </x:c>
      <x:c r="I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7"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c r="K7" s="62" t="str">
        <x:v>Rev B; characterize Rev A only within its approved bench limits</x:v>
      </x:c>
      <x:c r="L7" s="62" t="str">
        <x:v>R1</x:v>
      </x:c>
      <x:c r="M7" s="62" t="str"/>
      <x:c r="N7" s="70" t="str">
        <x:v>CLOSED</x:v>
      </x:c>
    </x:row>
    <x:row r="8" ht="195" customHeight="1">
      <x:c r="A8" s="62" t="str">
        <x:v>CFG-04</x:v>
      </x:c>
      <x:c r="B8" s="62" t="str">
        <x:v>Configuration and review scope</x:v>
      </x:c>
      <x:c r="C8" s="65" t="str">
        <x:v>P0</x:v>
      </x:c>
      <x:c r="D8" s="62" t="str">
        <x:v>G0 Definition</x:v>
      </x:c>
      <x:c r="E8" s="62" t="str">
        <x:v>What controlled source supersedes each earlier Rev A finding or Rev B instruction?</x:v>
      </x:c>
      <x:c r="F8" s="62" t="str">
        <x:v>Evidence precedence and a dated supersession log; no historical issue disappears without disposition.</x:v>
      </x:c>
      <x:c r="G8" s="22" t="str">
        <x:v>CLOSED BY ORIGINAL SCOPE</x:v>
      </x:c>
      <x:c r="H8" s="22" t="str">
        <x:v>RVB22 coordinated engineering review</x:v>
      </x:c>
      <x:c r="I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c r="K8" s="62" t="str">
        <x:v>Rev B; characterize Rev A only within its approved bench limits</x:v>
      </x:c>
      <x:c r="L8" s="62" t="str">
        <x:v>R1</x:v>
      </x:c>
      <x:c r="M8" s="62" t="str"/>
      <x:c r="N8" s="70" t="str">
        <x:v>CLOSED</x:v>
      </x:c>
    </x:row>
    <x:row r="9" ht="195" customHeight="1">
      <x:c r="A9" s="62" t="str">
        <x:v>CFG-05</x:v>
      </x:c>
      <x:c r="B9" s="62" t="str">
        <x:v>Configuration and review scope</x:v>
      </x:c>
      <x:c r="C9" s="65" t="str">
        <x:v>P0</x:v>
      </x:c>
      <x:c r="D9" s="62" t="str">
        <x:v>G0 Definition</x:v>
      </x:c>
      <x:c r="E9" s="62" t="str">
        <x:v>Is the current Rev B candidate on HOLD, and what individually closes that hold?</x:v>
      </x:c>
      <x:c r="F9" s="62" t="str">
        <x:v>Named blockers, objective acceptance criteria and authorized sign-off; a status label alone is not closure.</x:v>
      </x:c>
      <x:c r="G9" s="22" t="str">
        <x:v>CLOSED BY ORIGINAL SCOPE</x:v>
      </x:c>
      <x:c r="H9" s="22" t="str">
        <x:v>RVB22 coordinated engineering review</x:v>
      </x:c>
      <x:c r="I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c r="K9" s="62" t="str">
        <x:v>Rev B; characterize Rev A only within its approved bench limits</x:v>
      </x:c>
      <x:c r="L9" s="62" t="str">
        <x:v>R1</x:v>
      </x:c>
      <x:c r="M9" s="62" t="str"/>
      <x:c r="N9" s="70" t="str">
        <x:v>CLOSED</x:v>
      </x:c>
    </x:row>
    <x:row r="10" ht="195" customHeight="1">
      <x:c r="A10" s="62" t="str">
        <x:v>CFG-06</x:v>
      </x:c>
      <x:c r="B10" s="62" t="str">
        <x:v>Configuration and review scope</x:v>
      </x:c>
      <x:c r="C10" s="65" t="str">
        <x:v>P1</x:v>
      </x:c>
      <x:c r="D10" s="62" t="str">
        <x:v>G0 Definition</x:v>
      </x:c>
      <x:c r="E10" s="62" t="str">
        <x:v>Which board and harness population variants are allowed?</x:v>
      </x:c>
      <x:c r="F10" s="62" t="str">
        <x:v>Variant matrix with DNP, jumper defaults, antenna options and compatible firmware.</x:v>
      </x:c>
      <x:c r="G10" s="22" t="str">
        <x:v>CLOSED BY ORIGINAL SCOPE</x:v>
      </x:c>
      <x:c r="H10" s="22" t="str">
        <x:v>RVB22 coordinated engineering review</x:v>
      </x:c>
      <x:c r="I1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current/I21_SOURCE_VERIFICATION.json
iterations/I20_controlled_handoff/NATIVE_BINDING.json
current/SOURCE_EFFECTIVITY.json</x:v>
      </x:c>
      <x:c r="K10" s="62" t="str">
        <x:v>Rev B; characterize Rev A only within its approved bench limits</x:v>
      </x:c>
      <x:c r="L10" s="62" t="str">
        <x:v>R1</x:v>
      </x:c>
      <x:c r="M10" s="62" t="str"/>
      <x:c r="N10" s="70" t="str">
        <x:v>CLOSED</x:v>
      </x:c>
    </x:row>
    <x:row r="11" ht="195" customHeight="1">
      <x:c r="A11" s="62" t="str">
        <x:v>CFG-07</x:v>
      </x:c>
      <x:c r="B11" s="62" t="str">
        <x:v>Configuration and review scope</x:v>
      </x:c>
      <x:c r="C11" s="65" t="str">
        <x:v>P0</x:v>
      </x:c>
      <x:c r="D11" s="62" t="str">
        <x:v>G0 Definition</x:v>
      </x:c>
      <x:c r="E11" s="62" t="str">
        <x:v>Are all design assumptions that affect safety, manufacture or interfaces visible?</x:v>
      </x:c>
      <x:c r="F11" s="62" t="str">
        <x:v>Assumptions register with owner, verification method and required closure gate.</x:v>
      </x:c>
      <x:c r="G11" s="22" t="str">
        <x:v>CLOSED BY ORIGINAL SCOPE</x:v>
      </x:c>
      <x:c r="H11" s="22" t="str">
        <x:v>RVB22 coordinated engineering review</x:v>
      </x:c>
      <x:c r="I1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c r="K11" s="62" t="str">
        <x:v>Rev B; characterize Rev A only within its approved bench limits</x:v>
      </x:c>
      <x:c r="L11" s="62" t="str">
        <x:v>R1</x:v>
      </x:c>
      <x:c r="M11" s="62" t="str"/>
      <x:c r="N11" s="70" t="str">
        <x:v>CLOSED</x:v>
      </x:c>
    </x:row>
    <x:row r="12" ht="195" customHeight="1">
      <x:c r="A12" s="62" t="str">
        <x:v>CFG-08</x:v>
      </x:c>
      <x:c r="B12" s="62" t="str">
        <x:v>Configuration and review scope</x:v>
      </x:c>
      <x:c r="C12" s="65" t="str">
        <x:v>P1</x:v>
      </x:c>
      <x:c r="D12" s="62" t="str">
        <x:v>G0 Definition</x:v>
      </x:c>
      <x:c r="E12" s="62" t="str">
        <x:v>Can another engineer open and regenerate the source with the specified tools and libraries?</x:v>
      </x:c>
      <x:c r="F12" s="62" t="str">
        <x:v>Archived tool versions, project-local libraries, generation commands and clean reproducibility check.</x:v>
      </x:c>
      <x:c r="G12" s="22" t="str">
        <x:v>CLOSED BY ORIGINAL SCOPE</x:v>
      </x:c>
      <x:c r="H12" s="22" t="str">
        <x:v>RVB22 coordinated engineering review</x:v>
      </x:c>
      <x:c r="I12" s="22" t="str">
        <x:v>Pinned KiCad 9.0.9 and firmware workflow successfully opened and regenerated the I20 candidate. All 101 CAD inputs, 32 firmware inputs and 774 output files were freshly checked against their hashes.
CRITERION: CLOSED
DESKTOP: COMPLETED CURRENT SOURCE VERIFICATION
REMAINING: Original documentary, design-inspection or execution scope satisfied. Related supplier and physical criteria retain their own dispositions.</x:v>
      </x:c>
      <x:c r="J12" s="161" t="str">
        <x:v>iterations/I20_controlled_handoff/NATIVE_BINDING.json
current/I21_SOURCE_VERIFICATION.json
current/SOURCE_EFFECTIVITY.json</x:v>
      </x:c>
      <x:c r="K12" s="62" t="str">
        <x:v>Rev B; characterize Rev A only within its approved bench limits</x:v>
      </x:c>
      <x:c r="L12" s="62" t="str">
        <x:v>R1</x:v>
      </x:c>
      <x:c r="M12" s="62" t="str"/>
      <x:c r="N12" s="70" t="str">
        <x:v>CLOSED</x:v>
      </x:c>
    </x:row>
    <x:row r="13" ht="195" customHeight="1">
      <x:c r="A13" s="62" t="str">
        <x:v>CFG-09</x:v>
      </x:c>
      <x:c r="B13" s="62" t="str">
        <x:v>Configuration and review scope</x:v>
      </x:c>
      <x:c r="C13" s="65" t="str">
        <x:v>P1</x:v>
      </x:c>
      <x:c r="D13" s="62" t="str">
        <x:v>G0 Definition</x:v>
      </x:c>
      <x:c r="E13" s="62" t="str">
        <x:v>Does the review include the actual installation, harness, antenna, sensor and phone rather than only the PCB?</x:v>
      </x:c>
      <x:c r="F13" s="62" t="str">
        <x:v>System boundary diagram and representative hardware configuration.</x:v>
      </x:c>
      <x:c r="G13" s="22" t="str">
        <x:v>CURRENT SOURCE OR MODEL WITH REMAINING CONDITIONS</x:v>
      </x:c>
      <x:c r="H13" s="22" t="str">
        <x:v>RVB22 coordinated engineering review</x:v>
      </x:c>
      <x:c r="I1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installed accessory and phone identities remain to be confirmed.</x:v>
      </x:c>
      <x:c r="J13" s="161" t="str">
        <x:v>analyses/installation/DASHBOARD_EXPOSURE_AND_SERVICE.md
lanes/mechanics/MECHANICAL_INSTALLATION_RVB22.md
current/I21_SOURCE_VERIFICATION.json
iterations/I20_controlled_handoff/NATIVE_BINDING.json
current/SOURCE_EFFECTIVITY.json</x:v>
      </x:c>
      <x:c r="K13" s="62" t="str">
        <x:v>Rev B; characterize Rev A only within its approved bench limits</x:v>
      </x:c>
      <x:c r="L13" s="62" t="str">
        <x:v>R1</x:v>
      </x:c>
      <x:c r="M13" s="62" t="str"/>
      <x:c r="N13" s="70" t="str">
        <x:v>OPEN</x:v>
      </x:c>
    </x:row>
    <x:row r="14" ht="195" customHeight="1">
      <x:c r="A14" s="62" t="str">
        <x:v>CFG-10</x:v>
      </x:c>
      <x:c r="B14" s="62" t="str">
        <x:v>Configuration and review scope</x:v>
      </x:c>
      <x:c r="C14" s="65" t="str">
        <x:v>P0</x:v>
      </x:c>
      <x:c r="D14" s="62" t="str">
        <x:v>G0 Definition</x:v>
      </x:c>
      <x:c r="E14" s="62" t="str">
        <x:v>Has the Rev A prohibited original 12 V path remained clearly segregated from approved bypass-rail tests?</x:v>
      </x:c>
      <x:c r="F14" s="62" t="str">
        <x:v>Bench wiring authorization and labels follow the historical safety constraints until a new approved disposition.</x:v>
      </x:c>
      <x:c r="G14" s="22" t="str">
        <x:v>CLOSED BY ORIGINAL SCOPE</x:v>
      </x:c>
      <x:c r="H14" s="22" t="str">
        <x:v>RVB22 coordinated engineering review</x:v>
      </x:c>
      <x:c r="I1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4" s="161" t="str">
        <x:v>iterations/I06_harness_handoff/CANDIDATE_MANIFEST.json
current/I21_SOURCE_VERIFICATION.json
iterations/I20_controlled_handoff/NATIVE_BINDING.json
current/SOURCE_EFFECTIVITY.json</x:v>
      </x:c>
      <x:c r="K14" s="62" t="str">
        <x:v>Rev B; characterize Rev A only within its approved bench limits</x:v>
      </x:c>
      <x:c r="L14" s="62" t="str">
        <x:v>R1</x:v>
      </x:c>
      <x:c r="M14" s="62" t="str"/>
      <x:c r="N14" s="70" t="str">
        <x:v>CLOSED</x:v>
      </x:c>
    </x:row>
    <x:row r="15" ht="195" customHeight="1">
      <x:c r="A15" s="62" t="str">
        <x:v>REQ-01</x:v>
      </x:c>
      <x:c r="B15" s="62" t="str">
        <x:v>Requirements and interfaces</x:v>
      </x:c>
      <x:c r="C15" s="65" t="str">
        <x:v>P0</x:v>
      </x:c>
      <x:c r="D15" s="62" t="str">
        <x:v>G0 Definition</x:v>
      </x:c>
      <x:c r="E15" s="62" t="str">
        <x:v>Is passive vehicle telemetry the agreed function, with no intentional vehicle-control traffic?</x:v>
      </x:c>
      <x:c r="F15" s="62" t="str">
        <x:v>A written CAN non-interference requirement includes startup, programming, faults and firmware recovery.</x:v>
      </x:c>
      <x:c r="G15" s="22" t="str">
        <x:v>CLOSED BY ORIGINAL SCOPE</x:v>
      </x:c>
      <x:c r="H15" s="22" t="str">
        <x:v>RVB22 coordinated engineering review</x:v>
      </x:c>
      <x:c r="I1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5" s="161" t="str">
        <x:v>lanes/firmware_oil/RECOVERED_RELEASE_CHECKS.json
lanes/firmware_oil/RECOVERED_FIRMWARE_TEST_RESULTS.json
lanes/firmware_oil/FINAL_I04_OIL_FIRMWARE_EFFECTIVITY.json
current/EXECUTION_PLAN.md</x:v>
      </x:c>
      <x:c r="K15" s="62" t="str">
        <x:v>Rev B; characterize Rev A only within its approved bench limits</x:v>
      </x:c>
      <x:c r="L15" s="62" t="str">
        <x:v>R2</x:v>
      </x:c>
      <x:c r="M15" s="62" t="str"/>
      <x:c r="N15" s="70" t="str">
        <x:v>CLOSED</x:v>
      </x:c>
    </x:row>
    <x:row r="16" ht="195" customHeight="1">
      <x:c r="A16" s="62" t="str">
        <x:v>REQ-02</x:v>
      </x:c>
      <x:c r="B16" s="62" t="str">
        <x:v>Requirements and interfaces</x:v>
      </x:c>
      <x:c r="C16" s="65" t="str">
        <x:v>P0</x:v>
      </x:c>
      <x:c r="D16" s="62" t="str">
        <x:v>G0 Definition</x:v>
      </x:c>
      <x:c r="E16" s="62" t="str">
        <x:v>Which GR86/BRZ generation, model years, tap point and network are supported?</x:v>
      </x:c>
      <x:c r="F16" s="62" t="str">
        <x:v>Verified vehicle interface documentation, harness pinout and observed network characteristics; no OBD or wire-color assumptions.</x:v>
      </x:c>
      <x:c r="G16" s="22" t="str">
        <x:v>CURRENT SOURCE OR MODEL WITH REMAINING CONDITIONS</x:v>
      </x:c>
      <x:c r="H16" s="22" t="str">
        <x:v>RVB22 coordinated engineering review</x:v>
      </x:c>
      <x:c r="I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vehicle takeoff/returns and observed network remain installation evidence.</x:v>
      </x:c>
      <x:c r="J16" s="161" t="str">
        <x:v>interfaces/asc_profile/ASC_PROFILE_REVIEW.json
interfaces/asc_profile/PRIMARY_SOURCE_MANIFEST.json
current/EXECUTION_PLAN.md</x:v>
      </x:c>
      <x:c r="K16" s="62" t="str">
        <x:v>Rev B; characterize Rev A only within its approved bench limits</x:v>
      </x:c>
      <x:c r="L16" s="62" t="str">
        <x:v>R2</x:v>
      </x:c>
      <x:c r="M16" s="62" t="str"/>
      <x:c r="N16" s="70" t="str">
        <x:v>OPEN</x:v>
      </x:c>
    </x:row>
    <x:row r="17" ht="195" customHeight="1">
      <x:c r="A17" s="62" t="str">
        <x:v>REQ-03</x:v>
      </x:c>
      <x:c r="B17" s="62" t="str">
        <x:v>Requirements and interfaces</x:v>
      </x:c>
      <x:c r="C17" s="65" t="str">
        <x:v>P1</x:v>
      </x:c>
      <x:c r="D17" s="62" t="str">
        <x:v>G0 Definition</x:v>
      </x:c>
      <x:c r="E17" s="62" t="str">
        <x:v>Are CAN rate, identifier formats, signal set and maximum sustained and burst loads defined?</x:v>
      </x:c>
      <x:c r="F17" s="62" t="str">
        <x:v>Interface specification distinguishes required Classical CAN support from any future CAN FD capability.</x:v>
      </x:c>
      <x:c r="G17" s="22" t="str">
        <x:v>CLOSED BY ORIGINAL SCOPE</x:v>
      </x:c>
      <x:c r="H17" s="22" t="str">
        <x:v>RVB22 coordinated engineering review</x:v>
      </x:c>
      <x:c r="I1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7" s="161" t="str">
        <x:v>lanes/firmware_oil/RECOVERED_RELEASE_CHECKS.json
lanes/firmware_oil/RECOVERED_FIRMWARE_TEST_RESULTS.json
lanes/firmware_oil/FINAL_I04_OIL_FIRMWARE_EFFECTIVITY.json
current/EXECUTION_PLAN.md</x:v>
      </x:c>
      <x:c r="K17" s="62" t="str">
        <x:v>Rev B; characterize Rev A only within its approved bench limits</x:v>
      </x:c>
      <x:c r="L17" s="62" t="str">
        <x:v>R2</x:v>
      </x:c>
      <x:c r="M17" s="62" t="str"/>
      <x:c r="N17" s="70" t="str">
        <x:v>CLOSED</x:v>
      </x:c>
    </x:row>
    <x:row r="18" ht="195" customHeight="1">
      <x:c r="A18" s="62" t="str">
        <x:v>REQ-04</x:v>
      </x:c>
      <x:c r="B18" s="62" t="str">
        <x:v>Requirements and interfaces</x:v>
      </x:c>
      <x:c r="C18" s="65" t="str">
        <x:v>P1</x:v>
      </x:c>
      <x:c r="D18" s="62" t="str">
        <x:v>G0 Definition</x:v>
      </x:c>
      <x:c r="E18" s="62" t="str">
        <x:v>Are oil pressure range, accuracy, resolution, bandwidth, latency and fault-detection requirements numerical?</x:v>
      </x:c>
      <x:c r="F18" s="62" t="str">
        <x:v>Requirement table separates absolute error, repeatability, noise and response time across operating conditions.</x:v>
      </x:c>
      <x:c r="G18" s="22" t="str">
        <x:v>CLOSED BY ORIGINAL SCOPE</x:v>
      </x:c>
      <x:c r="H18" s="22" t="str">
        <x:v>RVB22 coordinated engineering review</x:v>
      </x:c>
      <x:c r="I1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 s="161" t="str">
        <x:v>lanes/firmware_oil/RECOVERY_CALIBRATION_GAIN_REDLINE.json
lanes/firmware_oil/RECOVERED_FIRMWARE_TEST_RESULTS.json
interfaces/OIL_HARNESS_ERROR_SWEEP.json
lanes/firmware_oil/FINAL_I04_OIL_FIRMWARE_EFFECTIVITY.json
lanes/oil_cap/FINAL_C532_SUBGRAPH_BINDING.json
current/EXECUTION_PLAN.md</x:v>
      </x:c>
      <x:c r="K18" s="62" t="str">
        <x:v>Rev B; characterize Rev A only within its approved bench limits</x:v>
      </x:c>
      <x:c r="L18" s="62" t="str">
        <x:v>R2</x:v>
      </x:c>
      <x:c r="M18" s="62" t="str"/>
      <x:c r="N18" s="70" t="str">
        <x:v>CLOSED</x:v>
      </x:c>
    </x:row>
    <x:row r="19" ht="195" customHeight="1">
      <x:c r="A19" s="62" t="str">
        <x:v>REQ-05</x:v>
      </x:c>
      <x:c r="B19" s="62" t="str">
        <x:v>Requirements and interfaces</x:v>
      </x:c>
      <x:c r="C19" s="65" t="str">
        <x:v>P1</x:v>
      </x:c>
      <x:c r="D19" s="62" t="str">
        <x:v>G0 Definition</x:v>
      </x:c>
      <x:c r="E19" s="62" t="str">
        <x:v>Are GPS update rate, position/velocity accuracy, timing, fix validity and startup requirements explicit?</x:v>
      </x:c>
      <x:c r="F19" s="62" t="str">
        <x:v>Mode-specific GNSS acceptance limits and a defined external-antenna configuration.</x:v>
      </x:c>
      <x:c r="G19" s="22" t="str">
        <x:v>CLOSED BY ORIGINAL SCOPE</x:v>
      </x:c>
      <x:c r="H19" s="22" t="str">
        <x:v>RVB22 coordinated engineering review</x:v>
      </x:c>
      <x:c r="I1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9" s="161" t="str">
        <x:v>lanes/rf/RF_FINAL_REPORT.md
lanes/rf/RF_FINAL_SUMMARY.json
lanes/rf/RF_I04_ADDENDUM.md
lanes/rf/RF_I04_SUMMARY.json
lanes/rf/FINAL_I04_SOURCE_BINDING.json
lanes/emc/EMC_SUMMARY.json
current/EXECUTION_PLAN.md</x:v>
      </x:c>
      <x:c r="K19" s="62" t="str">
        <x:v>Rev B; characterize Rev A only within its approved bench limits</x:v>
      </x:c>
      <x:c r="L19" s="62" t="str">
        <x:v>R2</x:v>
      </x:c>
      <x:c r="M19" s="62" t="str"/>
      <x:c r="N19" s="70" t="str">
        <x:v>CLOSED</x:v>
      </x:c>
    </x:row>
    <x:row r="20" ht="195" customHeight="1">
      <x:c r="A20" s="62" t="str">
        <x:v>REQ-06</x:v>
      </x:c>
      <x:c r="B20" s="62" t="str">
        <x:v>Requirements and interfaces</x:v>
      </x:c>
      <x:c r="C20" s="65" t="str">
        <x:v>P1</x:v>
      </x:c>
      <x:c r="D20" s="62" t="str">
        <x:v>G0 Definition</x:v>
      </x:c>
      <x:c r="E20" s="62" t="str">
        <x:v>Are BLE range, phone compatibility, reconnection time, throughput and allowable loss specified?</x:v>
      </x:c>
      <x:c r="F20" s="62" t="str">
        <x:v>Requirements identify the actual phone/app operating modes, not merely successful pairing.</x:v>
      </x:c>
      <x:c r="G20" s="22" t="str">
        <x:v>CURRENT SOURCE OR MODEL WITH REMAINING CONDITIONS</x:v>
      </x:c>
      <x:c r="H20" s="22" t="str">
        <x:v>RVB22 coordinated engineering review</x:v>
      </x:c>
      <x:c r="I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phone/app versions, profile and operating-mode acceptance remain.</x:v>
      </x:c>
      <x:c r="J20" s="161" t="str">
        <x:v>lanes/firmware_oil/RECOVERED_RELEASE_CHECKS.json
lanes/firmware_oil/RECOVERED_FIRMWARE_TEST_RESULTS.json
current/EXECUTION_PLAN.md</x:v>
      </x:c>
      <x:c r="K20" s="62" t="str">
        <x:v>Rev B; characterize Rev A only within its approved bench limits</x:v>
      </x:c>
      <x:c r="L20" s="62" t="str">
        <x:v>R2</x:v>
      </x:c>
      <x:c r="M20" s="62" t="str"/>
      <x:c r="N20" s="70" t="str">
        <x:v>OPEN</x:v>
      </x:c>
    </x:row>
    <x:row r="21" ht="195" customHeight="1">
      <x:c r="A21" s="62" t="str">
        <x:v>REQ-07</x:v>
      </x:c>
      <x:c r="B21" s="62" t="str">
        <x:v>Requirements and interfaces</x:v>
      </x:c>
      <x:c r="C21" s="65" t="str">
        <x:v>P0</x:v>
      </x:c>
      <x:c r="D21" s="62" t="str">
        <x:v>G0 Definition</x:v>
      </x:c>
      <x:c r="E21" s="62" t="str">
        <x:v>Are electrical operating, survival and recovery limits distinguished?</x:v>
      </x:c>
      <x:c r="F21" s="62" t="str">
        <x:v>Supply, input, temperature and transient envelopes with explicit allowed functional degradation.</x:v>
      </x:c>
      <x:c r="G21" s="22" t="str">
        <x:v>CLOSED BY ORIGINAL SCOPE</x:v>
      </x:c>
      <x:c r="H21" s="22" t="str">
        <x:v>RVB22 coordinated engineering review</x:v>
      </x:c>
      <x:c r="I2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1" s="161" t="str">
        <x:v>control/RVB22_BRING_UP_AND_MEASUREMENT_CONTRACT.md
control/BRINGUP_SCHEMATIC_TEXT_DELTA.json
control/BRINGUP_ACTUAL_NODE_INDEX.json
control/FINAL_I04_BRINGUP_BINDING.json
current/EXECUTION_PLAN.md</x:v>
      </x:c>
      <x:c r="K21" s="62" t="str">
        <x:v>Rev B; characterize Rev A only within its approved bench limits</x:v>
      </x:c>
      <x:c r="L21" s="62" t="str">
        <x:v>R2</x:v>
      </x:c>
      <x:c r="M21" s="62" t="str"/>
      <x:c r="N21" s="70" t="str">
        <x:v>CLOSED</x:v>
      </x:c>
    </x:row>
    <x:row r="22" ht="195" customHeight="1">
      <x:c r="A22" s="62" t="str">
        <x:v>REQ-08</x:v>
      </x:c>
      <x:c r="B22" s="62" t="str">
        <x:v>Requirements and interfaces</x:v>
      </x:c>
      <x:c r="C22" s="65" t="str">
        <x:v>P0</x:v>
      </x:c>
      <x:c r="D22" s="62" t="str">
        <x:v>G0 Definition</x:v>
      </x:c>
      <x:c r="E22" s="62" t="str">
        <x:v>What must happen on sensor failure, lost GPS, CAN silence, disconnected phone or corrupt configuration?</x:v>
      </x:c>
      <x:c r="F22" s="62" t="str">
        <x:v>State/output table specifies invalid/stale flags and recovery without presenting old values as current.</x:v>
      </x:c>
      <x:c r="G22" s="22" t="str">
        <x:v>CLOSED BY ORIGINAL SCOPE</x:v>
      </x:c>
      <x:c r="H22" s="22" t="str">
        <x:v>RVB22 coordinated engineering review</x:v>
      </x:c>
      <x:c r="I2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2" s="161" t="str">
        <x:v>lanes/firmware_oil/RECOVERED_RELEASE_CHECKS.json
lanes/firmware_oil/RECOVERED_FIRMWARE_TEST_RESULTS.json
lanes/firmware_oil/FINAL_I04_OIL_FIRMWARE_EFFECTIVITY.json
current/EXECUTION_PLAN.md</x:v>
      </x:c>
      <x:c r="K22" s="62" t="str">
        <x:v>Rev B; characterize Rev A only within its approved bench limits</x:v>
      </x:c>
      <x:c r="L22" s="62" t="str">
        <x:v>R2</x:v>
      </x:c>
      <x:c r="M22" s="62" t="str"/>
      <x:c r="N22" s="70" t="str">
        <x:v>CLOSED</x:v>
      </x:c>
    </x:row>
    <x:row r="23" ht="195" customHeight="1">
      <x:c r="A23" s="62" t="str">
        <x:v>REQ-09</x:v>
      </x:c>
      <x:c r="B23" s="62" t="str">
        <x:v>Requirements and interfaces</x:v>
      </x:c>
      <x:c r="C23" s="65" t="str">
        <x:v>P1</x:v>
      </x:c>
      <x:c r="D23" s="62" t="str">
        <x:v>G0 Definition</x:v>
      </x:c>
      <x:c r="E23" s="62" t="str">
        <x:v>What is the allowed ignition-off current and vehicle-battery discharge budget?</x:v>
      </x:c>
      <x:c r="F23" s="62" t="str">
        <x:v>Standby requirement includes all regulators, modules, antenna bias, protection leakage and LEDs.</x:v>
      </x:c>
      <x:c r="G23" s="22" t="str">
        <x:v>CLOSED BY ORIGINAL SCOPE</x:v>
      </x:c>
      <x:c r="H23" s="22" t="str">
        <x:v>RVB22 coordinated engineering review</x:v>
      </x:c>
      <x:c r="I2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current/EXECUTION_PLAN.md</x:v>
      </x:c>
      <x:c r="K23" s="62" t="str">
        <x:v>Rev B; characterize Rev A only within its approved bench limits</x:v>
      </x:c>
      <x:c r="L23" s="62" t="str">
        <x:v>R2</x:v>
      </x:c>
      <x:c r="M23" s="62" t="str"/>
      <x:c r="N23" s="70" t="str">
        <x:v>CLOSED</x:v>
      </x:c>
    </x:row>
    <x:row r="24" ht="195" customHeight="1">
      <x:c r="A24" s="62" t="str">
        <x:v>REQ-10</x:v>
      </x:c>
      <x:c r="B24" s="62" t="str">
        <x:v>Requirements and interfaces</x:v>
      </x:c>
      <x:c r="C24" s="65" t="str">
        <x:v>P1</x:v>
      </x:c>
      <x:c r="D24" s="62" t="str">
        <x:v>G0 Definition</x:v>
      </x:c>
      <x:c r="E24" s="62" t="str">
        <x:v>Are prototype-only limitations separated from intended product requirements and claims?</x:v>
      </x:c>
      <x:c r="F24" s="62" t="str">
        <x:v>Requirements traceability marks deferred scope and prohibits unsupported vehicle-ready or qualification claims.</x:v>
      </x:c>
      <x:c r="G24" s="22" t="str">
        <x:v>CLOSED BY ORIGINAL SCOPE</x:v>
      </x:c>
      <x:c r="H24" s="22" t="str">
        <x:v>RVB22 coordinated engineering review</x:v>
      </x:c>
      <x:c r="I2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4" s="161" t="str">
        <x:v>control/EXECUTION_PLAN_CURRENT.md
control/RECOVERY_LEDGER.md
control/DESKTOP_ACTION_DISPOSITIONS_CURRENT.json
iterations/I06_harness_handoff/CANDIDATE_MANIFEST.json
control/FINAL_GATES.json
current/EXECUTION_PLAN.md</x:v>
      </x:c>
      <x:c r="K24" s="62" t="str">
        <x:v>Rev B; characterize Rev A only within its approved bench limits</x:v>
      </x:c>
      <x:c r="L24" s="62" t="str">
        <x:v>R2</x:v>
      </x:c>
      <x:c r="M24" s="62" t="str"/>
      <x:c r="N24" s="70" t="str">
        <x:v>CLOSED</x:v>
      </x:c>
    </x:row>
    <x:row r="25" ht="195" customHeight="1">
      <x:c r="A25" s="62" t="str">
        <x:v>LIB-01</x:v>
      </x:c>
      <x:c r="B25" s="62" t="str">
        <x:v>Symbols, footprints and connectivity</x:v>
      </x:c>
      <x:c r="C25" s="65" t="str">
        <x:v>P0</x:v>
      </x:c>
      <x:c r="D25" s="62" t="str">
        <x:v>G1 Schematic</x:v>
      </x:c>
      <x:c r="E25" s="62" t="str">
        <x:v>Does every critical symbol pin map to the correct physical pad and function for the exact ordering code?</x:v>
      </x:c>
      <x:c r="F25" s="62" t="str">
        <x:v>Independent manufacturer-pin to symbol to footprint to net audit, especially ESP32, converters, CAN, GPS and connectors.</x:v>
      </x:c>
      <x:c r="G25" s="22" t="str">
        <x:v>CLOSED BY ORIGINAL SCOPE</x:v>
      </x:c>
      <x:c r="H25" s="22" t="str">
        <x:v>RVB22 coordinated engineering review</x:v>
      </x:c>
      <x:c r="I2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c r="K25" s="62" t="str">
        <x:v>Rev B; characterize Rev A only within its approved bench limits</x:v>
      </x:c>
      <x:c r="L25" s="62" t="str">
        <x:v>R1</x:v>
      </x:c>
      <x:c r="M25" s="62" t="str"/>
      <x:c r="N25" s="70" t="str">
        <x:v>CLOSED</x:v>
      </x:c>
    </x:row>
    <x:row r="26" ht="195" customHeight="1">
      <x:c r="A26" s="62" t="str">
        <x:v>LIB-02</x:v>
      </x:c>
      <x:c r="B26" s="62" t="str">
        <x:v>Symbols, footprints and connectivity</x:v>
      </x:c>
      <x:c r="C26" s="65" t="str">
        <x:v>P0</x:v>
      </x:c>
      <x:c r="D26" s="62" t="str">
        <x:v>G1 Schematic</x:v>
      </x:c>
      <x:c r="E26" s="62" t="str">
        <x:v>Are top view, bottom view, pin 1 and assembly rotation unambiguous for each IC and module?</x:v>
      </x:c>
      <x:c r="F26" s="62" t="str">
        <x:v>Package drawing overlaid with footprint and independently checked against assembly output.</x:v>
      </x:c>
      <x:c r="G26" s="22" t="str">
        <x:v>OPEN ORIGINAL ACCEPTANCE</x:v>
      </x:c>
      <x:c r="H26" s="22" t="str">
        <x:v>RVB22 coordinated engineering review</x:v>
      </x:c>
      <x:c r="I26" s="22" t="str">
        <x:v>All 153 source-to-placement/model identities match. Native parity alone does not constitute the requested independent package-drawing overlay for every IC/module.
CRITERION: OPEN
DESKTOP: CURRENT EVIDENCE REVIEWED
REMAINING: Complete an exact manufacturer top/bottom/pin-1 drawing overlay against each IC/module footprint and assembly rotation.</x:v>
      </x:c>
      <x:c r="J26" s="161" t="str">
        <x:v>runtime/run_native_candidate.py
runtime/final_I06_actual_preflight/RESULT.json
runtime/NATIVE_NEGATIVE_CONTROL_RECHECK.json
iterations/I06_harness_handoff/CANDIDATE_MANIFEST.json
iterations/I20_controlled_handoff/NATIVE_BINDING.json
current/SOURCE_EFFECTIVITY.json
analyses/mated_i18/RESULTS.json</x:v>
      </x:c>
      <x:c r="K26" s="62" t="str">
        <x:v>Rev B; characterize Rev A only within its approved bench limits</x:v>
      </x:c>
      <x:c r="L26" s="62" t="str">
        <x:v>R1</x:v>
      </x:c>
      <x:c r="M26" s="62" t="str"/>
      <x:c r="N26" s="70" t="str">
        <x:v>OPEN</x:v>
      </x:c>
    </x:row>
    <x:row r="27" ht="195" customHeight="1">
      <x:c r="A27" s="62" t="str">
        <x:v>LIB-03</x:v>
      </x:c>
      <x:c r="B27" s="62" t="str">
        <x:v>Symbols, footprints and connectivity</x:v>
      </x:c>
      <x:c r="C27" s="65" t="str">
        <x:v>P0</x:v>
      </x:c>
      <x:c r="D27" s="62" t="str">
        <x:v>G1 Schematic</x:v>
      </x:c>
      <x:c r="E27" s="62" t="str">
        <x:v>Were Rev A AP62200, ESP32, CAN and GPS library errors rebuilt rather than inherited?</x:v>
      </x:c>
      <x:c r="F27" s="62" t="str">
        <x:v>New library qualification records and net comparison against the controlled redlines.</x:v>
      </x:c>
      <x:c r="G27" s="22" t="str">
        <x:v>CLOSED BY ORIGINAL SCOPE</x:v>
      </x:c>
      <x:c r="H27" s="22" t="str">
        <x:v>RVB22 coordinated engineering review</x:v>
      </x:c>
      <x:c r="I2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 s="161" t="str">
        <x:v>iterations/I06_harness_handoff/CANDIDATE_MANIFEST.json
iterations/I20_controlled_handoff/NATIVE_BINDING.json
current/SOURCE_EFFECTIVITY.json
analyses/mated_i18/RESULTS.json</x:v>
      </x:c>
      <x:c r="K27" s="62" t="str">
        <x:v>Rev B; characterize Rev A only within its approved bench limits</x:v>
      </x:c>
      <x:c r="L27" s="62" t="str">
        <x:v>R1</x:v>
      </x:c>
      <x:c r="M27" s="62" t="str"/>
      <x:c r="N27" s="70" t="str">
        <x:v>CLOSED</x:v>
      </x:c>
    </x:row>
    <x:row r="28" ht="195" customHeight="1">
      <x:c r="A28" s="62" t="str">
        <x:v>LIB-04</x:v>
      </x:c>
      <x:c r="B28" s="62" t="str">
        <x:v>Symbols, footprints and connectivity</x:v>
      </x:c>
      <x:c r="C28" s="65" t="str">
        <x:v>P0</x:v>
      </x:c>
      <x:c r="D28" s="62" t="str">
        <x:v>G1 Schematic</x:v>
      </x:c>
      <x:c r="E28" s="62" t="str">
        <x:v>Does each two-terminal component connect to the intended two distinct electrical nodes?</x:v>
      </x:c>
      <x:c r="F28" s="62" t="str">
        <x:v>Machine check and schematic inspection identify collapsed feedback, divider and filter components; exceptions justified.</x:v>
      </x:c>
      <x:c r="G28" s="22" t="str">
        <x:v>CLOSED BY ORIGINAL SCOPE</x:v>
      </x:c>
      <x:c r="H28" s="22" t="str">
        <x:v>RVB22 coordinated engineering review</x:v>
      </x:c>
      <x:c r="I28" s="22" t="str">
        <x:v>Independent expanded-netlist review checks 141 two-terminal components. No collapsed passive and no schematic-to-PCB pad-net mismatch remains.
CRITERION: CLOSED
DESKTOP: COMPLETED CURRENT SOURCE VERIFICATION
REMAINING: Original documentary, design-inspection or execution scope satisfied. Related supplier and physical criteria retain their own dispositions.</x:v>
      </x:c>
      <x:c r="J28" s="161" t="str">
        <x:v>analyses/manufacturing_i20/RESULTS.json
iterations/I20_controlled_handoff/NATIVE_BINDING.json
current/SOURCE_EFFECTIVITY.json</x:v>
      </x:c>
      <x:c r="K28" s="62" t="str">
        <x:v>Rev B; characterize Rev A only within its approved bench limits</x:v>
      </x:c>
      <x:c r="L28" s="62" t="str">
        <x:v>R1</x:v>
      </x:c>
      <x:c r="M28" s="62" t="str"/>
      <x:c r="N28" s="70" t="str">
        <x:v>CLOSED</x:v>
      </x:c>
    </x:row>
    <x:row r="29" ht="195" customHeight="1">
      <x:c r="A29" s="62" t="str">
        <x:v>LIB-05</x:v>
      </x:c>
      <x:c r="B29" s="62" t="str">
        <x:v>Symbols, footprints and connectivity</x:v>
      </x:c>
      <x:c r="C29" s="65" t="str">
        <x:v>P0</x:v>
      </x:c>
      <x:c r="D29" s="62" t="str">
        <x:v>G1 Schematic</x:v>
      </x:c>
      <x:c r="E29" s="62" t="str">
        <x:v>Are hidden power pins, duplicated pin numbers, no-connects and stacked pads intentional?</x:v>
      </x:c>
      <x:c r="F29" s="62" t="str">
        <x:v>Explicit pin audit; no ERC suppression conceals a real missing supply or signal.</x:v>
      </x:c>
      <x:c r="G29" s="22" t="str">
        <x:v>CLOSED BY ORIGINAL SCOPE</x:v>
      </x:c>
      <x:c r="H29" s="22" t="str">
        <x:v>RVB22 coordinated engineering review</x:v>
      </x:c>
      <x:c r="I2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c r="K29" s="62" t="str">
        <x:v>Rev B; characterize Rev A only within its approved bench limits</x:v>
      </x:c>
      <x:c r="L29" s="62" t="str">
        <x:v>R1</x:v>
      </x:c>
      <x:c r="M29" s="62" t="str"/>
      <x:c r="N29" s="70" t="str">
        <x:v>CLOSED</x:v>
      </x:c>
    </x:row>
    <x:row r="30" ht="195" customHeight="1">
      <x:c r="A30" s="62" t="str">
        <x:v>LIB-06</x:v>
      </x:c>
      <x:c r="B30" s="62" t="str">
        <x:v>Symbols, footprints and connectivity</x:v>
      </x:c>
      <x:c r="C30" s="65" t="str">
        <x:v>P0</x:v>
      </x:c>
      <x:c r="D30" s="62" t="str">
        <x:v>G1 Schematic</x:v>
      </x:c>
      <x:c r="E30" s="62" t="str">
        <x:v>Are global labels and hierarchical ports free of unintended net collisions or direction errors?</x:v>
      </x:c>
      <x:c r="F30" s="62" t="str">
        <x:v>Expanded netlist and critical end-to-end point-to-point checks.</x:v>
      </x:c>
      <x:c r="G30" s="22" t="str">
        <x:v>CLOSED BY ORIGINAL SCOPE</x:v>
      </x:c>
      <x:c r="H30" s="22" t="str">
        <x:v>RVB22 coordinated engineering review</x:v>
      </x:c>
      <x:c r="I30" s="22" t="str">
        <x:v>Expanded schematic has 195 components and 133 nets. Every PCB pad agrees with the schematic netlist, and intended filled-copper connectivity has no disconnected pad net.
CRITERION: CLOSED
DESKTOP: COMPLETED CURRENT SOURCE VERIFICATION
REMAINING: Original documentary, design-inspection or execution scope satisfied. Related supplier and physical criteria retain their own dispositions.</x:v>
      </x:c>
      <x:c r="J30" s="161" t="str">
        <x:v>analyses/manufacturing_i20/RESULTS.json
iterations/I20_controlled_handoff/NATIVE_BINDING.json
current/SOURCE_EFFECTIVITY.json</x:v>
      </x:c>
      <x:c r="K30" s="62" t="str">
        <x:v>Rev B; characterize Rev A only within its approved bench limits</x:v>
      </x:c>
      <x:c r="L30" s="62" t="str">
        <x:v>R1</x:v>
      </x:c>
      <x:c r="M30" s="62" t="str"/>
      <x:c r="N30" s="70" t="str">
        <x:v>CLOSED</x:v>
      </x:c>
    </x:row>
    <x:row r="31" ht="195" customHeight="1">
      <x:c r="A31" s="62" t="str">
        <x:v>LIB-07</x:v>
      </x:c>
      <x:c r="B31" s="62" t="str">
        <x:v>Symbols, footprints and connectivity</x:v>
      </x:c>
      <x:c r="C31" s="65" t="str">
        <x:v>P1</x:v>
      </x:c>
      <x:c r="D31" s="62" t="str">
        <x:v>G1 Schematic</x:v>
      </x:c>
      <x:c r="E31" s="62" t="str">
        <x:v>Are the exact module variant's reserved pins, integrated flash/PSRAM connections and unavailable GPIOs respected?</x:v>
      </x:c>
      <x:c r="F31" s="62" t="str">
        <x:v>Variant-specific manufacturer pin restrictions reconciled with firmware allocation.</x:v>
      </x:c>
      <x:c r="G31" s="22" t="str">
        <x:v>CLOSED BY ORIGINAL SCOPE</x:v>
      </x:c>
      <x:c r="H31" s="22" t="str">
        <x:v>RVB22 coordinated engineering review</x:v>
      </x:c>
      <x:c r="I3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1" s="161" t="str">
        <x:v>lanes/firmware_oil/RECOVERED_RELEASE_CHECKS.json
lanes/firmware_oil/RECOVERED_FIRMWARE_TEST_RESULTS.json
lanes/firmware_oil/FINAL_I04_OIL_FIRMWARE_EFFECTIVITY.json
iterations/I20_controlled_handoff/NATIVE_BINDING.json
current/SOURCE_EFFECTIVITY.json
analyses/mated_i18/RESULTS.json</x:v>
      </x:c>
      <x:c r="K31" s="62" t="str">
        <x:v>Rev B; characterize Rev A only within its approved bench limits</x:v>
      </x:c>
      <x:c r="L31" s="62" t="str">
        <x:v>R1</x:v>
      </x:c>
      <x:c r="M31" s="62" t="str"/>
      <x:c r="N31" s="70" t="str">
        <x:v>CLOSED</x:v>
      </x:c>
    </x:row>
    <x:row r="32" ht="195" customHeight="1">
      <x:c r="A32" s="62" t="str">
        <x:v>LIB-08</x:v>
      </x:c>
      <x:c r="B32" s="62" t="str">
        <x:v>Symbols, footprints and connectivity</x:v>
      </x:c>
      <x:c r="C32" s="65" t="str">
        <x:v>P0</x:v>
      </x:c>
      <x:c r="D32" s="62" t="str">
        <x:v>G1 Schematic</x:v>
      </x:c>
      <x:c r="E32" s="62" t="str">
        <x:v>Are exposed pads and shield/ground lands connected according to the exact part documentation?</x:v>
      </x:c>
      <x:c r="F32" s="62" t="str">
        <x:v>Copper, thermal and solder-mask review with reference to manufacturer recommendations.</x:v>
      </x:c>
      <x:c r="G32" s="22" t="str">
        <x:v>OPEN ORIGINAL ACCEPTANCE</x:v>
      </x:c>
      <x:c r="H32" s="22" t="str">
        <x:v>RVB22 coordinated engineering review</x:v>
      </x:c>
      <x:c r="I32" s="22" t="str">
        <x:v>Pad and shield connectivity, native mask/clearance and source parity pass. Full package thermal closure is still unresolved.
CRITERION: OPEN
DESKTOP: CURRENT EVIDENCE REVIEWED
REMAINING: Finish exact manufacturer exposed-pad/package thermal and solder-mask applicability review.</x:v>
      </x:c>
      <x:c r="J32"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c r="K32" s="62" t="str">
        <x:v>Rev B; characterize Rev A only within its approved bench limits</x:v>
      </x:c>
      <x:c r="L32" s="62" t="str">
        <x:v>R1</x:v>
      </x:c>
      <x:c r="M32" s="62" t="str"/>
      <x:c r="N32" s="70" t="str">
        <x:v>OPEN</x:v>
      </x:c>
    </x:row>
    <x:row r="33" ht="195" customHeight="1">
      <x:c r="A33" s="62" t="str">
        <x:v>LIB-09</x:v>
      </x:c>
      <x:c r="B33" s="62" t="str">
        <x:v>Symbols, footprints and connectivity</x:v>
      </x:c>
      <x:c r="C33" s="65" t="str">
        <x:v>P0</x:v>
      </x:c>
      <x:c r="D33" s="62" t="str">
        <x:v>G1 Schematic</x:v>
      </x:c>
      <x:c r="E33" s="62" t="str">
        <x:v>Are MOSFET source/drain/body diode, protection diode polarity and LED polarity verified physically?</x:v>
      </x:c>
      <x:c r="F33" s="62" t="str">
        <x:v>Pin-function table and traced normal/fault current paths, not symbol appearance alone.</x:v>
      </x:c>
      <x:c r="G33" s="22" t="str">
        <x:v>CLOSED BY ORIGINAL SCOPE</x:v>
      </x:c>
      <x:c r="H33" s="22" t="str">
        <x:v>RVB22 coordinated engineering review</x:v>
      </x:c>
      <x:c r="I3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3"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c r="K33" s="62" t="str">
        <x:v>Rev B; characterize Rev A only within its approved bench limits</x:v>
      </x:c>
      <x:c r="L33" s="62" t="str">
        <x:v>R1</x:v>
      </x:c>
      <x:c r="M33" s="62" t="str"/>
      <x:c r="N33" s="70" t="str">
        <x:v>CLOSED</x:v>
      </x:c>
    </x:row>
    <x:row r="34" ht="195" customHeight="1">
      <x:c r="A34" s="62" t="str">
        <x:v>LIB-10</x:v>
      </x:c>
      <x:c r="B34" s="62" t="str">
        <x:v>Symbols, footprints and connectivity</x:v>
      </x:c>
      <x:c r="C34" s="65" t="str">
        <x:v>P1</x:v>
      </x:c>
      <x:c r="D34" s="62" t="str">
        <x:v>G1 Schematic</x:v>
      </x:c>
      <x:c r="E34" s="62" t="str">
        <x:v>Are any 0-ohm links, ferrites, net ties or DNP test structures bypassing a required functional element?</x:v>
      </x:c>
      <x:c r="F34" s="62" t="str">
        <x:v>Populated-variant connectivity audit shows the effective circuit for every allowed option.</x:v>
      </x:c>
      <x:c r="G34" s="22" t="str">
        <x:v>CLOSED BY ORIGINAL SCOPE</x:v>
      </x:c>
      <x:c r="H34" s="22" t="str">
        <x:v>RVB22 coordinated engineering review</x:v>
      </x:c>
      <x:c r="I3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34"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current/SOURCE_EFFECTIVITY.json
analyses/mated_i18/RESULTS.json</x:v>
      </x:c>
      <x:c r="K34" s="62" t="str">
        <x:v>Rev B; characterize Rev A only within its approved bench limits</x:v>
      </x:c>
      <x:c r="L34" s="62" t="str">
        <x:v>R1</x:v>
      </x:c>
      <x:c r="M34" s="62" t="str"/>
      <x:c r="N34" s="70" t="str">
        <x:v>CLOSED</x:v>
      </x:c>
    </x:row>
    <x:row r="35" ht="216" customHeight="1">
      <x:c r="A35" s="62" t="str">
        <x:v>WCA-01</x:v>
      </x:c>
      <x:c r="B35" s="62" t="str">
        <x:v>Worst-case circuit and component analysis</x:v>
      </x:c>
      <x:c r="C35" s="65" t="str">
        <x:v>P0</x:v>
      </x:c>
      <x:c r="D35" s="62" t="str">
        <x:v>G1 Schematic</x:v>
      </x:c>
      <x:c r="E35" s="62" t="str">
        <x:v>Are recommended operating limits used for operation and absolute maxima reserved as damage boundaries?</x:v>
      </x:c>
      <x:c r="F35" s="62" t="str">
        <x:v>Per-pin and per-part stress table distinguishes operating margin from survival margin.</x:v>
      </x:c>
      <x:c r="G35" s="22" t="str">
        <x:v>CURRENT SOURCE OR MODEL WITH REMAINING CONDITIONS</x:v>
      </x:c>
      <x:c r="H35" s="22" t="str">
        <x:v>RVB22 coordinated engineering review</x:v>
      </x:c>
      <x:c r="I35"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unknown die pulse and external source bounds remain explicit conditions.</x:v>
      </x:c>
      <x:c r="J35" s="161" t="str">
        <x:v>lanes/power/FINAL_I04_POWER_EFFECTIVITY.json
lanes/power/COUPLED_STARTUP_ENVELOPE.json
lanes/power_limits/POWER_LIMITS_SUMMARY.json
analyses/power_i19/SUMMARY.json
analyses/power_i19/EXTREMA_CONFIRMATION.json
analyses/thermal_i18/face_15.0/RESULTS.json</x:v>
      </x:c>
      <x:c r="K35" s="62" t="str">
        <x:v>Rev B; characterize Rev A only within its approved bench limits</x:v>
      </x:c>
      <x:c r="L35" s="62" t="str">
        <x:v>E</x:v>
      </x:c>
      <x:c r="M35" s="62" t="str"/>
      <x:c r="N35" s="70" t="str">
        <x:v>OPEN</x:v>
      </x:c>
    </x:row>
    <x:row r="36" ht="271" customHeight="1">
      <x:c r="A36" s="62" t="str">
        <x:v>WCA-02</x:v>
      </x:c>
      <x:c r="B36" s="62" t="str">
        <x:v>Worst-case circuit and component analysis</x:v>
      </x:c>
      <x:c r="C36" s="65" t="str">
        <x:v>P1</x:v>
      </x:c>
      <x:c r="D36" s="62" t="str">
        <x:v>G1 Schematic</x:v>
      </x:c>
      <x:c r="E36" s="62" t="str">
        <x:v>Are resistor tolerance, temperature coefficient, power, pulse rating and working voltage adequate?</x:v>
      </x:c>
      <x:c r="F36" s="62" t="str">
        <x:v>Worst-case calculations cover normal bias and credible transient/fault currents.</x:v>
      </x:c>
      <x:c r="G36" s="22" t="str">
        <x:v>CURRENT SOURCE OR MODEL WITH REMAINING CONDITIONS</x:v>
      </x:c>
      <x:c r="H36" s="22" t="str">
        <x:v>RVB22 coordinated engineering review</x:v>
      </x:c>
      <x:c r="I36"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allocated fault severity and supplier transient limits are not universal proof.</x:v>
      </x:c>
      <x:c r="J36" s="161" t="str">
        <x:v>lanes/power/FINAL_I04_POWER_EFFECTIVITY.json
lanes/power/COUPLED_STARTUP_ENVELOPE.json
lanes/power_limits/POWER_LIMITS_SUMMARY.json
analyses/power_i19/SUMMARY.json
analyses/power_i19/EXTREMA_CONFIRMATION.json
analyses/thermal_i18/face_15.0/RESULTS.json</x:v>
      </x:c>
      <x:c r="K36" s="62" t="str">
        <x:v>Rev B; characterize Rev A only within its approved bench limits</x:v>
      </x:c>
      <x:c r="L36" s="62" t="str">
        <x:v>E</x:v>
      </x:c>
      <x:c r="M36" s="62" t="str"/>
      <x:c r="N36" s="70" t="str">
        <x:v>OPEN</x:v>
      </x:c>
    </x:row>
    <x:row r="37" ht="195" customHeight="1">
      <x:c r="A37" s="62" t="str">
        <x:v>WCA-03</x:v>
      </x:c>
      <x:c r="B37" s="62" t="str">
        <x:v>Worst-case circuit and component analysis</x:v>
      </x:c>
      <x:c r="C37" s="65" t="str">
        <x:v>P1</x:v>
      </x:c>
      <x:c r="D37" s="62" t="str">
        <x:v>G1 Schematic</x:v>
      </x:c>
      <x:c r="E37" s="62" t="str">
        <x:v>Are effective ceramic capacitance, DC-bias loss, temperature, tolerance and aging included?</x:v>
      </x:c>
      <x:c r="F37" s="62" t="str">
        <x:v>Selected-part curves and minimum/maximum effective capacitance used in circuit calculations.</x:v>
      </x:c>
      <x:c r="G37" s="22" t="str">
        <x:v>CURRENT SOURCE OR MODEL WITH REMAINING CONDITIONS</x:v>
      </x:c>
      <x:c r="H37" s="22" t="str">
        <x:v>RVB22 coordinated engineering review</x:v>
      </x:c>
      <x:c r="I37"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simultaneous bias/age/temperature bounds use explicit allocations where no supplier guarantee is available.</x:v>
      </x:c>
      <x:c r="J37" s="161" t="str">
        <x:v>lanes/power/FINAL_I04_POWER_EFFECTIVITY.json
lanes/power/COUPLED_STARTUP_ENVELOPE.json
lanes/power_limits/POWER_LIMITS_SUMMARY.json
analyses/power_i19/SUMMARY.json
analyses/power_i19/EXTREMA_CONFIRMATION.json
analyses/thermal_i18/face_15.0/RESULTS.json</x:v>
      </x:c>
      <x:c r="K37" s="62" t="str">
        <x:v>Rev B; characterize Rev A only within its approved bench limits</x:v>
      </x:c>
      <x:c r="L37" s="62" t="str">
        <x:v>E</x:v>
      </x:c>
      <x:c r="M37" s="62" t="str"/>
      <x:c r="N37" s="70" t="str">
        <x:v>OPEN</x:v>
      </x:c>
    </x:row>
    <x:row r="38" ht="195" customHeight="1">
      <x:c r="A38" s="62" t="str">
        <x:v>WCA-04</x:v>
      </x:c>
      <x:c r="B38" s="62" t="str">
        <x:v>Worst-case circuit and component analysis</x:v>
      </x:c>
      <x:c r="C38" s="65" t="str">
        <x:v>P0</x:v>
      </x:c>
      <x:c r="D38" s="62" t="str">
        <x:v>G1 Schematic</x:v>
      </x:c>
      <x:c r="E38" s="62" t="str">
        <x:v>Are inductors checked for saturation, RMS heating and tolerances over temperature?</x:v>
      </x:c>
      <x:c r="F38" s="62" t="str">
        <x:v>Peak/RMS current calculations, current-limit corner and selected-part derating.</x:v>
      </x:c>
      <x:c r="G38" s="22" t="str">
        <x:v>CURRENT SOURCE OR MODEL WITH REMAINING CONDITIONS</x:v>
      </x:c>
      <x:c r="H38" s="22" t="str">
        <x:v>RVB22 coordinated engineering review</x:v>
      </x:c>
      <x:c r="I38"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hot L(I), core-loss and current-limit response bounds remain stated applicability conditions.</x:v>
      </x:c>
      <x:c r="J38" s="161" t="str">
        <x:v>lanes/power/FINAL_I04_POWER_EFFECTIVITY.json
lanes/power/COUPLED_STARTUP_ENVELOPE.json
lanes/power_limits/POWER_LIMITS_SUMMARY.json
analyses/power_i19/SUMMARY.json
analyses/power_i19/EXTREMA_CONFIRMATION.json
analyses/thermal_i18/face_15.0/RESULTS.json</x:v>
      </x:c>
      <x:c r="K38" s="62" t="str">
        <x:v>Rev B; characterize Rev A only within its approved bench limits</x:v>
      </x:c>
      <x:c r="L38" s="62" t="str">
        <x:v>E</x:v>
      </x:c>
      <x:c r="M38" s="62" t="str"/>
      <x:c r="N38" s="70" t="str">
        <x:v>OPEN</x:v>
      </x:c>
    </x:row>
    <x:row r="39" ht="205" customHeight="1">
      <x:c r="A39" s="62" t="str">
        <x:v>WCA-05</x:v>
      </x:c>
      <x:c r="B39" s="62" t="str">
        <x:v>Worst-case circuit and component analysis</x:v>
      </x:c>
      <x:c r="C39" s="65" t="str">
        <x:v>P1</x:v>
      </x:c>
      <x:c r="D39" s="62" t="str">
        <x:v>G1 Schematic</x:v>
      </x:c>
      <x:c r="E39" s="62" t="str">
        <x:v>Are protection leakage and parasitic capacitance included in ADC, CAN and RF performance?</x:v>
      </x:c>
      <x:c r="F39" s="62" t="str">
        <x:v>Worst-temperature leakage/capacitance sensitivity analysis using exact parts.</x:v>
      </x:c>
      <x:c r="G39" s="22" t="str">
        <x:v>CURRENT SOURCE OR MODEL WITH REMAINING CONDITIONS</x:v>
      </x:c>
      <x:c r="H39" s="22" t="str">
        <x:v>RVB22 coordinated engineering review</x:v>
      </x:c>
      <x:c r="I39"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missing guaranteed extreme device behavior remains an applicability condition.</x:v>
      </x:c>
      <x:c r="J39" s="161" t="str">
        <x:v>lanes/firmware_oil/RECOVERED_FIRMWARE_TEST_RESULTS.json
lanes/firmware_oil/RECOVERY_CALIBRATION_GAIN_REDLINE.json
interfaces/OIL_HARNESS_ERROR_SWEEP.json
analyses/power_i19/SUMMARY.json
analyses/power_i19/EXTREMA_CONFIRMATION.json
analyses/thermal_i18/face_15.0/RESULTS.json</x:v>
      </x:c>
      <x:c r="K39" s="62" t="str">
        <x:v>Rev B; characterize Rev A only within its approved bench limits</x:v>
      </x:c>
      <x:c r="L39" s="62" t="str">
        <x:v>E</x:v>
      </x:c>
      <x:c r="M39" s="62" t="str"/>
      <x:c r="N39" s="70" t="str">
        <x:v>OPEN</x:v>
      </x:c>
    </x:row>
    <x:row r="40" ht="227" customHeight="1">
      <x:c r="A40" s="62" t="str">
        <x:v>WCA-06</x:v>
      </x:c>
      <x:c r="B40" s="62" t="str">
        <x:v>Worst-case circuit and component analysis</x:v>
      </x:c>
      <x:c r="C40" s="65" t="str">
        <x:v>P0</x:v>
      </x:c>
      <x:c r="D40" s="62" t="str">
        <x:v>G1 Schematic</x:v>
      </x:c>
      <x:c r="E40" s="62" t="str">
        <x:v>Are all logic interfaces compatible at rail extremes and during partial power?</x:v>
      </x:c>
      <x:c r="F40" s="62" t="str">
        <x:v>VOH/VOL versus VIH/VIL margins plus pin-injection/back-power analysis.</x:v>
      </x:c>
      <x:c r="G40" s="22" t="str">
        <x:v>CURRENT SOURCE OR MODEL WITH REMAINING CONDITIONS</x:v>
      </x:c>
      <x:c r="H40" s="22" t="str">
        <x:v>RVB22 coordinated engineering review</x:v>
      </x:c>
      <x:c r="I40"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undocumented powered-off silicon behavior remains conditional.</x:v>
      </x:c>
      <x:c r="J40" s="161" t="str">
        <x:v>lanes/firmware_oil/RECOVERED_FIRMWARE_TEST_RESULTS.json
lanes/firmware_oil/RECOVERY_CALIBRATION_GAIN_REDLINE.json
interfaces/OIL_HARNESS_ERROR_SWEEP.json
analyses/power_i19/SUMMARY.json
analyses/power_i19/EXTREMA_CONFIRMATION.json
analyses/thermal_i18/face_15.0/RESULTS.json</x:v>
      </x:c>
      <x:c r="K40" s="62" t="str">
        <x:v>Rev B; characterize Rev A only within its approved bench limits</x:v>
      </x:c>
      <x:c r="L40" s="62" t="str">
        <x:v>E</x:v>
      </x:c>
      <x:c r="M40" s="62" t="str"/>
      <x:c r="N40" s="70" t="str">
        <x:v>OPEN</x:v>
      </x:c>
    </x:row>
    <x:row r="41" ht="205" customHeight="1">
      <x:c r="A41" s="62" t="str">
        <x:v>WCA-07</x:v>
      </x:c>
      <x:c r="B41" s="62" t="str">
        <x:v>Worst-case circuit and component analysis</x:v>
      </x:c>
      <x:c r="C41" s="65" t="str">
        <x:v>P1</x:v>
      </x:c>
      <x:c r="D41" s="62" t="str">
        <x:v>G1 Schematic</x:v>
      </x:c>
      <x:c r="E41" s="62" t="str">
        <x:v>Is each LED an actual current-limited current path with acceptable GPIO loading?</x:v>
      </x:c>
      <x:c r="F41" s="62" t="str">
        <x:v>Physical pin route, polarity and worst-case brightness/current calculation.</x:v>
      </x:c>
      <x:c r="G41" s="22" t="str">
        <x:v>CURRENT SOURCE OR MODEL WITH REMAINING CONDITIONS</x:v>
      </x:c>
      <x:c r="H41" s="22" t="str">
        <x:v>RVB22 coordinated engineering review</x:v>
      </x:c>
      <x:c r="I41"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COMPLETED CONDITIONAL MODEL
REMAINING: a guaranteed worst-case optical minimum and dashboard visibility are not established.</x:v>
      </x:c>
      <x:c r="J41" s="161" t="str">
        <x:v>analyses/power_i19/SUMMARY.json
analyses/power_i19/EXTREMA_CONFIRMATION.json
analyses/thermal_i18/face_15.0/RESULTS.json</x:v>
      </x:c>
      <x:c r="K41" s="62" t="str">
        <x:v>Rev B; characterize Rev A only within its approved bench limits</x:v>
      </x:c>
      <x:c r="L41" s="62" t="str">
        <x:v>E</x:v>
      </x:c>
      <x:c r="M41" s="62" t="str"/>
      <x:c r="N41" s="70" t="str">
        <x:v>OPEN</x:v>
      </x:c>
    </x:row>
    <x:row r="42" ht="195" customHeight="1">
      <x:c r="A42" s="62" t="str">
        <x:v>WCA-08</x:v>
      </x:c>
      <x:c r="B42" s="62" t="str">
        <x:v>Worst-case circuit and component analysis</x:v>
      </x:c>
      <x:c r="C42" s="65" t="str">
        <x:v>P1</x:v>
      </x:c>
      <x:c r="D42" s="62" t="str">
        <x:v>G1 Schematic</x:v>
      </x:c>
      <x:c r="E42" s="62" t="str">
        <x:v>Are optional features included in power, thermal and resource budgets when enabled together?</x:v>
      </x:c>
      <x:c r="F42" s="62" t="str">
        <x:v>Worst populated-variant budget rather than isolated best-case calculations.</x:v>
      </x:c>
      <x:c r="G42" s="22" t="str">
        <x:v>CLOSED BY ORIGINAL SCOPE</x:v>
      </x:c>
      <x:c r="H42" s="22" t="str">
        <x:v>RVB22 coordinated engineering review</x:v>
      </x:c>
      <x:c r="I42" s="22"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
CRITERION: CLOSED
DESKTOP: CURRENT EVIDENCE REVIEWED
REMAINING: </x:v>
      </x:c>
      <x:c r="J42"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c r="K42" s="62" t="str">
        <x:v>Rev B; characterize Rev A only within its approved bench limits</x:v>
      </x:c>
      <x:c r="L42" s="62" t="str">
        <x:v>E</x:v>
      </x:c>
      <x:c r="M42" s="62" t="str"/>
      <x:c r="N42" s="70" t="str">
        <x:v>CLOSED</x:v>
      </x:c>
    </x:row>
    <x:row r="43" ht="195" customHeight="1">
      <x:c r="A43" s="62" t="str">
        <x:v>WCA-09</x:v>
      </x:c>
      <x:c r="B43" s="62" t="str">
        <x:v>Worst-case circuit and component analysis</x:v>
      </x:c>
      <x:c r="C43" s="65" t="str">
        <x:v>P1</x:v>
      </x:c>
      <x:c r="D43" s="62" t="str">
        <x:v>G1 Schematic</x:v>
      </x:c>
      <x:c r="E43" s="62" t="str">
        <x:v>Are Monte Carlo or root-sum-square assumptions statistically justified rather than replacing bounded safety checks?</x:v>
      </x:c>
      <x:c r="F43" s="62" t="str">
        <x:v>Tolerance method and distributions stated; deterministic limits used for safety-critical stress.</x:v>
      </x:c>
      <x:c r="G43" s="22" t="str">
        <x:v>CLOSED BY ORIGINAL SCOPE</x:v>
      </x:c>
      <x:c r="H43" s="22" t="str">
        <x:v>RVB22 coordinated engineering review</x:v>
      </x:c>
      <x:c r="I43" s="22"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
CRITERION: CLOSED
DESKTOP: CURRENT EVIDENCE REVIEWED
REMAINING: </x:v>
      </x:c>
      <x:c r="J43" s="161" t="str">
        <x:v>control/EXECUTION_PLAN_CURRENT.md
control/RECOVERY_LEDGER.md
control/DESKTOP_ACTION_DISPOSITIONS_CURRENT.json
iterations/I06_harness_handoff/CANDIDATE_MANIFEST.json
control/FINAL_GATES.json
analyses/power_i19/SUMMARY.json
analyses/power_i19/EXTREMA_CONFIRMATION.json
analyses/thermal_i18/face_15.0/RESULTS.json</x:v>
      </x:c>
      <x:c r="K43" s="62" t="str">
        <x:v>Rev B; characterize Rev A only within its approved bench limits</x:v>
      </x:c>
      <x:c r="L43" s="62" t="str">
        <x:v>E</x:v>
      </x:c>
      <x:c r="M43" s="62" t="str"/>
      <x:c r="N43" s="70" t="str">
        <x:v>CLOSED</x:v>
      </x:c>
    </x:row>
    <x:row r="44" ht="238" customHeight="1">
      <x:c r="A44" s="62" t="str">
        <x:v>WCA-10</x:v>
      </x:c>
      <x:c r="B44" s="62" t="str">
        <x:v>Worst-case circuit and component analysis</x:v>
      </x:c>
      <x:c r="C44" s="65" t="str">
        <x:v>P1</x:v>
      </x:c>
      <x:c r="D44" s="62" t="str">
        <x:v>G1 Schematic</x:v>
      </x:c>
      <x:c r="E44" s="62" t="str">
        <x:v>Are exact suffixes, qualification grades, errata, lifecycle and alternates controlled?</x:v>
      </x:c>
      <x:c r="F44" s="62" t="str">
        <x:v>Approved vendor list and documented equivalence review for each allowed substitution.</x:v>
      </x:c>
      <x:c r="G44" s="22" t="str">
        <x:v>CURRENT SOURCE OR MODEL WITH REMAINING CONDITIONS</x:v>
      </x:c>
      <x:c r="H44" s="22" t="str">
        <x:v>RVB22 coordinated engineering review</x:v>
      </x:c>
      <x:c r="I44" s="22"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
CRITERION: OPEN
DESKTOP: SUPPLIER OR RESPONSIBLE ACCEPTANCE
REMAINING: actual authorized supply allocation and unresolved declarations remain supplier acceptance.</x:v>
      </x:c>
      <x:c r="J44" s="161" t="str">
        <x:v>analyses/assembly_handling/EXACT_MPN_HANDLING_REGISTER.json
analyses/assembly_handling/PROCESS_RECONCILIATION.md
lanes/mechanics/ASSEMBLY_PROCESS_RVB22.md
analyses/power_i19/SUMMARY.json
analyses/power_i19/EXTREMA_CONFIRMATION.json
analyses/thermal_i18/face_15.0/RESULTS.json</x:v>
      </x:c>
      <x:c r="K44" s="62" t="str">
        <x:v>Rev B; characterize Rev A only within its approved bench limits</x:v>
      </x:c>
      <x:c r="L44" s="62" t="str">
        <x:v>E</x:v>
      </x:c>
      <x:c r="M44" s="62" t="str"/>
      <x:c r="N44" s="70" t="str">
        <x:v>OPEN</x:v>
      </x:c>
    </x:row>
    <x:row r="45" ht="195" customHeight="1">
      <x:c r="A45" s="62" t="str">
        <x:v>PWR-01</x:v>
      </x:c>
      <x:c r="B45" s="62" t="str">
        <x:v>Automotive power entry and protection</x:v>
      </x:c>
      <x:c r="C45" s="65" t="str">
        <x:v>P0</x:v>
      </x:c>
      <x:c r="D45" s="62" t="str">
        <x:v>G1 Schematic</x:v>
      </x:c>
      <x:c r="E45" s="62" t="str">
        <x:v>What supply voltage, reverse battery, crank, jump-start, load dump and interruption conditions must this installation withstand?</x:v>
      </x:c>
      <x:c r="F45" s="62" t="str">
        <x:v>Agreed waveform envelope includes source impedance, duration, repetition and allowed functional status.</x:v>
      </x:c>
      <x:c r="G45" s="22" t="str">
        <x:v>CURRENT SOURCE OR MODEL WITH REMAINING CONDITIONS</x:v>
      </x:c>
      <x:c r="H45" s="22" t="str">
        <x:v>RVB22 coordinated engineering review</x:v>
      </x:c>
      <x:c r="I4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vehicle envelope applicability and qualified acceptance remain.</x:v>
      </x:c>
      <x:c r="J45" s="161" t="str">
        <x:v>lanes/power/FINAL_I04_POWER_EFFECTIVITY.json
lanes/power/COUPLED_STARTUP_ENVELOPE.json
lanes/power_limits/POWER_LIMITS_SUMMARY.json
analyses/power_i19/SUMMARY.json
analyses/power_i19/EXTREMA_CONFIRMATION.json</x:v>
      </x:c>
      <x:c r="K45" s="62" t="str">
        <x:v>Rev B; characterize Rev A only within its approved bench limits</x:v>
      </x:c>
      <x:c r="L45" s="62" t="str">
        <x:v>S7</x:v>
      </x:c>
      <x:c r="M45" s="62" t="str">
        <x:v>https://www.ti.com/lit/pdf/snoaaa1</x:v>
      </x:c>
      <x:c r="N45" s="70" t="str">
        <x:v>OPEN</x:v>
      </x:c>
    </x:row>
    <x:row r="46" ht="195" customHeight="1">
      <x:c r="A46" s="62" t="str">
        <x:v>PWR-02</x:v>
      </x:c>
      <x:c r="B46" s="62" t="str">
        <x:v>Automotive power entry and protection</x:v>
      </x:c>
      <x:c r="C46" s="65" t="str">
        <x:v>P0</x:v>
      </x:c>
      <x:c r="D46" s="62" t="str">
        <x:v>G1 Schematic</x:v>
      </x:c>
      <x:c r="E46" s="62" t="str">
        <x:v>Are fuse, reverse protection, TVS, filter and regulator designed as one coordinated protection chain?</x:v>
      </x:c>
      <x:c r="F46" s="62" t="str">
        <x:v>Traced normal and fault current paths with voltage, energy and clearing-time budgets.</x:v>
      </x:c>
      <x:c r="G46" s="22" t="str">
        <x:v>CURRENT SOURCE OR MODEL WITH REMAINING CONDITIONS</x:v>
      </x:c>
      <x:c r="H46" s="22" t="str">
        <x:v>RVB22 coordinated engineering review</x:v>
      </x:c>
      <x:c r="I4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source impedance and fault clearing applicability remain conditions.</x:v>
      </x:c>
      <x:c r="J46" s="161" t="str">
        <x:v>lanes/power/FINAL_I04_POWER_EFFECTIVITY.json
lanes/power/COUPLED_STARTUP_ENVELOPE.json
lanes/power_limits/POWER_LIMITS_SUMMARY.json
analyses/power_i19/SUMMARY.json
analyses/power_i19/EXTREMA_CONFIRMATION.json</x:v>
      </x:c>
      <x:c r="K46" s="62" t="str">
        <x:v>Rev B; characterize Rev A only within its approved bench limits</x:v>
      </x:c>
      <x:c r="L46" s="62" t="str">
        <x:v>S7</x:v>
      </x:c>
      <x:c r="M46" s="62" t="str">
        <x:v>https://www.ti.com/lit/pdf/snoaaa1</x:v>
      </x:c>
      <x:c r="N46" s="70" t="str">
        <x:v>OPEN</x:v>
      </x:c>
    </x:row>
    <x:row r="47" ht="195" customHeight="1">
      <x:c r="A47" s="62" t="str">
        <x:v>PWR-03</x:v>
      </x:c>
      <x:c r="B47" s="62" t="str">
        <x:v>Automotive power entry and protection</x:v>
      </x:c>
      <x:c r="C47" s="65" t="str">
        <x:v>P0</x:v>
      </x:c>
      <x:c r="D47" s="62" t="str">
        <x:v>G1 Schematic</x:v>
      </x:c>
      <x:c r="E47" s="62" t="str">
        <x:v>Is maximum protected-node voltage calculated from actual clamp current, tolerance, temperature and interconnect overshoot?</x:v>
      </x:c>
      <x:c r="F47" s="62" t="str">
        <x:v>Worst-case clamp calculation lies within approved downstream stress limits with margin.</x:v>
      </x:c>
      <x:c r="G47" s="22" t="str">
        <x:v>CURRENT SOURCE OR MODEL WITH REMAINING CONDITIONS</x:v>
      </x:c>
      <x:c r="H47" s="22" t="str">
        <x:v>RVB22 coordinated engineering review</x:v>
      </x:c>
      <x:c r="I4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device pulse guarantees do not follow from a static absmax comparison.</x:v>
      </x:c>
      <x:c r="J47" s="161" t="str">
        <x:v>lanes/power/FINAL_I04_POWER_EFFECTIVITY.json
lanes/power/COUPLED_STARTUP_ENVELOPE.json
lanes/power_limits/POWER_LIMITS_SUMMARY.json
analyses/power_i19/SUMMARY.json
analyses/power_i19/EXTREMA_CONFIRMATION.json</x:v>
      </x:c>
      <x:c r="K47" s="62" t="str">
        <x:v>Rev B; characterize Rev A only within its approved bench limits</x:v>
      </x:c>
      <x:c r="L47" s="62" t="str">
        <x:v>S7</x:v>
      </x:c>
      <x:c r="M47" s="62" t="str">
        <x:v>https://www.ti.com/lit/pdf/snoaaa1</x:v>
      </x:c>
      <x:c r="N47" s="70" t="str">
        <x:v>OPEN</x:v>
      </x:c>
    </x:row>
    <x:row r="48" ht="195" customHeight="1">
      <x:c r="A48" s="62" t="str">
        <x:v>PWR-04</x:v>
      </x:c>
      <x:c r="B48" s="62" t="str">
        <x:v>Automotive power entry and protection</x:v>
      </x:c>
      <x:c r="C48" s="65" t="str">
        <x:v>P0</x:v>
      </x:c>
      <x:c r="D48" s="62" t="str">
        <x:v>G1 Schematic</x:v>
      </x:c>
      <x:c r="E48" s="62" t="str">
        <x:v>Can the TVS, series device and input capacitors survive the specified pulse energy and repetition?</x:v>
      </x:c>
      <x:c r="F48" s="62" t="str">
        <x:v>Transient energy, pulse derating, MOSFET SOA and thermal recovery evidence.</x:v>
      </x:c>
      <x:c r="G48" s="22" t="str">
        <x:v>CURRENT SOURCE OR MODEL WITH REMAINING CONDITIONS</x:v>
      </x:c>
      <x:c r="H48" s="22" t="str">
        <x:v>RVB22 coordinated engineering review</x:v>
      </x:c>
      <x:c r="I4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transient silicon and repeated-pulse thermal applicability remain conditional.</x:v>
      </x:c>
      <x:c r="J48" s="161" t="str">
        <x:v>lanes/power/FINAL_I04_POWER_EFFECTIVITY.json
lanes/power/COUPLED_STARTUP_ENVELOPE.json
lanes/power_limits/POWER_LIMITS_SUMMARY.json
analyses/power_i19/SUMMARY.json
analyses/power_i19/EXTREMA_CONFIRMATION.json</x:v>
      </x:c>
      <x:c r="K48" s="62" t="str">
        <x:v>Rev B; characterize Rev A only within its approved bench limits</x:v>
      </x:c>
      <x:c r="L48" s="62" t="str">
        <x:v>S7</x:v>
      </x:c>
      <x:c r="M48" s="62" t="str">
        <x:v>https://www.ti.com/lit/pdf/snoaaa1</x:v>
      </x:c>
      <x:c r="N48" s="70" t="str">
        <x:v>OPEN</x:v>
      </x:c>
    </x:row>
    <x:row r="49" ht="195" customHeight="1">
      <x:c r="A49" s="62" t="str">
        <x:v>PWR-05</x:v>
      </x:c>
      <x:c r="B49" s="62" t="str">
        <x:v>Automotive power entry and protection</x:v>
      </x:c>
      <x:c r="C49" s="65" t="str">
        <x:v>P0</x:v>
      </x:c>
      <x:c r="D49" s="62" t="str">
        <x:v>G1 Schematic</x:v>
      </x:c>
      <x:c r="E49" s="62" t="str">
        <x:v>Does reverse-polarity protection handle body-diode orientation, gate voltage and all secondary power paths?</x:v>
      </x:c>
      <x:c r="F49" s="62" t="str">
        <x:v>Reverse-battery analysis includes USB/debug, sensor, CAN and antenna connections.</x:v>
      </x:c>
      <x:c r="G49" s="22" t="str">
        <x:v>CURRENT SOURCE OR MODEL WITH REMAINING CONDITIONS</x:v>
      </x:c>
      <x:c r="H49" s="22" t="str">
        <x:v>RVB22 coordinated engineering review</x:v>
      </x:c>
      <x:c r="I4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arbitrary unknown die bonds are not silently collapsed.</x:v>
      </x:c>
      <x:c r="J49" s="161" t="str">
        <x:v>analyses/lost_ground/LOST_GROUND_RESULTS_RECONSTRUCTED.json
interfaces/LOST_GROUND_FINITE_DC_SCREEN.json
interfaces/HARNESS_INTERFACE_CONTRACT.json
interfaces/SINGLE_RETURN_EFFECTIVITY.json
analyses/power_i19/SUMMARY.json
analyses/power_i19/EXTREMA_CONFIRMATION.json</x:v>
      </x:c>
      <x:c r="K49" s="62" t="str">
        <x:v>Rev B; characterize Rev A only within its approved bench limits</x:v>
      </x:c>
      <x:c r="L49" s="62" t="str">
        <x:v>S7</x:v>
      </x:c>
      <x:c r="M49" s="62" t="str">
        <x:v>https://www.ti.com/lit/pdf/snoaaa1</x:v>
      </x:c>
      <x:c r="N49" s="70" t="str">
        <x:v>OPEN</x:v>
      </x:c>
    </x:row>
    <x:row r="50" ht="195" customHeight="1">
      <x:c r="A50" s="62" t="str">
        <x:v>PWR-06</x:v>
      </x:c>
      <x:c r="B50" s="62" t="str">
        <x:v>Automotive power entry and protection</x:v>
      </x:c>
      <x:c r="C50" s="65" t="str">
        <x:v>P0</x:v>
      </x:c>
      <x:c r="D50" s="62" t="str">
        <x:v>G1 Schematic</x:v>
      </x:c>
      <x:c r="E50" s="62" t="str">
        <x:v>What protects the harness if the board, TVS or regulator fails short?</x:v>
      </x:c>
      <x:c r="F50" s="62" t="str">
        <x:v>Upstream/downstream fuse coordination, wire rating and sustained fault-current analysis.</x:v>
      </x:c>
      <x:c r="G50" s="22" t="str">
        <x:v>CURRENT SOURCE OR MODEL WITH REMAINING CONDITIONS</x:v>
      </x:c>
      <x:c r="H50" s="22" t="str">
        <x:v>RVB22 coordinated engineering review</x:v>
      </x:c>
      <x:c r="I5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takeoff fuse and harness clearing/ampacity evidence remain.</x:v>
      </x:c>
      <x:c r="J50" s="161" t="str">
        <x:v>interfaces/HARNESS_INTERFACE_CONTRACT.json
interfaces/HARNESS_CHECKS.json
analyses/harness_wire/HARNESS_WIRE_DELTA.json
analyses/power_i19/SUMMARY.json
analyses/power_i19/EXTREMA_CONFIRMATION.json</x:v>
      </x:c>
      <x:c r="K50" s="62" t="str">
        <x:v>Rev B; characterize Rev A only within its approved bench limits</x:v>
      </x:c>
      <x:c r="L50" s="62" t="str">
        <x:v>S7</x:v>
      </x:c>
      <x:c r="M50" s="62" t="str">
        <x:v>https://www.ti.com/lit/pdf/snoaaa1</x:v>
      </x:c>
      <x:c r="N50" s="70" t="str">
        <x:v>OPEN</x:v>
      </x:c>
    </x:row>
    <x:row r="51" ht="195" customHeight="1">
      <x:c r="A51" s="62" t="str">
        <x:v>PWR-07</x:v>
      </x:c>
      <x:c r="B51" s="62" t="str">
        <x:v>Automotive power entry and protection</x:v>
      </x:c>
      <x:c r="C51" s="65" t="str">
        <x:v>P0</x:v>
      </x:c>
      <x:c r="D51" s="62" t="str">
        <x:v>G1 Schematic</x:v>
      </x:c>
      <x:c r="E51" s="62" t="str">
        <x:v>Are input capacitors shunt-connected, correctly rated and not accidentally placed in series as in Rev A?</x:v>
      </x:c>
      <x:c r="F51" s="62" t="str">
        <x:v>Independent schematic/netlist inspection and assembled continuity check.</x:v>
      </x:c>
      <x:c r="G51" s="22" t="str">
        <x:v>CURRENT SOURCE OR MODEL WITH REMAINING CONDITIONS</x:v>
      </x:c>
      <x:c r="H51" s="22" t="str">
        <x:v>RVB22 coordinated engineering review</x:v>
      </x:c>
      <x:c r="I5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Independent schematic/netlist inspection and assembled continuity check.</x:v>
      </x:c>
      <x:c r="J51" s="161" t="str">
        <x:v>runtime/final_I06_actual_preflight/RESULT.json
runtime/run_native_candidate.py
analyses/power_i19/SUMMARY.json
analyses/power_i19/EXTREMA_CONFIRMATION.json</x:v>
      </x:c>
      <x:c r="K51" s="62" t="str">
        <x:v>Rev B; characterize Rev A only within its approved bench limits</x:v>
      </x:c>
      <x:c r="L51" s="62" t="str">
        <x:v>S7</x:v>
      </x:c>
      <x:c r="M51" s="62" t="str">
        <x:v>https://www.ti.com/lit/pdf/snoaaa1</x:v>
      </x:c>
      <x:c r="N51" s="70" t="str">
        <x:v>OPEN</x:v>
      </x:c>
    </x:row>
    <x:row r="52" ht="195" customHeight="1">
      <x:c r="A52" s="62" t="str">
        <x:v>PWR-08</x:v>
      </x:c>
      <x:c r="B52" s="62" t="str">
        <x:v>Automotive power entry and protection</x:v>
      </x:c>
      <x:c r="C52" s="65" t="str">
        <x:v>P0</x:v>
      </x:c>
      <x:c r="D52" s="62" t="str">
        <x:v>G1 Schematic</x:v>
      </x:c>
      <x:c r="E52" s="62" t="str">
        <x:v>Can a regulator failure expose 3.3 V or external sensor loads to damaging upstream voltage?</x:v>
      </x:c>
      <x:c r="F52" s="62" t="str">
        <x:v>FMEA records prevention, detection, containment and accepted residual risk.</x:v>
      </x:c>
      <x:c r="G52" s="22" t="str">
        <x:v>CURRENT SOURCE OR MODEL WITH REMAINING CONDITIONS</x:v>
      </x:c>
      <x:c r="H52" s="22" t="str">
        <x:v>RVB22 coordinated engineering review</x:v>
      </x:c>
      <x:c r="I5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residual upstream-rail damage exposure and its responsible acceptance remain explicit.</x:v>
      </x:c>
      <x:c r="J52" s="161" t="str">
        <x:v>analyses/lost_ground/LOST_GROUND_RESULTS_RECONSTRUCTED.json
interfaces/LOST_GROUND_FINITE_DC_SCREEN.json
interfaces/HARNESS_INTERFACE_CONTRACT.json
interfaces/SINGLE_RETURN_EFFECTIVITY.json
analyses/power_i19/SUMMARY.json
analyses/power_i19/EXTREMA_CONFIRMATION.json</x:v>
      </x:c>
      <x:c r="K52" s="62" t="str">
        <x:v>Rev B; characterize Rev A only within its approved bench limits</x:v>
      </x:c>
      <x:c r="L52" s="62" t="str">
        <x:v>S7</x:v>
      </x:c>
      <x:c r="M52" s="62" t="str">
        <x:v>https://www.ti.com/lit/pdf/snoaaa1</x:v>
      </x:c>
      <x:c r="N52" s="70" t="str">
        <x:v>OPEN</x:v>
      </x:c>
    </x:row>
    <x:row r="53" ht="195" customHeight="1">
      <x:c r="A53" s="62" t="str">
        <x:v>PWR-09</x:v>
      </x:c>
      <x:c r="B53" s="62" t="str">
        <x:v>Automotive power entry and protection</x:v>
      </x:c>
      <x:c r="C53" s="65" t="str">
        <x:v>P1</x:v>
      </x:c>
      <x:c r="D53" s="62" t="str">
        <x:v>G1 Schematic</x:v>
      </x:c>
      <x:c r="E53" s="62" t="str">
        <x:v>Is the input filter stable and adequately damped with the converter's input behavior?</x:v>
      </x:c>
      <x:c r="F53" s="62" t="str">
        <x:v>Impedance/stability assessment and startup/load transient bench results.</x:v>
      </x:c>
      <x:c r="G53" s="22" t="str">
        <x:v>CURRENT SOURCE OR MODEL WITH REMAINING CONDITIONS</x:v>
      </x:c>
      <x:c r="H53" s="22" t="str">
        <x:v>RVB22 coordinated engineering review</x:v>
      </x:c>
      <x:c r="I5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additionally requests startup/load bench results.</x:v>
      </x:c>
      <x:c r="J53" s="161" t="str">
        <x:v>lanes/power/FINAL_I04_POWER_EFFECTIVITY.json
lanes/power/COUPLED_STARTUP_ENVELOPE.json
lanes/power_limits/POWER_LIMITS_SUMMARY.json
analyses/power_i19/SUMMARY.json
analyses/power_i19/EXTREMA_CONFIRMATION.json</x:v>
      </x:c>
      <x:c r="K53" s="62" t="str">
        <x:v>Rev B; characterize Rev A only within its approved bench limits</x:v>
      </x:c>
      <x:c r="L53" s="62" t="str">
        <x:v>S7</x:v>
      </x:c>
      <x:c r="M53" s="62" t="str">
        <x:v>https://www.ti.com/lit/pdf/snoaaa1</x:v>
      </x:c>
      <x:c r="N53" s="70" t="str">
        <x:v>OPEN</x:v>
      </x:c>
    </x:row>
    <x:row r="54" ht="195" customHeight="1">
      <x:c r="A54" s="62" t="str">
        <x:v>PWR-10</x:v>
      </x:c>
      <x:c r="B54" s="62" t="str">
        <x:v>Automotive power entry and protection</x:v>
      </x:c>
      <x:c r="C54" s="65" t="str">
        <x:v>P0</x:v>
      </x:c>
      <x:c r="D54" s="62" t="str">
        <x:v>G1 Schematic</x:v>
      </x:c>
      <x:c r="E54" s="62" t="str">
        <x:v>Is the ignition input independently protected, thresholded and hysteretic?</x:v>
      </x:c>
      <x:c r="F54" s="62" t="str">
        <x:v>IGN electrical contract covers floating input, contact bounce, reverse connection and abnormal vehicle voltage.</x:v>
      </x:c>
      <x:c r="G54" s="22" t="str">
        <x:v>NOT APPLICABLE</x:v>
      </x:c>
      <x:c r="H54" s="22" t="str">
        <x:v>RVB22 coordinated engineering review</x:v>
      </x:c>
      <x:c r="I54" s="22" t="str">
        <x:v>No separate IGN circuit exists; cavity4NC and fused switchedF1.3 are the deliberate architecture. Do not infer an unimplemented IGN threshold stage.
CRITERION: N/A
DESKTOP: NOT APPLICABLE
REMAINING: Not applicable under preserved original review scope.</x:v>
      </x:c>
      <x:c r="J54" s="161" t="str">
        <x:v>analyses/power_i19/SUMMARY.json
analyses/power_i19/EXTREMA_CONFIRMATION.json</x:v>
      </x:c>
      <x:c r="K54" s="62" t="str">
        <x:v>Rev B; characterize Rev A only within its approved bench limits</x:v>
      </x:c>
      <x:c r="L54" s="62" t="str">
        <x:v>S7</x:v>
      </x:c>
      <x:c r="M54" s="62" t="str">
        <x:v>https://www.ti.com/lit/pdf/snoaaa1</x:v>
      </x:c>
      <x:c r="N54" s="70" t="str">
        <x:v>N/A</x:v>
      </x:c>
    </x:row>
    <x:row r="55" ht="195" customHeight="1">
      <x:c r="A55" s="62" t="str">
        <x:v>PWR-11</x:v>
      </x:c>
      <x:c r="B55" s="62" t="str">
        <x:v>Automotive power entry and protection</x:v>
      </x:c>
      <x:c r="C55" s="65" t="str">
        <x:v>P1</x:v>
      </x:c>
      <x:c r="D55" s="62" t="str">
        <x:v>G1 Schematic</x:v>
      </x:c>
      <x:c r="E55" s="62" t="str">
        <x:v>Is inrush controlled without causing upstream supply collapse or fuse nuisance operation?</x:v>
      </x:c>
      <x:c r="F55" s="62" t="str">
        <x:v>Inrush waveform with realistic harness impedance and maximum capacitance.</x:v>
      </x:c>
      <x:c r="G55" s="22" t="str">
        <x:v>CURRENT SOURCE OR MODEL WITH REMAINING CONDITIONS</x:v>
      </x:c>
      <x:c r="H55" s="22" t="str">
        <x:v>RVB22 coordinated engineering review</x:v>
      </x:c>
      <x:c r="I5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they are equivalent controller hypotheses, not measured inrush.</x:v>
      </x:c>
      <x:c r="J55" s="161" t="str">
        <x:v>lanes/power/FINAL_I04_POWER_EFFECTIVITY.json
lanes/power/COUPLED_STARTUP_ENVELOPE.json
lanes/power_limits/POWER_LIMITS_SUMMARY.json
analyses/power_i19/SUMMARY.json
analyses/power_i19/EXTREMA_CONFIRMATION.json</x:v>
      </x:c>
      <x:c r="K55" s="62" t="str">
        <x:v>Rev B; characterize Rev A only within its approved bench limits</x:v>
      </x:c>
      <x:c r="L55" s="62" t="str">
        <x:v>S7</x:v>
      </x:c>
      <x:c r="M55" s="62" t="str">
        <x:v>https://www.ti.com/lit/pdf/snoaaa1</x:v>
      </x:c>
      <x:c r="N55" s="70" t="str">
        <x:v>OPEN</x:v>
      </x:c>
    </x:row>
    <x:row r="56" ht="258" customHeight="1">
      <x:c r="A56" s="62" t="str">
        <x:v>PWR-12</x:v>
      </x:c>
      <x:c r="B56" s="62" t="str">
        <x:v>Automotive power entry and protection</x:v>
      </x:c>
      <x:c r="C56" s="65" t="str">
        <x:v>P0</x:v>
      </x:c>
      <x:c r="D56" s="62" t="str">
        <x:v>G1 Schematic</x:v>
      </x:c>
      <x:c r="E56" s="62" t="str">
        <x:v>Is failure during a crank or interrupted startup deterministic and recoverable?</x:v>
      </x:c>
      <x:c r="F56" s="62" t="str">
        <x:v>Input sweep/ramp/interruption testing shows safe outputs and reliable recovery.</x:v>
      </x:c>
      <x:c r="G56" s="22" t="str">
        <x:v>CURRENT SOURCE OR MODEL WITH REMAINING CONDITIONS</x:v>
      </x:c>
      <x:c r="H56" s="22" t="str">
        <x:v>RVB22 coordinated engineering review</x:v>
      </x:c>
      <x:c r="I5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input sweep testing and actual recovery remain hardware evidence.</x:v>
      </x:c>
      <x:c r="J56" s="161" t="str">
        <x:v>lanes/power/FINAL_I04_POWER_EFFECTIVITY.json
lanes/power/COUPLED_STARTUP_ENVELOPE.json
lanes/power_limits/POWER_LIMITS_SUMMARY.json
analyses/power_i19/SUMMARY.json
analyses/power_i19/EXTREMA_CONFIRMATION.json</x:v>
      </x:c>
      <x:c r="K56" s="62" t="str">
        <x:v>Rev B; characterize Rev A only within its approved bench limits</x:v>
      </x:c>
      <x:c r="L56" s="62" t="str">
        <x:v>S7</x:v>
      </x:c>
      <x:c r="M56" s="62" t="str">
        <x:v>https://www.ti.com/lit/pdf/snoaaa1</x:v>
      </x:c>
      <x:c r="N56" s="70" t="str">
        <x:v>OPEN</x:v>
      </x:c>
    </x:row>
    <x:row r="57" ht="195" customHeight="1">
      <x:c r="A57" s="62" t="str">
        <x:v>REG-01</x:v>
      </x:c>
      <x:c r="B57" s="62" t="str">
        <x:v>5 V, 3.3 V and GPS power rails</x:v>
      </x:c>
      <x:c r="C57" s="65" t="str">
        <x:v>P0</x:v>
      </x:c>
      <x:c r="D57" s="62" t="str">
        <x:v>G1 Schematic</x:v>
      </x:c>
      <x:c r="E57" s="62" t="str">
        <x:v>Is each rail budget based on simultaneous peak loads rather than a handheld meter's average current?</x:v>
      </x:c>
      <x:c r="F57" s="62" t="str">
        <x:v>Loads include BLE bursts, GPS acquisition/antenna, CAN, LEDs, sensor and debug states.</x:v>
      </x:c>
      <x:c r="G57" s="22" t="str">
        <x:v>CLOSED BY ORIGINAL SCOPE</x:v>
      </x:c>
      <x:c r="H57" s="22" t="str">
        <x:v>RVB22 coordinated engineering review</x:v>
      </x:c>
      <x:c r="I57"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57"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c r="K57" s="62" t="str">
        <x:v>Rev B; characterize Rev A only within its approved bench limits</x:v>
      </x:c>
      <x:c r="L57" s="62" t="str">
        <x:v>S8</x:v>
      </x:c>
      <x:c r="M57" s="62" t="str">
        <x:v>https://www.ti.com/lit/pdf/slyt614</x:v>
      </x:c>
      <x:c r="N57" s="70" t="str">
        <x:v>CLOSED</x:v>
      </x:c>
    </x:row>
    <x:row r="58" ht="195" customHeight="1">
      <x:c r="A58" s="62" t="str">
        <x:v>REG-02</x:v>
      </x:c>
      <x:c r="B58" s="62" t="str">
        <x:v>5 V, 3.3 V and GPS power rails</x:v>
      </x:c>
      <x:c r="C58" s="65" t="str">
        <x:v>P1</x:v>
      </x:c>
      <x:c r="D58" s="62" t="str">
        <x:v>G1 Schematic</x:v>
      </x:c>
      <x:c r="E58" s="62" t="str">
        <x:v>Are converter current limit, efficiency and thermal margins adequate at input and ambient extremes?</x:v>
      </x:c>
      <x:c r="F58" s="62" t="str">
        <x:v>Worst-case operating-point calculation and planned measured confirmation.</x:v>
      </x:c>
      <x:c r="G58" s="22" t="str">
        <x:v>OPEN THERMAL ENGINEERING</x:v>
      </x:c>
      <x:c r="H58" s="22" t="str">
        <x:v>RVB22 coordinated engineering review</x:v>
      </x:c>
      <x:c r="I58" s="22" t="str">
        <x:v>I19 finite rail model passes 3,456 circuit cases. Minimum local rail is 3.121029 V and the conservative zero-DC-credit release envelope is 3.594820 V. These are bounded simulations. Full-load thermal closure remains open. Converter current/electrical screens do not establish the thermal part of this criterion.
CRITERION: OPEN
DESKTOP: DESKTOP WORK REMAINING
REMAINING: Establish converged package-temperature margins at the stated full-load/air/landing bounds, or implement and verify a coordinated cooling or enforceable power correction.</x:v>
      </x:c>
      <x:c r="J58" s="161" t="str">
        <x:v>control/FINAL_I04_BRINGUP_BINDING.json
control/RVB22_BRING_UP_AND_MEASUREMENT_CONTRACT.md
control/BRINGUP_ACTUAL_NODE_INDEX.json
analyses/power_i19/SUMMARY.json
analyses/power_i19/EXTREMA_CONFIRMATION.json
analyses/thermal_i18/face_15.0/RESULTS.json</x:v>
      </x:c>
      <x:c r="K58" s="62" t="str">
        <x:v>Rev B; characterize Rev A only within its approved bench limits</x:v>
      </x:c>
      <x:c r="L58" s="62" t="str">
        <x:v>S8</x:v>
      </x:c>
      <x:c r="M58" s="62" t="str">
        <x:v>https://www.ti.com/lit/pdf/slyt614</x:v>
      </x:c>
      <x:c r="N58" s="70" t="str">
        <x:v>OPEN</x:v>
      </x:c>
    </x:row>
    <x:row r="59" ht="195" customHeight="1">
      <x:c r="A59" s="62" t="str">
        <x:v>REG-03</x:v>
      </x:c>
      <x:c r="B59" s="62" t="str">
        <x:v>5 V, 3.3 V and GPS power rails</x:v>
      </x:c>
      <x:c r="C59" s="65" t="str">
        <x:v>P0</x:v>
      </x:c>
      <x:c r="D59" s="62" t="str">
        <x:v>G1 Schematic</x:v>
      </x:c>
      <x:c r="E59" s="62" t="str">
        <x:v>Are each converter's VIN, EN, FB, SW, BST and ground nets unique and correctly implemented?</x:v>
      </x:c>
      <x:c r="F59" s="62" t="str">
        <x:v>Pin audit plus reference-design comparison; no collapsed feedback network.</x:v>
      </x:c>
      <x:c r="G59" s="22" t="str">
        <x:v>CLOSED BY ORIGINAL SCOPE</x:v>
      </x:c>
      <x:c r="H59" s="22" t="str">
        <x:v>RVB22 coordinated engineering review</x:v>
      </x:c>
      <x:c r="I59"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59" s="161"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c r="K59" s="62" t="str">
        <x:v>Rev B; characterize Rev A only within its approved bench limits</x:v>
      </x:c>
      <x:c r="L59" s="62" t="str">
        <x:v>S8</x:v>
      </x:c>
      <x:c r="M59" s="62" t="str">
        <x:v>https://www.ti.com/lit/pdf/slyt614</x:v>
      </x:c>
      <x:c r="N59" s="70" t="str">
        <x:v>CLOSED</x:v>
      </x:c>
    </x:row>
    <x:row r="60" ht="195" customHeight="1">
      <x:c r="A60" s="62" t="str">
        <x:v>REG-04</x:v>
      </x:c>
      <x:c r="B60" s="62" t="str">
        <x:v>5 V, 3.3 V and GPS power rails</x:v>
      </x:c>
      <x:c r="C60" s="65" t="str">
        <x:v>P1</x:v>
      </x:c>
      <x:c r="D60" s="62" t="str">
        <x:v>G1 Schematic</x:v>
      </x:c>
      <x:c r="E60" s="62" t="str">
        <x:v>Are output voltage tolerance and transient overshoot acceptable at the load pins?</x:v>
      </x:c>
      <x:c r="F60" s="62" t="str">
        <x:v>Minimum/maximum output and load-step response budget including distribution resistance.</x:v>
      </x:c>
      <x:c r="G60" s="22" t="str">
        <x:v>CLOSED BY ORIGINAL SCOPE</x:v>
      </x:c>
      <x:c r="H60" s="22" t="str">
        <x:v>RVB22 coordinated engineering review</x:v>
      </x:c>
      <x:c r="I60"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60" s="161" t="str">
        <x:v>lanes/power/FINAL_I04_POWER_EFFECTIVITY.json
lanes/power/COUPLED_STARTUP_ENVELOPE.json
lanes/power_limits/POWER_LIMITS_SUMMARY.json
analyses/power_i19/SUMMARY.json
analyses/power_i19/EXTREMA_CONFIRMATION.json
analyses/thermal_i18/face_15.0/RESULTS.json</x:v>
      </x:c>
      <x:c r="K60" s="62" t="str">
        <x:v>Rev B; characterize Rev A only within its approved bench limits</x:v>
      </x:c>
      <x:c r="L60" s="62" t="str">
        <x:v>S8</x:v>
      </x:c>
      <x:c r="M60" s="62" t="str">
        <x:v>https://www.ti.com/lit/pdf/slyt614</x:v>
      </x:c>
      <x:c r="N60" s="70" t="str">
        <x:v>CLOSED</x:v>
      </x:c>
    </x:row>
    <x:row r="61" ht="195" customHeight="1">
      <x:c r="A61" s="62" t="str">
        <x:v>REG-05</x:v>
      </x:c>
      <x:c r="B61" s="62" t="str">
        <x:v>5 V, 3.3 V and GPS power rails</x:v>
      </x:c>
      <x:c r="C61" s="65" t="str">
        <x:v>P1</x:v>
      </x:c>
      <x:c r="D61" s="62" t="str">
        <x:v>G1 Schematic</x:v>
      </x:c>
      <x:c r="E61" s="62" t="str">
        <x:v>Are inductor, bootstrap, compensation and capacitor selections valid for the chosen regulator?</x:v>
      </x:c>
      <x:c r="F61" s="62" t="str">
        <x:v>Exact datasheet equations/reference design and tolerance corners.</x:v>
      </x:c>
      <x:c r="G61" s="22" t="str">
        <x:v>CLOSED BY ORIGINAL SCOPE</x:v>
      </x:c>
      <x:c r="H61" s="22" t="str">
        <x:v>RVB22 coordinated engineering review</x:v>
      </x:c>
      <x:c r="I61"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61" s="161" t="str">
        <x:v>lanes/power/FINAL_I04_POWER_EFFECTIVITY.json
lanes/power/COUPLED_STARTUP_ENVELOPE.json
lanes/power_limits/POWER_LIMITS_SUMMARY.json
analyses/power_i19/SUMMARY.json
analyses/power_i19/EXTREMA_CONFIRMATION.json
analyses/thermal_i18/face_15.0/RESULTS.json</x:v>
      </x:c>
      <x:c r="K61" s="62" t="str">
        <x:v>Rev B; characterize Rev A only within its approved bench limits</x:v>
      </x:c>
      <x:c r="L61" s="62" t="str">
        <x:v>S8</x:v>
      </x:c>
      <x:c r="M61" s="62" t="str">
        <x:v>https://www.ti.com/lit/pdf/slyt614</x:v>
      </x:c>
      <x:c r="N61" s="70" t="str">
        <x:v>CLOSED</x:v>
      </x:c>
    </x:row>
    <x:row r="62" ht="195" customHeight="1">
      <x:c r="A62" s="62" t="str">
        <x:v>REG-06</x:v>
      </x:c>
      <x:c r="B62" s="62" t="str">
        <x:v>5 V, 3.3 V and GPS power rails</x:v>
      </x:c>
      <x:c r="C62" s="65" t="str">
        <x:v>P1</x:v>
      </x:c>
      <x:c r="D62" s="62" t="str">
        <x:v>G1 Schematic</x:v>
      </x:c>
      <x:c r="E62" s="62" t="str">
        <x:v>Does the regulator operate correctly at minimum load, high input/low duty cycle and maximum load?</x:v>
      </x:c>
      <x:c r="F62" s="62" t="str">
        <x:v>Duty-cycle/minimum-on-time limits and light-load/burst-mode characterization.</x:v>
      </x:c>
      <x:c r="G62" s="22" t="str">
        <x:v>CURRENT SOURCE OR MODEL WITH REMAINING CONDITIONS</x:v>
      </x:c>
      <x:c r="H62" s="22" t="str">
        <x:v>RVB22 coordinated engineering review</x:v>
      </x:c>
      <x:c r="I62"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COMPLETED CONDITIONAL MODEL
REMAINING: actual silicon response across all modes remains conditional.</x:v>
      </x:c>
      <x:c r="J62" s="161" t="str">
        <x:v>lanes/power/FINAL_I04_POWER_EFFECTIVITY.json
lanes/power/COUPLED_STARTUP_ENVELOPE.json
lanes/power_limits/POWER_LIMITS_SUMMARY.json
analyses/power_i19/SUMMARY.json
analyses/power_i19/EXTREMA_CONFIRMATION.json
analyses/thermal_i18/face_15.0/RESULTS.json</x:v>
      </x:c>
      <x:c r="K62" s="62" t="str">
        <x:v>Rev B; characterize Rev A only within its approved bench limits</x:v>
      </x:c>
      <x:c r="L62" s="62" t="str">
        <x:v>S8</x:v>
      </x:c>
      <x:c r="M62" s="62" t="str">
        <x:v>https://www.ti.com/lit/pdf/slyt614</x:v>
      </x:c>
      <x:c r="N62" s="70" t="str">
        <x:v>OPEN</x:v>
      </x:c>
    </x:row>
    <x:row r="63" ht="195" customHeight="1">
      <x:c r="A63" s="62" t="str">
        <x:v>REG-07</x:v>
      </x:c>
      <x:c r="B63" s="62" t="str">
        <x:v>5 V, 3.3 V and GPS power rails</x:v>
      </x:c>
      <x:c r="C63" s="65" t="str">
        <x:v>P1</x:v>
      </x:c>
      <x:c r="D63" s="62" t="str">
        <x:v>G1 Schematic</x:v>
      </x:c>
      <x:c r="E63" s="62" t="str">
        <x:v>Are local decoupling and bulk storage sized and physically placed for their assigned frequencies and loads?</x:v>
      </x:c>
      <x:c r="F63" s="62" t="str">
        <x:v>Annotated current loops and pin-local measurement plan.</x:v>
      </x:c>
      <x:c r="G63" s="22" t="str">
        <x:v>CLOSED BY ORIGINAL SCOPE</x:v>
      </x:c>
      <x:c r="H63" s="22" t="str">
        <x:v>RVB22 coordinated engineering review</x:v>
      </x:c>
      <x:c r="I63"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63" s="161"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x:v>
      </x:c>
      <x:c r="K63" s="62" t="str">
        <x:v>Rev B; characterize Rev A only within its approved bench limits</x:v>
      </x:c>
      <x:c r="L63" s="62" t="str">
        <x:v>S8</x:v>
      </x:c>
      <x:c r="M63" s="62" t="str">
        <x:v>https://www.ti.com/lit/pdf/slyt614</x:v>
      </x:c>
      <x:c r="N63" s="70" t="str">
        <x:v>CLOSED</x:v>
      </x:c>
    </x:row>
    <x:row r="64" ht="195" customHeight="1">
      <x:c r="A64" s="62" t="str">
        <x:v>REG-08</x:v>
      </x:c>
      <x:c r="B64" s="62" t="str">
        <x:v>5 V, 3.3 V and GPS power rails</x:v>
      </x:c>
      <x:c r="C64" s="65" t="str">
        <x:v>P1</x:v>
      </x:c>
      <x:c r="D64" s="62" t="str">
        <x:v>G1 Schematic</x:v>
      </x:c>
      <x:c r="E64" s="62" t="str">
        <x:v>Is the GPS regulator's noise, PSRR, dropout and stability acceptable with actual input and output capacitors?</x:v>
      </x:c>
      <x:c r="F64" s="62" t="str">
        <x:v>Datasheet operating conditions and ripple/desense validation.</x:v>
      </x:c>
      <x:c r="G64" s="22" t="str">
        <x:v>CURRENT SOURCE OR MODEL WITH REMAINING CONDITIONS</x:v>
      </x:c>
      <x:c r="H64" s="22" t="str">
        <x:v>RVB22 coordinated engineering review</x:v>
      </x:c>
      <x:c r="I64"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HARDWARE OR INSTALLATION ACCEPTANCE
REMAINING: actual ripple/desense validation remains.</x:v>
      </x:c>
      <x:c r="J64" s="161" t="str">
        <x:v>lanes/rf/RF_FINAL_REPORT.md
lanes/rf/RF_FINAL_SUMMARY.json
lanes/rf/RF_I04_ADDENDUM.md
lanes/rf/RF_I04_SUMMARY.json
lanes/emc/RF_STRIP_NETWORK.json
analyses/power_i19/SUMMARY.json
analyses/power_i19/EXTREMA_CONFIRMATION.json
analyses/thermal_i18/face_15.0/RESULTS.json</x:v>
      </x:c>
      <x:c r="K64" s="62" t="str">
        <x:v>Rev B; characterize Rev A only within its approved bench limits</x:v>
      </x:c>
      <x:c r="L64" s="62" t="str">
        <x:v>S8</x:v>
      </x:c>
      <x:c r="M64" s="62" t="str">
        <x:v>https://www.ti.com/lit/pdf/slyt614</x:v>
      </x:c>
      <x:c r="N64" s="70" t="str">
        <x:v>OPEN</x:v>
      </x:c>
    </x:row>
    <x:row r="65" ht="195" customHeight="1">
      <x:c r="A65" s="62" t="str">
        <x:v>REG-09</x:v>
      </x:c>
      <x:c r="B65" s="62" t="str">
        <x:v>5 V, 3.3 V and GPS power rails</x:v>
      </x:c>
      <x:c r="C65" s="65" t="str">
        <x:v>P1</x:v>
      </x:c>
      <x:c r="D65" s="62" t="str">
        <x:v>G1 Schematic</x:v>
      </x:c>
      <x:c r="E65" s="62" t="str">
        <x:v>Can a shorted oil-sensor excitation cable collapse the MCU/GPS supply?</x:v>
      </x:c>
      <x:c r="F65" s="62" t="str">
        <x:v>Fault-current containment and recovery test with a current-limited representative fixture.</x:v>
      </x:c>
      <x:c r="G65" s="22" t="str">
        <x:v>CURRENT SOURCE OR MODEL WITH REMAINING CONDITIONS</x:v>
      </x:c>
      <x:c r="H65" s="22" t="str">
        <x:v>RVB22 coordinated engineering review</x:v>
      </x:c>
      <x:c r="I65" s="22"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
CRITERION: OPEN
DESKTOP: HARDWARE OR INSTALLATION ACCEPTANCE
REMAINING: actual containment/recovery test is still required.</x:v>
      </x:c>
      <x:c r="J65" s="161" t="str">
        <x:v>lanes/power/FINAL_I04_POWER_EFFECTIVITY.json
lanes/power/COUPLED_STARTUP_ENVELOPE.json
lanes/power_limits/POWER_LIMITS_SUMMARY.json
analyses/power_i19/SUMMARY.json
analyses/power_i19/EXTREMA_CONFIRMATION.json
analyses/thermal_i18/face_15.0/RESULTS.json</x:v>
      </x:c>
      <x:c r="K65" s="62" t="str">
        <x:v>Rev B; characterize Rev A only within its approved bench limits</x:v>
      </x:c>
      <x:c r="L65" s="62" t="str">
        <x:v>S8</x:v>
      </x:c>
      <x:c r="M65" s="62" t="str">
        <x:v>https://www.ti.com/lit/pdf/slyt614</x:v>
      </x:c>
      <x:c r="N65" s="70" t="str">
        <x:v>OPEN</x:v>
      </x:c>
    </x:row>
    <x:row r="66" ht="195" customHeight="1">
      <x:c r="A66" s="62" t="str">
        <x:v>REG-10</x:v>
      </x:c>
      <x:c r="B66" s="62" t="str">
        <x:v>5 V, 3.3 V and GPS power rails</x:v>
      </x:c>
      <x:c r="C66" s="65" t="str">
        <x:v>P1</x:v>
      </x:c>
      <x:c r="D66" s="62" t="str">
        <x:v>G1 Schematic</x:v>
      </x:c>
      <x:c r="E66" s="62" t="str">
        <x:v>Are rail test and injection points clearly labeled and protected against accidental cross-powering?</x:v>
      </x:c>
      <x:c r="F66" s="62" t="str">
        <x:v>Bring-up schematic states allowed supply combinations, isolation links and current limits.</x:v>
      </x:c>
      <x:c r="G66" s="22" t="str">
        <x:v>CLOSED BY ORIGINAL SCOPE</x:v>
      </x:c>
      <x:c r="H66" s="22" t="str">
        <x:v>RVB22 coordinated engineering review</x:v>
      </x:c>
      <x:c r="I66" s="22"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
CRITERION: CLOSED
DESKTOP: CURRENT EVIDENCE REVIEWED
REMAINING: </x:v>
      </x:c>
      <x:c r="J66" s="161"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x:v>
      </x:c>
      <x:c r="K66" s="62" t="str">
        <x:v>Rev B; characterize Rev A only within its approved bench limits</x:v>
      </x:c>
      <x:c r="L66" s="62" t="str">
        <x:v>S8</x:v>
      </x:c>
      <x:c r="M66" s="62" t="str">
        <x:v>https://www.ti.com/lit/pdf/slyt614</x:v>
      </x:c>
      <x:c r="N66" s="70" t="str">
        <x:v>CLOSED</x:v>
      </x:c>
    </x:row>
    <x:row r="67" ht="293" customHeight="1">
      <x:c r="A67" s="62" t="str">
        <x:v>SEQ-01</x:v>
      </x:c>
      <x:c r="B67" s="62" t="str">
        <x:v>Sequencing, reset and partial power</x:v>
      </x:c>
      <x:c r="C67" s="65" t="str">
        <x:v>P0</x:v>
      </x:c>
      <x:c r="D67" s="62" t="str">
        <x:v>G1 Schematic</x:v>
      </x:c>
      <x:c r="E67" s="62" t="str">
        <x:v>Is actual ESP32 EN tied to a defined, valid reset network and not merely a similarly named pad?</x:v>
      </x:c>
      <x:c r="F67" s="62" t="str">
        <x:v>Physical pin continuity and startup waveforms at EN and local 3.3 V.</x:v>
      </x:c>
      <x:c r="G67" s="22" t="str">
        <x:v>CURRENT SOURCE OR MODEL WITH REMAINING CONDITIONS</x:v>
      </x:c>
      <x:c r="H67" s="22" t="str">
        <x:v>RVB22 coordinated engineering review</x:v>
      </x:c>
      <x:c r="I6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required physical continuity and startup captures remain.</x:v>
      </x:c>
      <x:c r="J67" s="161" t="str">
        <x:v>control/FINAL_I04_BRINGUP_BINDING.json
control/RVB22_BRING_UP_AND_MEASUREMENT_CONTRACT.md
control/BRINGUP_ACTUAL_NODE_INDEX.json
analyses/power_i19/SUMMARY.json
iterations/I20_controlled_handoff/NATIVE_BINDING.json
current/SOURCE_EFFECTIVITY.json</x:v>
      </x:c>
      <x:c r="K67" s="62" t="str">
        <x:v>Rev B; characterize Rev A only within its approved bench limits</x:v>
      </x:c>
      <x:c r="L67" s="62" t="str">
        <x:v>S1</x:v>
      </x:c>
      <x:c r="M67" s="62" t="str">
        <x:v>https://docs.espressif.com/projects/esp-hardware-design-guidelines/en/latest/esp32s3/schematic-checklist.html</x:v>
      </x:c>
      <x:c r="N67" s="70" t="str">
        <x:v>OPEN</x:v>
      </x:c>
    </x:row>
    <x:row r="68" ht="238" customHeight="1">
      <x:c r="A68" s="62" t="str">
        <x:v>SEQ-02</x:v>
      </x:c>
      <x:c r="B68" s="62" t="str">
        <x:v>Sequencing, reset and partial power</x:v>
      </x:c>
      <x:c r="C68" s="65" t="str">
        <x:v>P0</x:v>
      </x:c>
      <x:c r="D68" s="62" t="str">
        <x:v>G1 Schematic</x:v>
      </x:c>
      <x:c r="E68" s="62" t="str">
        <x:v>Is actual GPIO0 controlled correctly for normal boot and programming?</x:v>
      </x:c>
      <x:c r="F68" s="62" t="str">
        <x:v>Boot-mode truth table and physical continuity from programming contacts to module.</x:v>
      </x:c>
      <x:c r="G68" s="22" t="str">
        <x:v>CURRENT SOURCE OR MODEL WITH REMAINING CONDITIONS</x:v>
      </x:c>
      <x:c r="H68" s="22" t="str">
        <x:v>RVB22 coordinated engineering review</x:v>
      </x:c>
      <x:c r="I6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programming-contact continuity remains.</x:v>
      </x:c>
      <x:c r="J68" s="161" t="str">
        <x:v>control/FINAL_I04_BRINGUP_BINDING.json
control/RVB22_BRING_UP_AND_MEASUREMENT_CONTRACT.md
control/BRINGUP_ACTUAL_NODE_INDEX.json
analyses/power_i19/SUMMARY.json
iterations/I20_controlled_handoff/NATIVE_BINDING.json
current/SOURCE_EFFECTIVITY.json</x:v>
      </x:c>
      <x:c r="K68" s="62" t="str">
        <x:v>Rev B; characterize Rev A only within its approved bench limits</x:v>
      </x:c>
      <x:c r="L68" s="62" t="str">
        <x:v>S1</x:v>
      </x:c>
      <x:c r="M68" s="62" t="str">
        <x:v>https://docs.espressif.com/projects/esp-hardware-design-guidelines/en/latest/esp32s3/schematic-checklist.html</x:v>
      </x:c>
      <x:c r="N68" s="70" t="str">
        <x:v>OPEN</x:v>
      </x:c>
    </x:row>
    <x:row r="69" ht="293" customHeight="1">
      <x:c r="A69" s="62" t="str">
        <x:v>SEQ-03</x:v>
      </x:c>
      <x:c r="B69" s="62" t="str">
        <x:v>Sequencing, reset and partial power</x:v>
      </x:c>
      <x:c r="C69" s="65" t="str">
        <x:v>P0</x:v>
      </x:c>
      <x:c r="D69" s="62" t="str">
        <x:v>G1 Schematic</x:v>
      </x:c>
      <x:c r="E69" s="62" t="str">
        <x:v>Does reset remain valid for slow ramps, short outages, repeated power cycles and rail chatter?</x:v>
      </x:c>
      <x:c r="F69" s="62" t="str">
        <x:v>Timing-margin review and tests; add a supervisor if the selected RC network cannot meet the requirement.</x:v>
      </x:c>
      <x:c r="G69" s="22" t="str">
        <x:v>CURRENT SOURCE OR MODEL WITH REMAINING CONDITIONS</x:v>
      </x:c>
      <x:c r="H69" s="22" t="str">
        <x:v>RVB22 coordinated engineering review</x:v>
      </x:c>
      <x:c r="I6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timing tests require the current assembled source.</x:v>
      </x:c>
      <x:c r="J69" s="161" t="str">
        <x:v>lanes/power/FINAL_I04_POWER_EFFECTIVITY.json
lanes/power/COUPLED_STARTUP_ENVELOPE.json
lanes/power_limits/POWER_LIMITS_SUMMARY.json
analyses/power_i19/SUMMARY.json
iterations/I20_controlled_handoff/NATIVE_BINDING.json
current/SOURCE_EFFECTIVITY.json</x:v>
      </x:c>
      <x:c r="K69" s="62" t="str">
        <x:v>Rev B; characterize Rev A only within its approved bench limits</x:v>
      </x:c>
      <x:c r="L69" s="62" t="str">
        <x:v>S1</x:v>
      </x:c>
      <x:c r="M69" s="62" t="str">
        <x:v>https://docs.espressif.com/projects/esp-hardware-design-guidelines/en/latest/esp32s3/schematic-checklist.html</x:v>
      </x:c>
      <x:c r="N69" s="70" t="str">
        <x:v>OPEN</x:v>
      </x:c>
    </x:row>
    <x:row r="70" ht="195" customHeight="1">
      <x:c r="A70" s="62" t="str">
        <x:v>SEQ-04</x:v>
      </x:c>
      <x:c r="B70" s="62" t="str">
        <x:v>Sequencing, reset and partial power</x:v>
      </x:c>
      <x:c r="C70" s="65" t="str">
        <x:v>P0</x:v>
      </x:c>
      <x:c r="D70" s="62" t="str">
        <x:v>G1 Schematic</x:v>
      </x:c>
      <x:c r="E70" s="62" t="str">
        <x:v>What logic levels reach CAN TXD/mode pins before firmware configures them?</x:v>
      </x:c>
      <x:c r="F70" s="62" t="str">
        <x:v>Scope captures and pull-network analysis demonstrate safe startup defaults.</x:v>
      </x:c>
      <x:c r="G70" s="22" t="str">
        <x:v>CURRENT SOURCE OR MODEL WITH REMAINING CONDITIONS</x:v>
      </x:c>
      <x:c r="H70" s="22" t="str">
        <x:v>RVB22 coordinated engineering review</x:v>
      </x:c>
      <x:c r="I7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boot scope captures remain.</x:v>
      </x:c>
      <x:c r="J70" s="161" t="str">
        <x:v>lanes/firmware_oil/RECOVERED_RELEASE_CHECKS.json
lanes/firmware_oil/RECOVERED_FIRMWARE_TEST_RESULTS.json
analyses/power_i19/SUMMARY.json
iterations/I20_controlled_handoff/NATIVE_BINDING.json
current/SOURCE_EFFECTIVITY.json</x:v>
      </x:c>
      <x:c r="K70" s="62" t="str">
        <x:v>Rev B; characterize Rev A only within its approved bench limits</x:v>
      </x:c>
      <x:c r="L70" s="62" t="str">
        <x:v>S1</x:v>
      </x:c>
      <x:c r="M70" s="62" t="str">
        <x:v>https://docs.espressif.com/projects/esp-hardware-design-guidelines/en/latest/esp32s3/schematic-checklist.html</x:v>
      </x:c>
      <x:c r="N70" s="70" t="str">
        <x:v>OPEN</x:v>
      </x:c>
    </x:row>
    <x:row r="71" ht="195" customHeight="1">
      <x:c r="A71" s="62" t="str">
        <x:v>SEQ-05</x:v>
      </x:c>
      <x:c r="B71" s="62" t="str">
        <x:v>Sequencing, reset and partial power</x:v>
      </x:c>
      <x:c r="C71" s="65" t="str">
        <x:v>P0</x:v>
      </x:c>
      <x:c r="D71" s="62" t="str">
        <x:v>G1 Schematic</x:v>
      </x:c>
      <x:c r="E71" s="62" t="str">
        <x:v>What happens when GPS, MCU, CAN or debug power is present while another rail is absent?</x:v>
      </x:c>
      <x:c r="F71" s="62" t="str">
        <x:v>All partial-power permutations checked for injection, latch-up risk and phantom powering.</x:v>
      </x:c>
      <x:c r="G71" s="22" t="str">
        <x:v>CURRENT SOURCE OR MODEL WITH REMAINING CONDITIONS</x:v>
      </x:c>
      <x:c r="H71" s="22" t="str">
        <x:v>RVB22 coordinated engineering review</x:v>
      </x:c>
      <x:c r="I7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unspecified die injection/latch-up and arbitrary bonds remain conditional.</x:v>
      </x:c>
      <x:c r="J71" s="161" t="str">
        <x:v>analyses/lost_ground/LOST_GROUND_RESULTS_RECONSTRUCTED.json
interfaces/LOST_GROUND_FINITE_DC_SCREEN.json
interfaces/HARNESS_INTERFACE_CONTRACT.json
interfaces/SINGLE_RETURN_EFFECTIVITY.json
analyses/power_i19/SUMMARY.json
iterations/I20_controlled_handoff/NATIVE_BINDING.json
current/SOURCE_EFFECTIVITY.json</x:v>
      </x:c>
      <x:c r="K71" s="62" t="str">
        <x:v>Rev B; characterize Rev A only within its approved bench limits</x:v>
      </x:c>
      <x:c r="L71" s="62" t="str">
        <x:v>S1</x:v>
      </x:c>
      <x:c r="M71" s="62" t="str">
        <x:v>https://docs.espressif.com/projects/esp-hardware-design-guidelines/en/latest/esp32s3/schematic-checklist.html</x:v>
      </x:c>
      <x:c r="N71" s="70" t="str">
        <x:v>OPEN</x:v>
      </x:c>
    </x:row>
    <x:row r="72" ht="195" customHeight="1">
      <x:c r="A72" s="62" t="str">
        <x:v>SEQ-06</x:v>
      </x:c>
      <x:c r="B72" s="62" t="str">
        <x:v>Sequencing, reset and partial power</x:v>
      </x:c>
      <x:c r="C72" s="65" t="str">
        <x:v>P1</x:v>
      </x:c>
      <x:c r="D72" s="62" t="str">
        <x:v>G1 Schematic</x:v>
      </x:c>
      <x:c r="E72" s="62" t="str">
        <x:v>Do UART, PPS, LED and sensor interfaces respect unpowered pin limits?</x:v>
      </x:c>
      <x:c r="F72" s="62" t="str">
        <x:v>Device-specific off-state leakage/injection analysis and series/isolation strategy.</x:v>
      </x:c>
      <x:c r="G72" s="22" t="str">
        <x:v>CURRENT SOURCE OR MODEL WITH REMAINING CONDITIONS</x:v>
      </x:c>
      <x:c r="H72" s="22" t="str">
        <x:v>RVB22 coordinated engineering review</x:v>
      </x:c>
      <x:c r="I7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absent vendor off-state bounds remain explicit.</x:v>
      </x:c>
      <x:c r="J72" s="161" t="str">
        <x:v>lanes/firmware_oil/RECOVERED_FIRMWARE_TEST_RESULTS.json
lanes/firmware_oil/RECOVERY_CALIBRATION_GAIN_REDLINE.json
interfaces/OIL_HARNESS_ERROR_SWEEP.json
analyses/power_i19/SUMMARY.json
iterations/I20_controlled_handoff/NATIVE_BINDING.json
current/SOURCE_EFFECTIVITY.json</x:v>
      </x:c>
      <x:c r="K72" s="62" t="str">
        <x:v>Rev B; characterize Rev A only within its approved bench limits</x:v>
      </x:c>
      <x:c r="L72" s="62" t="str">
        <x:v>S1</x:v>
      </x:c>
      <x:c r="M72" s="62" t="str">
        <x:v>https://docs.espressif.com/projects/esp-hardware-design-guidelines/en/latest/esp32s3/schematic-checklist.html</x:v>
      </x:c>
      <x:c r="N72" s="70" t="str">
        <x:v>OPEN</x:v>
      </x:c>
    </x:row>
    <x:row r="73" ht="195" customHeight="1">
      <x:c r="A73" s="62" t="str">
        <x:v>SEQ-07</x:v>
      </x:c>
      <x:c r="B73" s="62" t="str">
        <x:v>Sequencing, reset and partial power</x:v>
      </x:c>
      <x:c r="C73" s="65" t="str">
        <x:v>P0</x:v>
      </x:c>
      <x:c r="D73" s="62" t="str">
        <x:v>G1 Schematic</x:v>
      </x:c>
      <x:c r="E73" s="62" t="str">
        <x:v>Can a programming adapter or external supply bypass intended protection or drive a dead rail?</x:v>
      </x:c>
      <x:c r="F73" s="62" t="str">
        <x:v>Power-source interaction matrix with prohibited connections and fixture interlocks.</x:v>
      </x:c>
      <x:c r="G73" s="22" t="str">
        <x:v>CURRENT SOURCE OR MODEL WITH REMAINING CONDITIONS</x:v>
      </x:c>
      <x:c r="H73" s="22" t="str">
        <x:v>RVB22 coordinated engineering review</x:v>
      </x:c>
      <x:c r="I7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fixture interlock implementation/qualification remains.</x:v>
      </x:c>
      <x:c r="J73" s="161" t="str">
        <x:v>control/FINAL_I04_BRINGUP_BINDING.json
control/RVB22_BRING_UP_AND_MEASUREMENT_CONTRACT.md
control/BRINGUP_ACTUAL_NODE_INDEX.json
analyses/power_i19/SUMMARY.json
iterations/I20_controlled_handoff/NATIVE_BINDING.json
current/SOURCE_EFFECTIVITY.json</x:v>
      </x:c>
      <x:c r="K73" s="62" t="str">
        <x:v>Rev B; characterize Rev A only within its approved bench limits</x:v>
      </x:c>
      <x:c r="L73" s="62" t="str">
        <x:v>S1</x:v>
      </x:c>
      <x:c r="M73" s="62" t="str">
        <x:v>https://docs.espressif.com/projects/esp-hardware-design-guidelines/en/latest/esp32s3/schematic-checklist.html</x:v>
      </x:c>
      <x:c r="N73" s="70" t="str">
        <x:v>OPEN</x:v>
      </x:c>
    </x:row>
    <x:row r="74" ht="195" customHeight="1">
      <x:c r="A74" s="62" t="str">
        <x:v>SEQ-08</x:v>
      </x:c>
      <x:c r="B74" s="62" t="str">
        <x:v>Sequencing, reset and partial power</x:v>
      </x:c>
      <x:c r="C74" s="65" t="str">
        <x:v>P1</x:v>
      </x:c>
      <x:c r="D74" s="62" t="str">
        <x:v>G1 Schematic</x:v>
      </x:c>
      <x:c r="E74" s="62" t="str">
        <x:v>Does watchdog reset or firmware crash restore a known safe state without a long unstable reboot loop?</x:v>
      </x:c>
      <x:c r="F74" s="62" t="str">
        <x:v>Fault-injection logs and deterministic state-transition evidence.</x:v>
      </x:c>
      <x:c r="G74" s="22" t="str">
        <x:v>CURRENT SOURCE OR MODEL WITH REMAINING CONDITIONS</x:v>
      </x:c>
      <x:c r="H74" s="22" t="str">
        <x:v>RVB22 coordinated engineering review</x:v>
      </x:c>
      <x:c r="I7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assembled fault injection logs are not available.</x:v>
      </x:c>
      <x:c r="J74" s="161" t="str">
        <x:v>lanes/firmware_oil/RECOVERED_RELEASE_CHECKS.json
lanes/firmware_oil/RECOVERED_FIRMWARE_TEST_RESULTS.json
analyses/power_i19/SUMMARY.json
iterations/I20_controlled_handoff/NATIVE_BINDING.json
current/SOURCE_EFFECTIVITY.json</x:v>
      </x:c>
      <x:c r="K74" s="62" t="str">
        <x:v>Rev B; characterize Rev A only within its approved bench limits</x:v>
      </x:c>
      <x:c r="L74" s="62" t="str">
        <x:v>S1</x:v>
      </x:c>
      <x:c r="M74" s="62" t="str">
        <x:v>https://docs.espressif.com/projects/esp-hardware-design-guidelines/en/latest/esp32s3/schematic-checklist.html</x:v>
      </x:c>
      <x:c r="N74" s="70" t="str">
        <x:v>OPEN</x:v>
      </x:c>
    </x:row>
    <x:row r="75" ht="195" customHeight="1">
      <x:c r="A75" s="62" t="str">
        <x:v>SEQ-09</x:v>
      </x:c>
      <x:c r="B75" s="62" t="str">
        <x:v>Sequencing, reset and partial power</x:v>
      </x:c>
      <x:c r="C75" s="65" t="str">
        <x:v>P1</x:v>
      </x:c>
      <x:c r="D75" s="62" t="str">
        <x:v>G1 Schematic</x:v>
      </x:c>
      <x:c r="E75" s="62" t="str">
        <x:v>Are brownout cause, reset cause and reset count observable after recovery?</x:v>
      </x:c>
      <x:c r="F75" s="62" t="str">
        <x:v>Persistent/volatile diagnostic design avoids excessive flash writes and distinguishes hardware from software resets.</x:v>
      </x:c>
      <x:c r="G75" s="22" t="str">
        <x:v>CLOSED BY ORIGINAL SCOPE</x:v>
      </x:c>
      <x:c r="H75" s="22" t="str">
        <x:v>RVB22 coordinated engineering review</x:v>
      </x:c>
      <x:c r="I75" s="22" t="str">
        <x:v>Current firmware retains the reset reason, bounded reset count and diagnostic recovery design. Host diagnostic evidence is bound to the same source compiled by the pinned target build.
CRITERION: CLOSED
DESKTOP: COMPLETED CURRENT SOURCE VERIFICATION
REMAINING: Original documentary, design-inspection or execution scope satisfied. Related supplier and physical criteria retain their own dispositions.</x:v>
      </x:c>
      <x:c r="J75" s="161" t="str">
        <x:v>lanes/firmware_oil/RECOVERED_FIRMWARE_TEST_RESULTS.json
current/SOURCE_EFFECTIVITY.json
iterations/I20_controlled_handoff/NATIVE_BINDING.json</x:v>
      </x:c>
      <x:c r="K75" s="62" t="str">
        <x:v>Rev B; characterize Rev A only within its approved bench limits</x:v>
      </x:c>
      <x:c r="L75" s="62" t="str">
        <x:v>S1</x:v>
      </x:c>
      <x:c r="M75" s="62" t="str">
        <x:v>https://docs.espressif.com/projects/esp-hardware-design-guidelines/en/latest/esp32s3/schematic-checklist.html</x:v>
      </x:c>
      <x:c r="N75" s="70" t="str">
        <x:v>CLOSED</x:v>
      </x:c>
    </x:row>
    <x:row r="76" ht="195" customHeight="1">
      <x:c r="A76" s="62" t="str">
        <x:v>SEQ-10</x:v>
      </x:c>
      <x:c r="B76" s="62" t="str">
        <x:v>Sequencing, reset and partial power</x:v>
      </x:c>
      <x:c r="C76" s="65" t="str">
        <x:v>P1</x:v>
      </x:c>
      <x:c r="D76" s="62" t="str">
        <x:v>G1 Schematic</x:v>
      </x:c>
      <x:c r="E76" s="62" t="str">
        <x:v>Are startup and shutdown thresholds/order compatible with GPS backup state and saved configuration?</x:v>
      </x:c>
      <x:c r="F76" s="62" t="str">
        <x:v>Timing diagram and interrupted-write/restart tests.</x:v>
      </x:c>
      <x:c r="G76" s="22" t="str">
        <x:v>CURRENT SOURCE OR MODEL WITH REMAINING CONDITIONS</x:v>
      </x:c>
      <x:c r="H76" s="22" t="str">
        <x:v>RVB22 coordinated engineering review</x:v>
      </x:c>
      <x:c r="I7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real target interruption/restart timing remains.</x:v>
      </x:c>
      <x:c r="J76" s="161" t="str">
        <x:v>lanes/firmware_oil/RECOVERED_RELEASE_CHECKS.json
lanes/firmware_oil/RECOVERED_FIRMWARE_TEST_RESULTS.json
analyses/power_i19/SUMMARY.json
iterations/I20_controlled_handoff/NATIVE_BINDING.json
current/SOURCE_EFFECTIVITY.json</x:v>
      </x:c>
      <x:c r="K76" s="62" t="str">
        <x:v>Rev B; characterize Rev A only within its approved bench limits</x:v>
      </x:c>
      <x:c r="L76" s="62" t="str">
        <x:v>S1</x:v>
      </x:c>
      <x:c r="M76" s="62" t="str">
        <x:v>https://docs.espressif.com/projects/esp-hardware-design-guidelines/en/latest/esp32s3/schematic-checklist.html</x:v>
      </x:c>
      <x:c r="N76" s="70" t="str">
        <x:v>OPEN</x:v>
      </x:c>
    </x:row>
    <x:row r="77" ht="216" customHeight="1">
      <x:c r="A77" s="62" t="str">
        <x:v>GND-01</x:v>
      </x:c>
      <x:c r="B77" s="62" t="str">
        <x:v>Grounding and return-current paths</x:v>
      </x:c>
      <x:c r="C77" s="65" t="str">
        <x:v>P0</x:v>
      </x:c>
      <x:c r="D77" s="62" t="str">
        <x:v>G2 Layout</x:v>
      </x:c>
      <x:c r="E77" s="62" t="str">
        <x:v>Can the reviewer trace the complete forward and return path for each power, ADC, CAN and RF circuit?</x:v>
      </x:c>
      <x:c r="F77" s="62" t="str">
        <x:v>Annotated copper layers show real return continuity, not only identical ground labels.</x:v>
      </x:c>
      <x:c r="G77" s="22" t="str">
        <x:v>CLOSED BY ORIGINAL SCOPE</x:v>
      </x:c>
      <x:c r="H77" s="22" t="str">
        <x:v>RVB22 coordinated engineering review</x:v>
      </x:c>
      <x:c r="I77" s="22" t="str">
        <x:v>Independent reconstruction checks 133 actual filled-copper nets, power and signal returns, all copper Gerbers and every plated/NPTH drill. Return reference exceptions remain explicit under GND-02.
CRITERION: CLOSED
DESKTOP: COMPLETED CURRENT SOURCE VERIFICATION
REMAINING: Original documentary, design-inspection or execution scope satisfied. Related supplier and physical criteria retain their own dispositions.</x:v>
      </x:c>
      <x:c r="J77" s="161" t="str">
        <x:v>analyses/manufacturing_i20/RESULTS.json
current/SOURCE_EFFECTIVITY.json
control/REG07_SOURCE_COPPER_ANNOTATIONS.json</x:v>
      </x:c>
      <x:c r="K77" s="62" t="str">
        <x:v>Rev B; characterize Rev A only within its approved bench limits</x:v>
      </x:c>
      <x:c r="L77" s="62" t="str">
        <x:v>S10</x:v>
      </x:c>
      <x:c r="M77" s="62" t="str">
        <x:v>https://www.analog.com/en/resources/technical-articles/successful-pcb-grounding-with-mixedsignal-chips--follow-the-path-of-least-impedance.html</x:v>
      </x:c>
      <x:c r="N77" s="70" t="str">
        <x:v>CLOSED</x:v>
      </x:c>
    </x:row>
    <x:row r="78" ht="260" customHeight="1">
      <x:c r="A78" s="62" t="str">
        <x:v>GND-02</x:v>
      </x:c>
      <x:c r="B78" s="62" t="str">
        <x:v>Grounding and return-current paths</x:v>
      </x:c>
      <x:c r="C78" s="65" t="str">
        <x:v>P1</x:v>
      </x:c>
      <x:c r="D78" s="62" t="str">
        <x:v>G2 Layout</x:v>
      </x:c>
      <x:c r="E78" s="62" t="str">
        <x:v>Is there a continuous reference beneath critical routes without slots or copper neck-downs?</x:v>
      </x:c>
      <x:c r="F78" s="62" t="str">
        <x:v>Layer-by-layer return-path inspection using the actual filled zones.</x:v>
      </x:c>
      <x:c r="G78" s="22" t="str">
        <x:v>CURRENT SOURCE OR MODEL WITH REMAINING CONDITIONS</x:v>
      </x:c>
      <x:c r="H78" s="22" t="str">
        <x:v>RVB22 coordinated engineering review</x:v>
      </x:c>
      <x:c r="I78" s="22" t="str">
        <x:v>All RF segments retain their adjacent ground reference. Some digital segments have adjacent-plane gaps with the alternate ground plane present. That is not an uninterrupted nearest reference.
CRITERION: OPEN
DESKTOP: CURRENT NATIVE COMPLETE OTHER EVIDENCE REQUIRED
REMAINING: Retain the actual reference-gap map and bound affected digital transitions; reroute any path whose source/return bound is not met.</x:v>
      </x:c>
      <x:c r="J78" s="161" t="str">
        <x:v>runtime/final_I06_actual_preflight/RESULT.json
runtime/run_native_candidate.py
analyses/manufacturing_i20/RESULTS.json
current/SOURCE_EFFECTIVITY.json</x:v>
      </x:c>
      <x:c r="K78" s="62" t="str">
        <x:v>Rev B; characterize Rev A only within its approved bench limits</x:v>
      </x:c>
      <x:c r="L78" s="62" t="str">
        <x:v>S10</x:v>
      </x:c>
      <x:c r="M78" s="62" t="str">
        <x:v>https://www.analog.com/en/resources/technical-articles/successful-pcb-grounding-with-mixedsignal-chips--follow-the-path-of-least-impedance.html</x:v>
      </x:c>
      <x:c r="N78" s="70" t="str">
        <x:v>OPEN</x:v>
      </x:c>
    </x:row>
    <x:row r="79" ht="195" customHeight="1">
      <x:c r="A79" s="62" t="str">
        <x:v>GND-03</x:v>
      </x:c>
      <x:c r="B79" s="62" t="str">
        <x:v>Grounding and return-current paths</x:v>
      </x:c>
      <x:c r="C79" s="65" t="str">
        <x:v>P1</x:v>
      </x:c>
      <x:c r="D79" s="62" t="str">
        <x:v>G2 Layout</x:v>
      </x:c>
      <x:c r="E79" s="62" t="str">
        <x:v>Is analog/digital separation accomplished by placement and current control rather than an unjustified ground moat?</x:v>
      </x:c>
      <x:c r="F79" s="62" t="str">
        <x:v>Ground architecture rationale reconciles all mixed-signal interfaces.</x:v>
      </x:c>
      <x:c r="G79" s="22" t="str">
        <x:v>CLOSED BY ORIGINAL SCOPE</x:v>
      </x:c>
      <x:c r="H79" s="22" t="str">
        <x:v>RVB22 coordinated engineering review</x:v>
      </x:c>
      <x:c r="I7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79"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x:v>
      </x:c>
      <x:c r="K79" s="62" t="str">
        <x:v>Rev B; characterize Rev A only within its approved bench limits</x:v>
      </x:c>
      <x:c r="L79" s="62" t="str">
        <x:v>S10</x:v>
      </x:c>
      <x:c r="M79" s="62" t="str">
        <x:v>https://www.analog.com/en/resources/technical-articles/successful-pcb-grounding-with-mixedsignal-chips--follow-the-path-of-least-impedance.html</x:v>
      </x:c>
      <x:c r="N79" s="70" t="str">
        <x:v>CLOSED</x:v>
      </x:c>
    </x:row>
    <x:row r="80" ht="227" customHeight="1">
      <x:c r="A80" s="62" t="str">
        <x:v>GND-04</x:v>
      </x:c>
      <x:c r="B80" s="62" t="str">
        <x:v>Grounding and return-current paths</x:v>
      </x:c>
      <x:c r="C80" s="65" t="str">
        <x:v>P1</x:v>
      </x:c>
      <x:c r="D80" s="62" t="str">
        <x:v>G2 Layout</x:v>
      </x:c>
      <x:c r="E80" s="62" t="str">
        <x:v>Are switching and high-current returns kept from sharing impedance with the ADC reference and sensor return?</x:v>
      </x:c>
      <x:c r="F80" s="62" t="str">
        <x:v>Shared-impedance/voltage-drop calculation plus annotated placement.</x:v>
      </x:c>
      <x:c r="G80" s="22" t="str">
        <x:v>CLOSED BY ORIGINAL SCOPE</x:v>
      </x:c>
      <x:c r="H80" s="22" t="str">
        <x:v>RVB22 coordinated engineering review</x:v>
      </x:c>
      <x:c r="I8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0" s="161" t="str">
        <x:v>lanes/power/FINAL_I04_POWER_EFFECTIVITY.json
lanes/power/COUPLED_STARTUP_ENVELOPE.json
lanes/power_limits/POWER_LIMITS_SUMMARY.json
analyses/manufacturing_i20/RESULTS.json
current/SOURCE_EFFECTIVITY.json</x:v>
      </x:c>
      <x:c r="K80" s="62" t="str">
        <x:v>Rev B; characterize Rev A only within its approved bench limits</x:v>
      </x:c>
      <x:c r="L80" s="62" t="str">
        <x:v>S10</x:v>
      </x:c>
      <x:c r="M80" s="62" t="str">
        <x:v>https://www.analog.com/en/resources/technical-articles/successful-pcb-grounding-with-mixedsignal-chips--follow-the-path-of-least-impedance.html</x:v>
      </x:c>
      <x:c r="N80" s="70" t="str">
        <x:v>CLOSED</x:v>
      </x:c>
    </x:row>
    <x:row r="81" ht="195" customHeight="1">
      <x:c r="A81" s="62" t="str">
        <x:v>GND-05</x:v>
      </x:c>
      <x:c r="B81" s="62" t="str">
        <x:v>Grounding and return-current paths</x:v>
      </x:c>
      <x:c r="C81" s="65" t="str">
        <x:v>P1</x:v>
      </x:c>
      <x:c r="D81" s="62" t="str">
        <x:v>G2 Layout</x:v>
      </x:c>
      <x:c r="E81" s="62" t="str">
        <x:v>Is oil sensor ground referenced and measured correctly despite harness and board ground drops?</x:v>
      </x:c>
      <x:c r="F81" s="62" t="str">
        <x:v>End-to-end ground-offset error budget and representative load testing.</x:v>
      </x:c>
      <x:c r="G81" s="22" t="str">
        <x:v>CURRENT SOURCE OR MODEL WITH REMAINING CONDITIONS</x:v>
      </x:c>
      <x:c r="H81" s="22" t="str">
        <x:v>RVB22 coordinated engineering review</x:v>
      </x:c>
      <x:c r="I8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F also requires representative load testing.</x:v>
      </x:c>
      <x:c r="J81" s="161" t="str">
        <x:v>lanes/firmware_oil/RECOVERED_FIRMWARE_TEST_RESULTS.json
lanes/firmware_oil/RECOVERY_CALIBRATION_GAIN_REDLINE.json
interfaces/OIL_HARNESS_ERROR_SWEEP.json
analyses/manufacturing_i20/RESULTS.json
current/SOURCE_EFFECTIVITY.json</x:v>
      </x:c>
      <x:c r="K81" s="62" t="str">
        <x:v>Rev B; characterize Rev A only within its approved bench limits</x:v>
      </x:c>
      <x:c r="L81" s="62" t="str">
        <x:v>S10</x:v>
      </x:c>
      <x:c r="M81" s="62" t="str">
        <x:v>https://www.analog.com/en/resources/technical-articles/successful-pcb-grounding-with-mixedsignal-chips--follow-the-path-of-least-impedance.html</x:v>
      </x:c>
      <x:c r="N81" s="70" t="str">
        <x:v>OPEN</x:v>
      </x:c>
    </x:row>
    <x:row r="82" ht="195" customHeight="1">
      <x:c r="A82" s="62" t="str">
        <x:v>GND-06</x:v>
      </x:c>
      <x:c r="B82" s="62" t="str">
        <x:v>Grounding and return-current paths</x:v>
      </x:c>
      <x:c r="C82" s="65" t="str">
        <x:v>P0</x:v>
      </x:c>
      <x:c r="D82" s="62" t="str">
        <x:v>G2 Layout</x:v>
      </x:c>
      <x:c r="E82" s="62" t="str">
        <x:v>Are power return, CAN reference, signal ground, chassis, shield and connector shells deliberately related?</x:v>
      </x:c>
      <x:c r="F82" s="62" t="str">
        <x:v>Grounding/bonding diagram shows intentional bonds, isolation and fault current paths.</x:v>
      </x:c>
      <x:c r="G82" s="22" t="str">
        <x:v>CLOSED BY ORIGINAL SCOPE</x:v>
      </x:c>
      <x:c r="H82" s="22" t="str">
        <x:v>RVB22 coordinated engineering review</x:v>
      </x:c>
      <x:c r="I8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2"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x:v>
      </x:c>
      <x:c r="K82" s="62" t="str">
        <x:v>Rev B; characterize Rev A only within its approved bench limits</x:v>
      </x:c>
      <x:c r="L82" s="62" t="str">
        <x:v>S10</x:v>
      </x:c>
      <x:c r="M82" s="62" t="str">
        <x:v>https://www.analog.com/en/resources/technical-articles/successful-pcb-grounding-with-mixedsignal-chips--follow-the-path-of-least-impedance.html</x:v>
      </x:c>
      <x:c r="N82" s="70" t="str">
        <x:v>CLOSED</x:v>
      </x:c>
    </x:row>
    <x:row r="83" ht="249" customHeight="1">
      <x:c r="A83" s="62" t="str">
        <x:v>GND-07</x:v>
      </x:c>
      <x:c r="B83" s="62" t="str">
        <x:v>Grounding and return-current paths</x:v>
      </x:c>
      <x:c r="C83" s="65" t="str">
        <x:v>P1</x:v>
      </x:c>
      <x:c r="D83" s="62" t="str">
        <x:v>G2 Layout</x:v>
      </x:c>
      <x:c r="E83" s="62" t="str">
        <x:v>Are ESD return currents intercepted at the connector without crossing the sensitive circuit area?</x:v>
      </x:c>
      <x:c r="F83" s="62" t="str">
        <x:v>Protection-placement review with short return paths and defined chassis/signal-ground strategy.</x:v>
      </x:c>
      <x:c r="G83" s="22" t="str">
        <x:v>CLOSED BY ORIGINAL SCOPE</x:v>
      </x:c>
      <x:c r="H83" s="22" t="str">
        <x:v>RVB22 coordinated engineering review</x:v>
      </x:c>
      <x:c r="I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3" s="161" t="str">
        <x:v>lanes/emc/EMC_DESKTOP_REPORT.md
lanes/emc/REDLINE_DISPOSITIONS.json
lanes/emc/EMC_NUMERICAL_VERIFICATION.json
analyses/manufacturing_i20/RESULTS.json
current/SOURCE_EFFECTIVITY.json</x:v>
      </x:c>
      <x:c r="K83" s="62" t="str">
        <x:v>Rev B; characterize Rev A only within its approved bench limits</x:v>
      </x:c>
      <x:c r="L83" s="62" t="str">
        <x:v>S10</x:v>
      </x:c>
      <x:c r="M83" s="62" t="str">
        <x:v>https://www.analog.com/en/resources/technical-articles/successful-pcb-grounding-with-mixedsignal-chips--follow-the-path-of-least-impedance.html</x:v>
      </x:c>
      <x:c r="N83" s="70" t="str">
        <x:v>CLOSED</x:v>
      </x:c>
    </x:row>
    <x:row r="84" ht="195" customHeight="1">
      <x:c r="A84" s="62" t="str">
        <x:v>GND-08</x:v>
      </x:c>
      <x:c r="B84" s="62" t="str">
        <x:v>Grounding and return-current paths</x:v>
      </x:c>
      <x:c r="C84" s="65" t="str">
        <x:v>P1</x:v>
      </x:c>
      <x:c r="D84" s="62" t="str">
        <x:v>G2 Layout</x:v>
      </x:c>
      <x:c r="E84" s="62" t="str">
        <x:v>Are unused copper islands removed or intentionally connected?</x:v>
      </x:c>
      <x:c r="F84" s="62" t="str">
        <x:v>Filled-zone inspection and DRC/island report; no floating copper accidentally acting as a resonator.</x:v>
      </x:c>
      <x:c r="G84" s="22" t="str">
        <x:v>CLOSED BY ORIGINAL SCOPE</x:v>
      </x:c>
      <x:c r="H84" s="22" t="str">
        <x:v>RVB22 coordinated engineering review</x:v>
      </x:c>
      <x:c r="I84" s="22" t="str">
        <x:v>Native filled copper contains no floating padless islands or disconnected pad nets. DRC and unconnected-item counts are zero.
CRITERION: CLOSED
DESKTOP: COMPLETED CURRENT SOURCE VERIFICATION
REMAINING: Original documentary, design-inspection or execution scope satisfied. Related supplier and physical criteria retain their own dispositions.</x:v>
      </x:c>
      <x:c r="J84" s="161" t="str">
        <x:v>analyses/manufacturing_i20/RESULTS.json
iterations/I20_controlled_handoff/NATIVE_BINDING.json
current/SOURCE_EFFECTIVITY.json</x:v>
      </x:c>
      <x:c r="K84" s="62" t="str">
        <x:v>Rev B; characterize Rev A only within its approved bench limits</x:v>
      </x:c>
      <x:c r="L84" s="62" t="str">
        <x:v>S10</x:v>
      </x:c>
      <x:c r="M84" s="62" t="str">
        <x:v>https://www.analog.com/en/resources/technical-articles/successful-pcb-grounding-with-mixedsignal-chips--follow-the-path-of-least-impedance.html</x:v>
      </x:c>
      <x:c r="N84" s="70" t="str">
        <x:v>CLOSED</x:v>
      </x:c>
    </x:row>
    <x:row r="85" ht="195" customHeight="1">
      <x:c r="A85" s="62" t="str">
        <x:v>GND-09</x:v>
      </x:c>
      <x:c r="B85" s="62" t="str">
        <x:v>Grounding and return-current paths</x:v>
      </x:c>
      <x:c r="C85" s="65" t="str">
        <x:v>P0</x:v>
      </x:c>
      <x:c r="D85" s="62" t="str">
        <x:v>G2 Layout</x:v>
      </x:c>
      <x:c r="E85" s="62" t="str">
        <x:v>Can loss of the intended ground force return current through CAN, GPS coax, sensor wiring or a programmer?</x:v>
      </x:c>
      <x:c r="F85" s="62" t="str">
        <x:v>Ground-loss FMEA and controlled bench test plan.</x:v>
      </x:c>
      <x:c r="G85" s="22" t="str">
        <x:v>CLOSED BY ORIGINAL SCOPE</x:v>
      </x:c>
      <x:c r="H85" s="22" t="str">
        <x:v>RVB22 coordinated engineering review</x:v>
      </x:c>
      <x:c r="I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85" s="161" t="str">
        <x:v>analyses/lost_ground/LOST_GROUND_RESULTS_RECONSTRUCTED.json
interfaces/LOST_GROUND_FINITE_DC_SCREEN.json
interfaces/HARNESS_INTERFACE_CONTRACT.json
interfaces/SINGLE_RETURN_EFFECTIVITY.json
analyses/manufacturing_i20/RESULTS.json
current/SOURCE_EFFECTIVITY.json</x:v>
      </x:c>
      <x:c r="K85" s="62" t="str">
        <x:v>Rev B; characterize Rev A only within its approved bench limits</x:v>
      </x:c>
      <x:c r="L85" s="62" t="str">
        <x:v>S10</x:v>
      </x:c>
      <x:c r="M85" s="62" t="str">
        <x:v>https://www.analog.com/en/resources/technical-articles/successful-pcb-grounding-with-mixedsignal-chips--follow-the-path-of-least-impedance.html</x:v>
      </x:c>
      <x:c r="N85" s="70" t="str">
        <x:v>CLOSED</x:v>
      </x:c>
    </x:row>
    <x:row r="86" ht="195" customHeight="1">
      <x:c r="A86" s="62" t="str">
        <x:v>GND-10</x:v>
      </x:c>
      <x:c r="B86" s="62" t="str">
        <x:v>Grounding and return-current paths</x:v>
      </x:c>
      <x:c r="C86" s="65" t="str">
        <x:v>P0</x:v>
      </x:c>
      <x:c r="D86" s="62" t="str">
        <x:v>G2 Layout</x:v>
      </x:c>
      <x:c r="E86" s="62" t="str">
        <x:v>Is the lab setup's earth reference understood before attaching scope, USB and vehicle connections?</x:v>
      </x:c>
      <x:c r="F86" s="62" t="str">
        <x:v>Fixture grounding diagram and safe differential/isolated measurement methods where needed.</x:v>
      </x:c>
      <x:c r="G86" s="22" t="str">
        <x:v>CLOSED BY ORIGINAL SCOPE</x:v>
      </x:c>
      <x:c r="H86" s="22" t="str">
        <x:v>RVB22 coordinated engineering review</x:v>
      </x:c>
      <x:c r="I8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6" s="161" t="str">
        <x:v>control/RVB22_BRING_UP_AND_MEASUREMENT_CONTRACT.md
control/BRINGUP_SCHEMATIC_TEXT_DELTA.json
control/BRINGUP_ACTUAL_NODE_INDEX.json
control/FINAL_I04_BRINGUP_BINDING.json
analyses/manufacturing_i20/RESULTS.json
current/SOURCE_EFFECTIVITY.json</x:v>
      </x:c>
      <x:c r="K86" s="62" t="str">
        <x:v>Rev B; characterize Rev A only within its approved bench limits</x:v>
      </x:c>
      <x:c r="L86" s="62" t="str">
        <x:v>S10</x:v>
      </x:c>
      <x:c r="M86" s="62" t="str">
        <x:v>https://www.analog.com/en/resources/technical-articles/successful-pcb-grounding-with-mixedsignal-chips--follow-the-path-of-least-impedance.html</x:v>
      </x:c>
      <x:c r="N86" s="70" t="str">
        <x:v>CLOSED</x:v>
      </x:c>
    </x:row>
    <x:row r="87" ht="195" customHeight="1">
      <x:c r="A87" s="62" t="str">
        <x:v>VIA-01</x:v>
      </x:c>
      <x:c r="B87" s="62" t="str">
        <x:v>Stitching, thermal and signal vias</x:v>
      </x:c>
      <x:c r="C87" s="65" t="str">
        <x:v>P1</x:v>
      </x:c>
      <x:c r="D87" s="62" t="str">
        <x:v>G2 Layout</x:v>
      </x:c>
      <x:c r="E87" s="62" t="str">
        <x:v>What electrical purpose does each group of stitching vias serve?</x:v>
      </x:c>
      <x:c r="F87" s="62" t="str">
        <x:v>Via map distinguishes reference stitching, RF fencing, thermal conduction and power-current transfer.</x:v>
      </x:c>
      <x:c r="G87" s="22" t="str">
        <x:v>CLOSED BY ORIGINAL SCOPE</x:v>
      </x:c>
      <x:c r="H87" s="22" t="str">
        <x:v>RVB22 coordinated engineering review</x:v>
      </x:c>
      <x:c r="I8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7"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x:v>
      </x:c>
      <x:c r="K87" s="62" t="str">
        <x:v>Rev B; characterize Rev A only within its approved bench limits</x:v>
      </x:c>
      <x:c r="L87" s="62" t="str">
        <x:v>S2</x:v>
      </x:c>
      <x:c r="M87" s="62" t="str">
        <x:v>https://docs.espressif.com/projects/esp-hardware-design-guidelines/en/latest/esp32s3/pcb-layout-design.html</x:v>
      </x:c>
      <x:c r="N87" s="70" t="str">
        <x:v>CLOSED</x:v>
      </x:c>
    </x:row>
    <x:row r="88" ht="195" customHeight="1">
      <x:c r="A88" s="62" t="str">
        <x:v>VIA-02</x:v>
      </x:c>
      <x:c r="B88" s="62" t="str">
        <x:v>Stitching, thermal and signal vias</x:v>
      </x:c>
      <x:c r="C88" s="65" t="str">
        <x:v>P1</x:v>
      </x:c>
      <x:c r="D88" s="62" t="str">
        <x:v>G2 Layout</x:v>
      </x:c>
      <x:c r="E88" s="62" t="str">
        <x:v>Are nearby ground return vias provided when signals transition between layers referenced to the same ground net?</x:v>
      </x:c>
      <x:c r="F88" s="62" t="str">
        <x:v>Inspection shows short return transitions at critical signal vias.</x:v>
      </x:c>
      <x:c r="G88" s="22" t="str">
        <x:v>CLOSED BY ORIGINAL SCOPE</x:v>
      </x:c>
      <x:c r="H88" s="22" t="str">
        <x:v>RVB22 coordinated engineering review</x:v>
      </x:c>
      <x:c r="I88" s="22" t="str">
        <x:v>Current filled-reference inspection and retained transition geometry provide local ground transitions for the critical RF path. Remaining digital alternate-reference conditions are recorded under GND-02.
CRITERION: CLOSED
DESKTOP: COMPLETED CURRENT SOURCE VERIFICATION
REMAINING: Original documentary, design-inspection or execution scope satisfied. Related supplier and physical criteria retain their own dispositions.</x:v>
      </x:c>
      <x:c r="J88" s="161" t="str">
        <x:v>analyses/manufacturing_i20/RESULTS.json
analyses/rf_i18/EXTENDED_NETWORK_RESULTS.json
current/SOURCE_EFFECTIVITY.json</x:v>
      </x:c>
      <x:c r="K88" s="62" t="str">
        <x:v>Rev B; characterize Rev A only within its approved bench limits</x:v>
      </x:c>
      <x:c r="L88" s="62" t="str">
        <x:v>S2</x:v>
      </x:c>
      <x:c r="M88" s="62" t="str">
        <x:v>https://docs.espressif.com/projects/esp-hardware-design-guidelines/en/latest/esp32s3/pcb-layout-design.html</x:v>
      </x:c>
      <x:c r="N88" s="70" t="str">
        <x:v>CLOSED</x:v>
      </x:c>
    </x:row>
    <x:row r="89" ht="195" customHeight="1">
      <x:c r="A89" s="62" t="str">
        <x:v>VIA-03</x:v>
      </x:c>
      <x:c r="B89" s="62" t="str">
        <x:v>Stitching, thermal and signal vias</x:v>
      </x:c>
      <x:c r="C89" s="65" t="str">
        <x:v>P1</x:v>
      </x:c>
      <x:c r="D89" s="62" t="str">
        <x:v>G2 Layout</x:v>
      </x:c>
      <x:c r="E89" s="62" t="str">
        <x:v>Do via pitch and locations follow signal edge rate/RF wavelength and geometry rather than an arbitrary grid?</x:v>
      </x:c>
      <x:c r="F89" s="62" t="str">
        <x:v>Documented rationale or validated reference layout for sensitive zones.</x:v>
      </x:c>
      <x:c r="G89" s="22" t="str">
        <x:v>CLOSED BY ORIGINAL SCOPE</x:v>
      </x:c>
      <x:c r="H89" s="22" t="str">
        <x:v>RVB22 coordinated engineering review</x:v>
      </x:c>
      <x:c r="I8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89" s="161" t="str">
        <x:v>lanes/rf/RF_FINAL_REPORT.md
lanes/rf/RF_FINAL_SUMMARY.json
lanes/rf/RF_I04_ADDENDUM.md
lanes/rf/RF_I04_SUMMARY.json
lanes/rf/FINAL_I04_SOURCE_BINDING.json
lanes/emc/EMC_SUMMARY.json
analyses/manufacturing_i20/RESULTS.json
analyses/service_i19/RESULTS.json</x:v>
      </x:c>
      <x:c r="K89" s="62" t="str">
        <x:v>Rev B; characterize Rev A only within its approved bench limits</x:v>
      </x:c>
      <x:c r="L89" s="62" t="str">
        <x:v>S2</x:v>
      </x:c>
      <x:c r="M89" s="62" t="str">
        <x:v>https://docs.espressif.com/projects/esp-hardware-design-guidelines/en/latest/esp32s3/pcb-layout-design.html</x:v>
      </x:c>
      <x:c r="N89" s="70" t="str">
        <x:v>CLOSED</x:v>
      </x:c>
    </x:row>
    <x:row r="90" ht="195" customHeight="1">
      <x:c r="A90" s="62" t="str">
        <x:v>VIA-04</x:v>
      </x:c>
      <x:c r="B90" s="62" t="str">
        <x:v>Stitching, thermal and signal vias</x:v>
      </x:c>
      <x:c r="C90" s="65" t="str">
        <x:v>P0</x:v>
      </x:c>
      <x:c r="D90" s="62" t="str">
        <x:v>G2 Layout</x:v>
      </x:c>
      <x:c r="E90" s="62" t="str">
        <x:v>Are antenna keepouts and any intentional isolation boundaries free of prohibited stitching and copper?</x:v>
      </x:c>
      <x:c r="F90" s="62" t="str">
        <x:v>Manufacturer keepout overlays checked on every relevant copper layer.</x:v>
      </x:c>
      <x:c r="G90" s="22" t="str">
        <x:v>CLOSED BY ORIGINAL SCOPE</x:v>
      </x:c>
      <x:c r="H90" s="22" t="str">
        <x:v>RVB22 coordinated engineering review</x:v>
      </x:c>
      <x:c r="I9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0" s="161" t="str">
        <x:v>lanes/rf/RF_FINAL_REPORT.md
lanes/rf/RF_FINAL_SUMMARY.json
lanes/rf/RF_I04_ADDENDUM.md
lanes/rf/RF_I04_SUMMARY.json
lanes/rf/FINAL_I04_SOURCE_BINDING.json
lanes/emc/EMC_SUMMARY.json
analyses/manufacturing_i20/RESULTS.json
analyses/service_i19/RESULTS.json</x:v>
      </x:c>
      <x:c r="K90" s="62" t="str">
        <x:v>Rev B; characterize Rev A only within its approved bench limits</x:v>
      </x:c>
      <x:c r="L90" s="62" t="str">
        <x:v>S2</x:v>
      </x:c>
      <x:c r="M90" s="62" t="str">
        <x:v>https://docs.espressif.com/projects/esp-hardware-design-guidelines/en/latest/esp32s3/pcb-layout-design.html</x:v>
      </x:c>
      <x:c r="N90" s="70" t="str">
        <x:v>CLOSED</x:v>
      </x:c>
    </x:row>
    <x:row r="91" ht="195" customHeight="1">
      <x:c r="A91" s="62" t="str">
        <x:v>VIA-05</x:v>
      </x:c>
      <x:c r="B91" s="62" t="str">
        <x:v>Stitching, thermal and signal vias</x:v>
      </x:c>
      <x:c r="C91" s="65" t="str">
        <x:v>P1</x:v>
      </x:c>
      <x:c r="D91" s="62" t="str">
        <x:v>G2 Layout</x:v>
      </x:c>
      <x:c r="E91" s="62" t="str">
        <x:v>Are RF connector grounds and the RF reference structure tied together locally?</x:v>
      </x:c>
      <x:c r="F91" s="62" t="str">
        <x:v>U.FL launch and return-path inspection against exact footprint and stackup.</x:v>
      </x:c>
      <x:c r="G91" s="22" t="str">
        <x:v>CLOSED BY ORIGINAL SCOPE</x:v>
      </x:c>
      <x:c r="H91" s="22" t="str">
        <x:v>RVB22 coordinated engineering review</x:v>
      </x:c>
      <x:c r="I91" s="22" t="str">
        <x:v>U.FL local grounds and both RF layer references are connected. All RF centerline segments have zero adjacent-ground gap after their own via antipads. The centered straight 0.700 mm connector entry is preserved.
CRITERION: CLOSED
DESKTOP: COMPLETED CURRENT SOURCE VERIFICATION
REMAINING: Original documentary, design-inspection or execution scope satisfied. Related supplier and physical criteria retain their own dispositions.</x:v>
      </x:c>
      <x:c r="J91" s="161" t="str">
        <x:v>analyses/manufacturing_i20/RESULTS.json
current/SOURCE_EFFECTIVITY.json
analyses/rf_i18/EXTENDED_NETWORK_RESULTS.json</x:v>
      </x:c>
      <x:c r="K91" s="62" t="str">
        <x:v>Rev B; characterize Rev A only within its approved bench limits</x:v>
      </x:c>
      <x:c r="L91" s="62" t="str">
        <x:v>S2</x:v>
      </x:c>
      <x:c r="M91" s="62" t="str">
        <x:v>https://docs.espressif.com/projects/esp-hardware-design-guidelines/en/latest/esp32s3/pcb-layout-design.html</x:v>
      </x:c>
      <x:c r="N91" s="70" t="str">
        <x:v>CLOSED</x:v>
      </x:c>
    </x:row>
    <x:row r="92" ht="195" customHeight="1">
      <x:c r="A92" s="62" t="str">
        <x:v>VIA-06</x:v>
      </x:c>
      <x:c r="B92" s="62" t="str">
        <x:v>Stitching, thermal and signal vias</x:v>
      </x:c>
      <x:c r="C92" s="65" t="str">
        <x:v>P1</x:v>
      </x:c>
      <x:c r="D92" s="62" t="str">
        <x:v>G2 Layout</x:v>
      </x:c>
      <x:c r="E92" s="62" t="str">
        <x:v>Are power via count, finished drill and plating sufficient for current and temperature rise?</x:v>
      </x:c>
      <x:c r="F92" s="62" t="str">
        <x:v>Via-current/thermal budget with fabrication tolerances.</x:v>
      </x:c>
      <x:c r="G92" s="22" t="str">
        <x:v>CURRENT SOURCE OR MODEL WITH REMAINING CONDITIONS</x:v>
      </x:c>
      <x:c r="H92" s="22" t="str">
        <x:v>RVB22 coordinated engineering review</x:v>
      </x:c>
      <x:c r="I9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finished plating/temperature applicability remains supplier-dependent.</x:v>
      </x:c>
      <x:c r="J92" s="161" t="str">
        <x:v>lanes/power/FINAL_I04_POWER_EFFECTIVITY.json
lanes/power/COUPLED_STARTUP_ENVELOPE.json
lanes/power_limits/POWER_LIMITS_SUMMARY.json
analyses/manufacturing_i20/RESULTS.json
analyses/service_i19/RESULTS.json</x:v>
      </x:c>
      <x:c r="K92" s="62" t="str">
        <x:v>Rev B; characterize Rev A only within its approved bench limits</x:v>
      </x:c>
      <x:c r="L92" s="62" t="str">
        <x:v>S2</x:v>
      </x:c>
      <x:c r="M92" s="62" t="str">
        <x:v>https://docs.espressif.com/projects/esp-hardware-design-guidelines/en/latest/esp32s3/pcb-layout-design.html</x:v>
      </x:c>
      <x:c r="N92" s="70" t="str">
        <x:v>OPEN</x:v>
      </x:c>
    </x:row>
    <x:row r="93" ht="195" customHeight="1">
      <x:c r="A93" s="62" t="str">
        <x:v>VIA-07</x:v>
      </x:c>
      <x:c r="B93" s="62" t="str">
        <x:v>Stitching, thermal and signal vias</x:v>
      </x:c>
      <x:c r="C93" s="65" t="str">
        <x:v>P1</x:v>
      </x:c>
      <x:c r="D93" s="62" t="str">
        <x:v>G2 Layout</x:v>
      </x:c>
      <x:c r="E93" s="62" t="str">
        <x:v>Are thermal vias located and constructed without unacceptable solder wicking or voiding?</x:v>
      </x:c>
      <x:c r="F93" s="62" t="str">
        <x:v>Assembly-approved tenting/filling/capping and stencil strategy.</x:v>
      </x:c>
      <x:c r="G93" s="22" t="str">
        <x:v>CURRENT SOURCE OR MODEL WITH REMAINING CONDITIONS</x:v>
      </x:c>
      <x:c r="H93" s="22" t="str">
        <x:v>RVB22 coordinated engineering review</x:v>
      </x:c>
      <x:c r="I9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is not inferred.</x:v>
      </x:c>
      <x:c r="J93" s="161" t="str">
        <x:v>analyses/assembly_handling/EXACT_MPN_HANDLING_REGISTER.json
analyses/assembly_handling/PROCESS_RECONCILIATION.md
lanes/mechanics/ASSEMBLY_PROCESS_RVB22.md
analyses/manufacturing_i20/RESULTS.json
analyses/service_i19/RESULTS.json</x:v>
      </x:c>
      <x:c r="K93" s="62" t="str">
        <x:v>Rev B; characterize Rev A only within its approved bench limits</x:v>
      </x:c>
      <x:c r="L93" s="62" t="str">
        <x:v>S2</x:v>
      </x:c>
      <x:c r="M93" s="62" t="str">
        <x:v>https://docs.espressif.com/projects/esp-hardware-design-guidelines/en/latest/esp32s3/pcb-layout-design.html</x:v>
      </x:c>
      <x:c r="N93" s="70" t="str">
        <x:v>OPEN</x:v>
      </x:c>
    </x:row>
    <x:row r="94" ht="195" customHeight="1">
      <x:c r="A94" s="62" t="str">
        <x:v>VIA-08</x:v>
      </x:c>
      <x:c r="B94" s="62" t="str">
        <x:v>Stitching, thermal and signal vias</x:v>
      </x:c>
      <x:c r="C94" s="65" t="str">
        <x:v>P1</x:v>
      </x:c>
      <x:c r="D94" s="62" t="str">
        <x:v>G2 Layout</x:v>
      </x:c>
      <x:c r="E94" s="62" t="str">
        <x:v>Are via-in-pad structures explicitly allowed and manufacturable by the selected supplier?</x:v>
      </x:c>
      <x:c r="F94" s="62" t="str">
        <x:v>Fabricator capability confirmation and corresponding drawing notes.</x:v>
      </x:c>
      <x:c r="G94" s="22" t="str">
        <x:v>CURRENT SOURCE OR MODEL WITH REMAINING CONDITIONS</x:v>
      </x:c>
      <x:c r="H94" s="22" t="str">
        <x:v>RVB22 coordinated engineering review</x:v>
      </x:c>
      <x:c r="I9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current fabricator capability confirmation remains.</x:v>
      </x:c>
      <x:c r="J94" s="161" t="str">
        <x:v>analyses/assembly_handling/EXACT_MPN_HANDLING_REGISTER.json
analyses/assembly_handling/PROCESS_RECONCILIATION.md
lanes/mechanics/ASSEMBLY_PROCESS_RVB22.md
analyses/manufacturing_i20/RESULTS.json
analyses/service_i19/RESULTS.json</x:v>
      </x:c>
      <x:c r="K94" s="62" t="str">
        <x:v>Rev B; characterize Rev A only within its approved bench limits</x:v>
      </x:c>
      <x:c r="L94" s="62" t="str">
        <x:v>S2</x:v>
      </x:c>
      <x:c r="M94" s="62" t="str">
        <x:v>https://docs.espressif.com/projects/esp-hardware-design-guidelines/en/latest/esp32s3/pcb-layout-design.html</x:v>
      </x:c>
      <x:c r="N94" s="70" t="str">
        <x:v>OPEN</x:v>
      </x:c>
    </x:row>
    <x:row r="95" ht="195" customHeight="1">
      <x:c r="A95" s="62" t="str">
        <x:v>VIA-09</x:v>
      </x:c>
      <x:c r="B95" s="62" t="str">
        <x:v>Stitching, thermal and signal vias</x:v>
      </x:c>
      <x:c r="C95" s="65" t="str">
        <x:v>P1</x:v>
      </x:c>
      <x:c r="D95" s="62" t="str">
        <x:v>G2 Layout</x:v>
      </x:c>
      <x:c r="E95" s="62" t="str">
        <x:v>Do test vias and through-hole stubs add unacceptable loading to RF or other critical nets?</x:v>
      </x:c>
      <x:c r="F95" s="62" t="str">
        <x:v>Stub geometry and measurement-access trade reviewed.</x:v>
      </x:c>
      <x:c r="G95" s="22" t="str">
        <x:v>CLOSED BY ORIGINAL SCOPE</x:v>
      </x:c>
      <x:c r="H95" s="22" t="str">
        <x:v>RVB22 coordinated engineering review</x:v>
      </x:c>
      <x:c r="I9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5" s="161" t="str">
        <x:v>lanes/rf/RF_FINAL_REPORT.md
lanes/rf/RF_FINAL_SUMMARY.json
lanes/rf/RF_I04_ADDENDUM.md
lanes/rf/RF_I04_SUMMARY.json
lanes/rf/FINAL_I04_SOURCE_BINDING.json
lanes/emc/EMC_SUMMARY.json
analyses/manufacturing_i20/RESULTS.json
analyses/service_i19/RESULTS.json</x:v>
      </x:c>
      <x:c r="K95" s="62" t="str">
        <x:v>Rev B; characterize Rev A only within its approved bench limits</x:v>
      </x:c>
      <x:c r="L95" s="62" t="str">
        <x:v>S2</x:v>
      </x:c>
      <x:c r="M95" s="62" t="str">
        <x:v>https://docs.espressif.com/projects/esp-hardware-design-guidelines/en/latest/esp32s3/pcb-layout-design.html</x:v>
      </x:c>
      <x:c r="N95" s="70" t="str">
        <x:v>CLOSED</x:v>
      </x:c>
    </x:row>
    <x:row r="96" ht="195" customHeight="1">
      <x:c r="A96" s="62" t="str">
        <x:v>VIA-10</x:v>
      </x:c>
      <x:c r="B96" s="62" t="str">
        <x:v>Stitching, thermal and signal vias</x:v>
      </x:c>
      <x:c r="C96" s="65" t="str">
        <x:v>P2</x:v>
      </x:c>
      <x:c r="D96" s="62" t="str">
        <x:v>G2 Layout</x:v>
      </x:c>
      <x:c r="E96" s="62" t="str">
        <x:v>Does the stitching pattern preserve routing, creepage, assembly and probing access without unnecessary complexity?</x:v>
      </x:c>
      <x:c r="F96" s="62" t="str">
        <x:v>Final density and DFM review; more vias is not itself an acceptance metric.</x:v>
      </x:c>
      <x:c r="G96" s="22" t="str">
        <x:v>CLOSED BY ORIGINAL SCOPE</x:v>
      </x:c>
      <x:c r="H96" s="22" t="str">
        <x:v>RVB22 coordinated engineering review</x:v>
      </x:c>
      <x:c r="I96" s="22" t="str">
        <x:v>Native clearance and density checks pass. The complete mated-body model and all 37 test-probe envelopes pass with minimum 0.700 mm radial clearance. Filled/capped process requirements are separately controlled.
CRITERION: CLOSED
DESKTOP: COMPLETED CURRENT SOURCE VERIFICATION
REMAINING: Original documentary, design-inspection or execution scope satisfied. Related supplier and physical criteria retain their own dispositions.</x:v>
      </x:c>
      <x:c r="J96" s="161" t="str">
        <x:v>iterations/I20_controlled_handoff/NATIVE_BINDING.json
analyses/mated_i18/RESULTS.json
analyses/service_i19/RESULTS.json
current/SOURCE_EFFECTIVITY.json</x:v>
      </x:c>
      <x:c r="K96" s="62" t="str">
        <x:v>Rev B; characterize Rev A only within its approved bench limits</x:v>
      </x:c>
      <x:c r="L96" s="62" t="str">
        <x:v>S2</x:v>
      </x:c>
      <x:c r="M96" s="62" t="str">
        <x:v>https://docs.espressif.com/projects/esp-hardware-design-guidelines/en/latest/esp32s3/pcb-layout-design.html</x:v>
      </x:c>
      <x:c r="N96" s="70" t="str">
        <x:v>CLOSED</x:v>
      </x:c>
    </x:row>
    <x:row r="97" ht="195" customHeight="1">
      <x:c r="A97" s="62" t="str">
        <x:v>SI-01</x:v>
      </x:c>
      <x:c r="B97" s="62" t="str">
        <x:v>Impedance, signal integrity and routing</x:v>
      </x:c>
      <x:c r="C97" s="65" t="str">
        <x:v>P0</x:v>
      </x:c>
      <x:c r="D97" s="62" t="str">
        <x:v>G2 Layout</x:v>
      </x:c>
      <x:c r="E97" s="62" t="str">
        <x:v>Is the real fabricator stackup fixed before assigning controlled-impedance geometry?</x:v>
      </x:c>
      <x:c r="F97" s="62" t="str">
        <x:v>Dielectric thickness/Dk, copper, layer references, mask assumptions and tolerances recorded.</x:v>
      </x:c>
      <x:c r="G97" s="22" t="str">
        <x:v>CLOSED BY ORIGINAL SCOPE</x:v>
      </x:c>
      <x:c r="H97" s="22" t="str">
        <x:v>RVB22 coordinated engineering review</x:v>
      </x:c>
      <x:c r="I9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97" s="161" t="str">
        <x:v>lanes/rf/RF_FINAL_REPORT.md
lanes/rf/RF_FINAL_SUMMARY.json
lanes/rf/RF_I04_ADDENDUM.md
lanes/rf/RF_I04_SUMMARY.json
lanes/emc/RF_STRIP_NETWORK.json
analyses/manufacturing_i20/RESULTS.json
control/SI11_COUPLING_PATH_REVIEW.json</x:v>
      </x:c>
      <x:c r="K97" s="62" t="str">
        <x:v>Rev B; characterize Rev A only within its approved bench limits</x:v>
      </x:c>
      <x:c r="L97" s="62" t="str">
        <x:v>S6</x:v>
      </x:c>
      <x:c r="M97" s="62" t="str">
        <x:v>https://www.ti.com/lit/an/slla270/slla270.pdf</x:v>
      </x:c>
      <x:c r="N97" s="70" t="str">
        <x:v>CLOSED</x:v>
      </x:c>
    </x:row>
    <x:row r="98" ht="249" customHeight="1">
      <x:c r="A98" s="62" t="str">
        <x:v>SI-02</x:v>
      </x:c>
      <x:c r="B98" s="62" t="str">
        <x:v>Impedance, signal integrity and routing</x:v>
      </x:c>
      <x:c r="C98" s="65" t="str">
        <x:v>P1</x:v>
      </x:c>
      <x:c r="D98" s="62" t="str">
        <x:v>G2 Layout</x:v>
      </x:c>
      <x:c r="E98" s="62" t="str">
        <x:v>Is the GPS RF feed designed for the exact module/connector's 50-ohm interface?</x:v>
      </x:c>
      <x:c r="F98" s="62" t="str">
        <x:v>Trace width/gap/reference calculation, launch geometry and fabrication tolerance.</x:v>
      </x:c>
      <x:c r="G98" s="22" t="str">
        <x:v>CLOSED BY ORIGINAL SCOPE</x:v>
      </x:c>
      <x:c r="H98" s="22" t="str">
        <x:v>RVB22 coordinated engineering review</x:v>
      </x:c>
      <x:c r="I9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98" s="161" t="str">
        <x:v>lanes/rf/RF_FINAL_REPORT.md
lanes/rf/RF_FINAL_SUMMARY.json
lanes/rf/RF_I04_ADDENDUM.md
lanes/rf/RF_I04_SUMMARY.json
lanes/emc/RF_STRIP_NETWORK.json
analyses/manufacturing_i20/RESULTS.json
control/SI11_COUPLING_PATH_REVIEW.json</x:v>
      </x:c>
      <x:c r="K98" s="62" t="str">
        <x:v>Rev B; characterize Rev A only within its approved bench limits</x:v>
      </x:c>
      <x:c r="L98" s="62" t="str">
        <x:v>S6</x:v>
      </x:c>
      <x:c r="M98" s="62" t="str">
        <x:v>https://www.ti.com/lit/an/slla270/slla270.pdf</x:v>
      </x:c>
      <x:c r="N98" s="70" t="str">
        <x:v>CLOSED</x:v>
      </x:c>
    </x:row>
    <x:row r="99" ht="195" customHeight="1">
      <x:c r="A99" s="62" t="str">
        <x:v>SI-03</x:v>
      </x:c>
      <x:c r="B99" s="62" t="str">
        <x:v>Impedance, signal integrity and routing</x:v>
      </x:c>
      <x:c r="C99" s="65" t="str">
        <x:v>P1</x:v>
      </x:c>
      <x:c r="D99" s="62" t="str">
        <x:v>G2 Layout</x:v>
      </x:c>
      <x:c r="E99" s="62" t="str">
        <x:v>Is the CAN harness nominal impedance and endpoint termination distinguished from a short PCB branch geometry?</x:v>
      </x:c>
      <x:c r="F99" s="62" t="str">
        <x:v>Complete topology/loading/delay analysis; do not assign arbitrary 50-ohm legs or extra termination.</x:v>
      </x:c>
      <x:c r="G99" s="22" t="str">
        <x:v>CLOSED BY ORIGINAL SCOPE</x:v>
      </x:c>
      <x:c r="H99" s="22" t="str">
        <x:v>RVB22 coordinated engineering review</x:v>
      </x:c>
      <x:c r="I9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99" s="161" t="str">
        <x:v>analyses/can_branch/COMPLETE_CAN_BRANCH_RESULTS.json
analyses/can_branch/COMPLETE_CAN_BRANCH_REVIEW.md
analyses/harness_wire/AVSS_CAN_STUB_MODEL.json
analyses/can_branch/CAN22-02_NUMERICAL_CHECKS.json
analyses/can_branch/CAN22-02_INDEPENDENT_REVIEW.json
analyses/can_branch/CAN22-02_THRESHOLD_REFINEMENT.json
analyses/can_branch/FINAL_CAN_SOURCE_BINDING.json
analyses/manufacturing_i20/RESULTS.json
control/SI11_COUPLING_PATH_REVIEW.json</x:v>
      </x:c>
      <x:c r="K99" s="62" t="str">
        <x:v>Rev B; characterize Rev A only within its approved bench limits</x:v>
      </x:c>
      <x:c r="L99" s="62" t="str">
        <x:v>S6</x:v>
      </x:c>
      <x:c r="M99" s="62" t="str">
        <x:v>https://www.ti.com/lit/an/slla270/slla270.pdf</x:v>
      </x:c>
      <x:c r="N99" s="70" t="str">
        <x:v>CLOSED</x:v>
      </x:c>
    </x:row>
    <x:row r="100" ht="195" customHeight="1">
      <x:c r="A100" s="62" t="str">
        <x:v>SI-04</x:v>
      </x:c>
      <x:c r="B100" s="62" t="str">
        <x:v>Impedance, signal integrity and routing</x:v>
      </x:c>
      <x:c r="C100" s="65" t="str">
        <x:v>P1</x:v>
      </x:c>
      <x:c r="D100" s="62" t="str">
        <x:v>G2 Layout</x:v>
      </x:c>
      <x:c r="E100" s="62" t="str">
        <x:v>Are trace-length and skew rules based on propagation delay and edge rate rather than baud rate alone?</x:v>
      </x:c>
      <x:c r="F100" s="62" t="str">
        <x:v>Per-interface timing budget identifies which constraints are material.</x:v>
      </x:c>
      <x:c r="G100" s="22" t="str">
        <x:v>CLOSED BY ORIGINAL SCOPE</x:v>
      </x:c>
      <x:c r="H100" s="22" t="str">
        <x:v>RVB22 coordinated engineering review</x:v>
      </x:c>
      <x:c r="I10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0" s="161" t="str">
        <x:v>lanes/firmware_oil/RECOVERED_RELEASE_CHECKS.json
lanes/firmware_oil/RECOVERED_FIRMWARE_TEST_RESULTS.json
lanes/firmware_oil/FINAL_I04_OIL_FIRMWARE_EFFECTIVITY.json
analyses/manufacturing_i20/RESULTS.json
control/SI11_COUPLING_PATH_REVIEW.json</x:v>
      </x:c>
      <x:c r="K100" s="62" t="str">
        <x:v>Rev B; characterize Rev A only within its approved bench limits</x:v>
      </x:c>
      <x:c r="L100" s="62" t="str">
        <x:v>S6</x:v>
      </x:c>
      <x:c r="M100" s="62" t="str">
        <x:v>https://www.ti.com/lit/an/slla270/slla270.pdf</x:v>
      </x:c>
      <x:c r="N100" s="70" t="str">
        <x:v>CLOSED</x:v>
      </x:c>
    </x:row>
    <x:row r="101" ht="315" customHeight="1">
      <x:c r="A101" s="62" t="str">
        <x:v>SI-05</x:v>
      </x:c>
      <x:c r="B101" s="62" t="str">
        <x:v>Impedance, signal integrity and routing</x:v>
      </x:c>
      <x:c r="C101" s="65" t="str">
        <x:v>P1</x:v>
      </x:c>
      <x:c r="D101" s="62" t="str">
        <x:v>G2 Layout</x:v>
      </x:c>
      <x:c r="E101" s="62" t="str">
        <x:v>Are critical routes short, direct and free of unnecessary stubs, test branches and layer changes?</x:v>
      </x:c>
      <x:c r="F101" s="62" t="str">
        <x:v>Route report and annotated layout review.</x:v>
      </x:c>
      <x:c r="G101" s="22" t="str">
        <x:v>CLOSED BY ORIGINAL SCOPE</x:v>
      </x:c>
      <x:c r="H101" s="22" t="str">
        <x:v>RVB22 coordinated engineering review</x:v>
      </x:c>
      <x:c r="I10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01" s="161" t="str">
        <x:v>control/SI11_COUPLING_PATH_REVIEW.json
control/REG07_SOURCE_COPPER_ANNOTATIONS.json
analyses/manufacturing_i20/RESULTS.json</x:v>
      </x:c>
      <x:c r="K101" s="62" t="str">
        <x:v>Rev B; characterize Rev A only within its approved bench limits</x:v>
      </x:c>
      <x:c r="L101" s="62" t="str">
        <x:v>S6</x:v>
      </x:c>
      <x:c r="M101" s="62" t="str">
        <x:v>https://www.ti.com/lit/an/slla270/slla270.pdf</x:v>
      </x:c>
      <x:c r="N101" s="70" t="str">
        <x:v>CLOSED</x:v>
      </x:c>
    </x:row>
    <x:row r="102" ht="195" customHeight="1">
      <x:c r="A102" s="62" t="str">
        <x:v>SI-06</x:v>
      </x:c>
      <x:c r="B102" s="62" t="str">
        <x:v>Impedance, signal integrity and routing</x:v>
      </x:c>
      <x:c r="C102" s="65" t="str">
        <x:v>P1</x:v>
      </x:c>
      <x:c r="D102" s="62" t="str">
        <x:v>G2 Layout</x:v>
      </x:c>
      <x:c r="E102" s="62" t="str">
        <x:v>Are any right-angle bends actually problematic for this net's RF geometry or manufacturing rules?</x:v>
      </x:c>
      <x:c r="F102" s="62" t="str">
        <x:v>Net-specific assessment; bend appearance does not substitute for return-path, clearance and impedance checks.</x:v>
      </x:c>
      <x:c r="G102" s="22" t="str">
        <x:v>CLOSED BY ORIGINAL SCOPE</x:v>
      </x:c>
      <x:c r="H102" s="22" t="str">
        <x:v>RVB22 coordinated engineering review</x:v>
      </x:c>
      <x:c r="I10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2" s="161" t="str">
        <x:v>lanes/rf/RF_FINAL_REPORT.md
lanes/rf/RF_FINAL_SUMMARY.json
lanes/rf/RF_I04_ADDENDUM.md
lanes/rf/RF_I04_SUMMARY.json
lanes/rf/FINAL_I04_SOURCE_BINDING.json
lanes/emc/EMC_SUMMARY.json
analyses/manufacturing_i20/RESULTS.json
control/SI11_COUPLING_PATH_REVIEW.json</x:v>
      </x:c>
      <x:c r="K102" s="62" t="str">
        <x:v>Rev B; characterize Rev A only within its approved bench limits</x:v>
      </x:c>
      <x:c r="L102" s="62" t="str">
        <x:v>S6</x:v>
      </x:c>
      <x:c r="M102" s="62" t="str">
        <x:v>https://www.ti.com/lit/an/slla270/slla270.pdf</x:v>
      </x:c>
      <x:c r="N102" s="70" t="str">
        <x:v>CLOSED</x:v>
      </x:c>
    </x:row>
    <x:row r="103" ht="195" customHeight="1">
      <x:c r="A103" s="62" t="str">
        <x:v>SI-07</x:v>
      </x:c>
      <x:c r="B103" s="62" t="str">
        <x:v>Impedance, signal integrity and routing</x:v>
      </x:c>
      <x:c r="C103" s="65" t="str">
        <x:v>P1</x:v>
      </x:c>
      <x:c r="D103" s="62" t="str">
        <x:v>G2 Layout</x:v>
      </x:c>
      <x:c r="E103" s="62" t="str">
        <x:v>Are UART/PPS and other digital transitions controlled where ringing or crosstalk is plausible?</x:v>
      </x:c>
      <x:c r="F103" s="62" t="str">
        <x:v>Source termination/drive-strength rationale and scope measurements at the receiver.</x:v>
      </x:c>
      <x:c r="G103" s="22" t="str">
        <x:v>CURRENT SOURCE OR MODEL WITH REMAINING CONDITIONS</x:v>
      </x:c>
      <x:c r="H103" s="22" t="str">
        <x:v>RVB22 coordinated engineering review</x:v>
      </x:c>
      <x:c r="I10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receiver scope waveforms required by F remain.</x:v>
      </x:c>
      <x:c r="J103" s="161" t="str">
        <x:v>analyses/can_branch/COMPLETE_CAN_BRANCH_RESULTS.json
analyses/can_branch/FINAL_CAN_SOURCE_BINDING.json
analyses/can_branch/CAN22-02_NUMERICAL_CHECKS.json
analyses/manufacturing_i20/RESULTS.json
control/SI11_COUPLING_PATH_REVIEW.json</x:v>
      </x:c>
      <x:c r="K103" s="62" t="str">
        <x:v>Rev B; characterize Rev A only within its approved bench limits</x:v>
      </x:c>
      <x:c r="L103" s="62" t="str">
        <x:v>S6</x:v>
      </x:c>
      <x:c r="M103" s="62" t="str">
        <x:v>https://www.ti.com/lit/an/slla270/slla270.pdf</x:v>
      </x:c>
      <x:c r="N103" s="70" t="str">
        <x:v>OPEN</x:v>
      </x:c>
    </x:row>
    <x:row r="104" ht="195" customHeight="1">
      <x:c r="A104" s="62" t="str">
        <x:v>SI-08</x:v>
      </x:c>
      <x:c r="B104" s="62" t="str">
        <x:v>Impedance, signal integrity and routing</x:v>
      </x:c>
      <x:c r="C104" s="65" t="str">
        <x:v>P1</x:v>
      </x:c>
      <x:c r="D104" s="62" t="str">
        <x:v>G2 Layout</x:v>
      </x:c>
      <x:c r="E104" s="62" t="str">
        <x:v>Are ADC source impedance and acquisition settling treated separately from transmission-line matching?</x:v>
      </x:c>
      <x:c r="F104" s="62" t="str">
        <x:v>Analog source/filter/ADC model and settling/error budget.</x:v>
      </x:c>
      <x:c r="G104" s="22" t="str">
        <x:v>CLOSED BY ORIGINAL SCOPE</x:v>
      </x:c>
      <x:c r="H104" s="22" t="str">
        <x:v>RVB22 coordinated engineering review</x:v>
      </x:c>
      <x:c r="I10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4" s="161" t="str">
        <x:v>lanes/firmware_oil/RECOVERY_CALIBRATION_GAIN_REDLINE.json
lanes/firmware_oil/RECOVERED_FIRMWARE_TEST_RESULTS.json
interfaces/OIL_HARNESS_ERROR_SWEEP.json
lanes/firmware_oil/FINAL_I04_OIL_FIRMWARE_EFFECTIVITY.json
lanes/oil_cap/FINAL_C532_SUBGRAPH_BINDING.json
analyses/manufacturing_i20/RESULTS.json
control/SI11_COUPLING_PATH_REVIEW.json</x:v>
      </x:c>
      <x:c r="K104" s="62" t="str">
        <x:v>Rev B; characterize Rev A only within its approved bench limits</x:v>
      </x:c>
      <x:c r="L104" s="62" t="str">
        <x:v>S6</x:v>
      </x:c>
      <x:c r="M104" s="62" t="str">
        <x:v>https://www.ti.com/lit/an/slla270/slla270.pdf</x:v>
      </x:c>
      <x:c r="N104" s="70" t="str">
        <x:v>CLOSED</x:v>
      </x:c>
    </x:row>
    <x:row r="105" ht="195" customHeight="1">
      <x:c r="A105" s="62" t="str">
        <x:v>SI-09</x:v>
      </x:c>
      <x:c r="B105" s="62" t="str">
        <x:v>Impedance, signal integrity and routing</x:v>
      </x:c>
      <x:c r="C105" s="65" t="str">
        <x:v>P1</x:v>
      </x:c>
      <x:c r="D105" s="62" t="str">
        <x:v>G2 Layout</x:v>
      </x:c>
      <x:c r="E105" s="62" t="str">
        <x:v>If native USB is populated, are its differential route, connector, ESD and power rules explicitly reviewed?</x:v>
      </x:c>
      <x:c r="F105" s="62" t="str">
        <x:v>USB-specific design evidence, or documented N/A when no USB data interface exists.</x:v>
      </x:c>
      <x:c r="G105" s="22" t="str">
        <x:v>NOT APPLICABLE</x:v>
      </x:c>
      <x:c r="H105" s="22" t="str">
        <x:v>RVB22 coordinated engineering review</x:v>
      </x:c>
      <x:c r="I105" s="22" t="str">
        <x:v>NoUSBdata interface is populated; UART0Tag-Connect remains the programming interface.
CRITERION: N/A
DESKTOP: NOT APPLICABLE
REMAINING: Not applicable under preserved original review scope.</x:v>
      </x:c>
      <x:c r="J105" s="161" t="str">
        <x:v>analyses/manufacturing_i20/RESULTS.json
control/SI11_COUPLING_PATH_REVIEW.json</x:v>
      </x:c>
      <x:c r="K105" s="62" t="str">
        <x:v>Conditional: only populated USB data interfaces</x:v>
      </x:c>
      <x:c r="L105" s="62" t="str">
        <x:v>S6</x:v>
      </x:c>
      <x:c r="M105" s="62" t="str">
        <x:v>https://www.ti.com/lit/an/slla270/slla270.pdf</x:v>
      </x:c>
      <x:c r="N105" s="70" t="str">
        <x:v>N/A</x:v>
      </x:c>
    </x:row>
    <x:row r="106" ht="195" customHeight="1">
      <x:c r="A106" s="62" t="str">
        <x:v>SI-10</x:v>
      </x:c>
      <x:c r="B106" s="62" t="str">
        <x:v>Impedance, signal integrity and routing</x:v>
      </x:c>
      <x:c r="C106" s="65" t="str">
        <x:v>P1</x:v>
      </x:c>
      <x:c r="D106" s="62" t="str">
        <x:v>G2 Layout</x:v>
      </x:c>
      <x:c r="E106" s="62" t="str">
        <x:v>If external SPI or a CAN-controller bus is populated, is its full timing/return-path budget reviewed?</x:v>
      </x:c>
      <x:c r="F106" s="62" t="str">
        <x:v>Clock/data skew, voltage margins, loading and chip-select defaults, or justified N/A.</x:v>
      </x:c>
      <x:c r="G106" s="22" t="str">
        <x:v>NOT APPLICABLE</x:v>
      </x:c>
      <x:c r="H106" s="22" t="str">
        <x:v>RVB22 coordinated engineering review</x:v>
      </x:c>
      <x:c r="I106" s="22" t="str">
        <x:v>NoexternalSPI/CANcontroller bus exists; S3nativeTWAI handlesClassicalCAN. NoSPI timing claim is required.
CRITERION: N/A
DESKTOP: NOT APPLICABLE
REMAINING: Not applicable under preserved original review scope.</x:v>
      </x:c>
      <x:c r="J106" s="161" t="str">
        <x:v>analyses/manufacturing_i20/RESULTS.json
control/SI11_COUPLING_PATH_REVIEW.json</x:v>
      </x:c>
      <x:c r="K106" s="62" t="str">
        <x:v>Conditional: external SPI/controller interface</x:v>
      </x:c>
      <x:c r="L106" s="62" t="str">
        <x:v>S6</x:v>
      </x:c>
      <x:c r="M106" s="62" t="str">
        <x:v>https://www.ti.com/lit/an/slla270/slla270.pdf</x:v>
      </x:c>
      <x:c r="N106" s="70" t="str">
        <x:v>N/A</x:v>
      </x:c>
    </x:row>
    <x:row r="107" ht="195" customHeight="1">
      <x:c r="A107" s="62" t="str">
        <x:v>SI-11</x:v>
      </x:c>
      <x:c r="B107" s="62" t="str">
        <x:v>Impedance, signal integrity and routing</x:v>
      </x:c>
      <x:c r="C107" s="65" t="str">
        <x:v>P1</x:v>
      </x:c>
      <x:c r="D107" s="62" t="str">
        <x:v>G2 Layout</x:v>
      </x:c>
      <x:c r="E107" s="62" t="str">
        <x:v>Are sensitive analog/GNSS routes isolated from switch nodes, inductors, fast clocks and cable entries?</x:v>
      </x:c>
      <x:c r="F107" s="62" t="str">
        <x:v>Coupling-path review and functional interference test plan.</x:v>
      </x:c>
      <x:c r="G107" s="22" t="str">
        <x:v>CLOSED BY ORIGINAL SCOPE</x:v>
      </x:c>
      <x:c r="H107" s="22" t="str">
        <x:v>RVB22 coordinated engineering review</x:v>
      </x:c>
      <x:c r="I10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7" s="161" t="str">
        <x:v>control/SI11_COUPLING_PATH_REVIEW.json
control/SI11_COUPLING_REVIEW_AND_TEST_PLAN.md
control/REG07_SOURCE_COPPER_ANNOTATIONS.json
analyses/manufacturing_i20/RESULTS.json</x:v>
      </x:c>
      <x:c r="K107" s="62" t="str">
        <x:v>Rev B; characterize Rev A only within its approved bench limits</x:v>
      </x:c>
      <x:c r="L107" s="62" t="str">
        <x:v>S6</x:v>
      </x:c>
      <x:c r="M107" s="62" t="str">
        <x:v>https://www.ti.com/lit/an/slla270/slla270.pdf</x:v>
      </x:c>
      <x:c r="N107" s="70" t="str">
        <x:v>CLOSED</x:v>
      </x:c>
    </x:row>
    <x:row r="108" ht="238" customHeight="1">
      <x:c r="A108" s="62" t="str">
        <x:v>SI-12</x:v>
      </x:c>
      <x:c r="B108" s="62" t="str">
        <x:v>Impedance, signal integrity and routing</x:v>
      </x:c>
      <x:c r="C108" s="65" t="str">
        <x:v>P1</x:v>
      </x:c>
      <x:c r="D108" s="62" t="str">
        <x:v>G2 Layout</x:v>
      </x:c>
      <x:c r="E108" s="62" t="str">
        <x:v>Is controlled impedance verified through the agreed supplier process or measurement where warranted?</x:v>
      </x:c>
      <x:c r="F108" s="62" t="str">
        <x:v>Fabricator report/coupon or justified analysis-only acceptance proportional to electrical risk.</x:v>
      </x:c>
      <x:c r="G108" s="22" t="str">
        <x:v>CURRENT SOURCE OR MODEL WITH REMAINING CONDITIONS</x:v>
      </x:c>
      <x:c r="H108" s="22" t="str">
        <x:v>RVB22 coordinated engineering review</x:v>
      </x:c>
      <x:c r="I10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physical stackup/connector unknowns prevent unconditional manufacturing acceptance.</x:v>
      </x:c>
      <x:c r="J108" s="161" t="str">
        <x:v>lanes/rf/RF_FINAL_REPORT.md
lanes/rf/RF_FINAL_SUMMARY.json
lanes/rf/RF_I04_ADDENDUM.md
lanes/rf/RF_I04_SUMMARY.json
lanes/emc/RF_STRIP_NETWORK.json
analyses/manufacturing_i20/RESULTS.json
control/SI11_COUPLING_PATH_REVIEW.json</x:v>
      </x:c>
      <x:c r="K108" s="62" t="str">
        <x:v>Rev B; characterize Rev A only within its approved bench limits</x:v>
      </x:c>
      <x:c r="L108" s="62" t="str">
        <x:v>S6</x:v>
      </x:c>
      <x:c r="M108" s="62" t="str">
        <x:v>https://www.ti.com/lit/an/slla270/slla270.pdf</x:v>
      </x:c>
      <x:c r="N108" s="70" t="str">
        <x:v>OPEN</x:v>
      </x:c>
    </x:row>
    <x:row r="109" ht="195" customHeight="1">
      <x:c r="A109" s="62" t="str">
        <x:v>CAN-01</x:v>
      </x:c>
      <x:c r="B109" s="62" t="str">
        <x:v>CAN physical layer and non-interference</x:v>
      </x:c>
      <x:c r="C109" s="65" t="str">
        <x:v>P0</x:v>
      </x:c>
      <x:c r="D109" s="62" t="str">
        <x:v>G1 Schematic</x:v>
      </x:c>
      <x:c r="E109" s="62" t="str">
        <x:v>Is the exact CAN transceiver supply, pinout and operating mode verified rather than inferred from Rev A's SN65HVD230?</x:v>
      </x:c>
      <x:c r="F109" s="62" t="str">
        <x:v>Manufacturer pin/mode table reconciled with schematic, PCB and GPIO5 TX/GPIO4 RX contract.</x:v>
      </x:c>
      <x:c r="G109" s="22" t="str">
        <x:v>CLOSED BY ORIGINAL SCOPE</x:v>
      </x:c>
      <x:c r="H109" s="22" t="str">
        <x:v>RVB22 coordinated engineering review</x:v>
      </x:c>
      <x:c r="I10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09" s="161" t="str">
        <x:v>iterations/I06_harness_handoff/CANDIDATE_MANIFEST.json
analyses/can_branch/FINAL_CAN_SOURCE_BINDING.json
interfaces/asc_profile/ASC_PROFILE_REVIEW.json</x:v>
      </x:c>
      <x:c r="K109" s="62" t="str">
        <x:v>Rev B; characterize Rev A only within its approved bench limits</x:v>
      </x:c>
      <x:c r="L109" s="62" t="str">
        <x:v>S3</x:v>
      </x:c>
      <x:c r="M109" s="62" t="str">
        <x:v>https://docs.espressif.com/projects/esp-idf/en/stable/esp32s3/api-reference/peripherals/twai.html</x:v>
      </x:c>
      <x:c r="N109" s="70" t="str">
        <x:v>CLOSED</x:v>
      </x:c>
    </x:row>
    <x:row r="110" ht="195" customHeight="1">
      <x:c r="A110" s="62" t="str">
        <x:v>CAN-02</x:v>
      </x:c>
      <x:c r="B110" s="62" t="str">
        <x:v>CAN physical layer and non-interference</x:v>
      </x:c>
      <x:c r="C110" s="65" t="str">
        <x:v>P0</x:v>
      </x:c>
      <x:c r="D110" s="62" t="str">
        <x:v>G1 Schematic</x:v>
      </x:c>
      <x:c r="E110" s="62" t="str">
        <x:v>Does the intended passive mode suppress physical transmission, ACK and error frames?</x:v>
      </x:c>
      <x:c r="F110" s="62" t="str">
        <x:v>Driver-mode review plus independent bus observation; normal receive without application TX is not listen-only.</x:v>
      </x:c>
      <x:c r="G110" s="22" t="str">
        <x:v>CURRENT SOURCE OR MODEL WITH REMAINING CONDITIONS</x:v>
      </x:c>
      <x:c r="H110" s="22" t="str">
        <x:v>RVB22 coordinated engineering review</x:v>
      </x:c>
      <x:c r="I11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assembled bus observation remains.</x:v>
      </x:c>
      <x:c r="J110" s="161" t="str">
        <x:v>lanes/firmware_oil/RECOVERED_RELEASE_CHECKS.json
lanes/firmware_oil/RECOVERED_FIRMWARE_TEST_RESULTS.json
analyses/can_branch/FINAL_CAN_SOURCE_BINDING.json
interfaces/asc_profile/ASC_PROFILE_REVIEW.json</x:v>
      </x:c>
      <x:c r="K110" s="62" t="str">
        <x:v>Rev B; characterize Rev A only within its approved bench limits</x:v>
      </x:c>
      <x:c r="L110" s="62" t="str">
        <x:v>S3</x:v>
      </x:c>
      <x:c r="M110" s="62" t="str">
        <x:v>https://docs.espressif.com/projects/esp-idf/en/stable/esp32s3/api-reference/peripherals/twai.html</x:v>
      </x:c>
      <x:c r="N110" s="70" t="str">
        <x:v>OPEN</x:v>
      </x:c>
    </x:row>
    <x:row r="111" ht="195" customHeight="1">
      <x:c r="A111" s="62" t="str">
        <x:v>CAN-03</x:v>
      </x:c>
      <x:c r="B111" s="62" t="str">
        <x:v>CAN physical layer and non-interference</x:v>
      </x:c>
      <x:c r="C111" s="65" t="str">
        <x:v>P0</x:v>
      </x:c>
      <x:c r="D111" s="62" t="str">
        <x:v>G1 Schematic</x:v>
      </x:c>
      <x:c r="E111" s="62" t="str">
        <x:v>Is hardware transmit inhibition needed to maintain non-interference before boot and during software failure?</x:v>
      </x:c>
      <x:c r="F111" s="62" t="str">
        <x:v>Safety allocation defines software versus hardware guarantees and tests each credible failure state.</x:v>
      </x:c>
      <x:c r="G111" s="22" t="str">
        <x:v>CURRENT SOURCE OR MODEL WITH REMAINING CONDITIONS</x:v>
      </x:c>
      <x:c r="H111" s="22" t="str">
        <x:v>RVB22 coordinated engineering review</x:v>
      </x:c>
      <x:c r="I11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credible failure-state physical tests remain.</x:v>
      </x:c>
      <x:c r="J111" s="161" t="str">
        <x:v>analyses/lost_ground/LOST_GROUND_RESULTS_RECONSTRUCTED.json
interfaces/LOST_GROUND_FINITE_DC_SCREEN.json
interfaces/HARNESS_INTERFACE_CONTRACT.json
interfaces/SINGLE_RETURN_EFFECTIVITY.json
analyses/can_branch/FINAL_CAN_SOURCE_BINDING.json
interfaces/asc_profile/ASC_PROFILE_REVIEW.json</x:v>
      </x:c>
      <x:c r="K111" s="62" t="str">
        <x:v>Rev B; characterize Rev A only within its approved bench limits</x:v>
      </x:c>
      <x:c r="L111" s="62" t="str">
        <x:v>S3</x:v>
      </x:c>
      <x:c r="M111" s="62" t="str">
        <x:v>https://docs.espressif.com/projects/esp-idf/en/stable/esp32s3/api-reference/peripherals/twai.html</x:v>
      </x:c>
      <x:c r="N111" s="70" t="str">
        <x:v>OPEN</x:v>
      </x:c>
    </x:row>
    <x:row r="112" ht="195" customHeight="1">
      <x:c r="A112" s="62" t="str">
        <x:v>CAN-04</x:v>
      </x:c>
      <x:c r="B112" s="62" t="str">
        <x:v>CAN physical layer and non-interference</x:v>
      </x:c>
      <x:c r="C112" s="65" t="str">
        <x:v>P0</x:v>
      </x:c>
      <x:c r="D112" s="62" t="str">
        <x:v>G1 Schematic</x:v>
      </x:c>
      <x:c r="E112" s="62" t="str">
        <x:v>Does the chosen silent/standby mode keep its receiver operational at the required bus rate?</x:v>
      </x:c>
      <x:c r="F112" s="62" t="str">
        <x:v>Exact-part mode truth table and receiver timing check; similarly named parts may behave differently.</x:v>
      </x:c>
      <x:c r="G112" s="22" t="str">
        <x:v>CLOSED BY ORIGINAL SCOPE</x:v>
      </x:c>
      <x:c r="H112" s="22" t="str">
        <x:v>RVB22 coordinated engineering review</x:v>
      </x:c>
      <x:c r="I11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2" s="161" t="str">
        <x:v>iterations/I06_harness_handoff/CANDIDATE_MANIFEST.json
analyses/can_branch/FINAL_CAN_SOURCE_BINDING.json
interfaces/asc_profile/ASC_PROFILE_REVIEW.json</x:v>
      </x:c>
      <x:c r="K112" s="62" t="str">
        <x:v>Rev B; characterize Rev A only within its approved bench limits</x:v>
      </x:c>
      <x:c r="L112" s="62" t="str">
        <x:v>S3</x:v>
      </x:c>
      <x:c r="M112" s="62" t="str">
        <x:v>https://docs.espressif.com/projects/esp-idf/en/stable/esp32s3/api-reference/peripherals/twai.html</x:v>
      </x:c>
      <x:c r="N112" s="70" t="str">
        <x:v>CLOSED</x:v>
      </x:c>
    </x:row>
    <x:row r="113" ht="195" customHeight="1">
      <x:c r="A113" s="62" t="str">
        <x:v>CAN-05</x:v>
      </x:c>
      <x:c r="B113" s="62" t="str">
        <x:v>CAN physical layer and non-interference</x:v>
      </x:c>
      <x:c r="C113" s="65" t="str">
        <x:v>P0</x:v>
      </x:c>
      <x:c r="D113" s="62" t="str">
        <x:v>G1 Schematic</x:v>
      </x:c>
      <x:c r="E113" s="62" t="str">
        <x:v>Is the optional 120-ohm resistor physically open/DNP for the vehicle-tap configuration?</x:v>
      </x:c>
      <x:c r="F113" s="62" t="str">
        <x:v>Assembly variant, jumper default and unpowered resistance verification agree.</x:v>
      </x:c>
      <x:c r="G113" s="22" t="str">
        <x:v>CURRENT SOURCE OR MODEL WITH REMAINING CONDITIONS</x:v>
      </x:c>
      <x:c r="H113" s="22" t="str">
        <x:v>RVB22 coordinated engineering review</x:v>
      </x:c>
      <x:c r="I11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unpowered assembled resistance remains.</x:v>
      </x:c>
      <x:c r="J113" s="161" t="str">
        <x:v>interfaces/HARNESS_INTERFACE_CONTRACT.json
interfaces/HARNESS_CHECKS.json
analyses/harness_wire/HARNESS_WIRE_DELTA.json
analyses/can_branch/FINAL_CAN_SOURCE_BINDING.json
interfaces/asc_profile/ASC_PROFILE_REVIEW.json</x:v>
      </x:c>
      <x:c r="K113" s="62" t="str">
        <x:v>Rev B; characterize Rev A only within its approved bench limits</x:v>
      </x:c>
      <x:c r="L113" s="62" t="str">
        <x:v>S3</x:v>
      </x:c>
      <x:c r="M113" s="62" t="str">
        <x:v>https://docs.espressif.com/projects/esp-idf/en/stable/esp32s3/api-reference/peripherals/twai.html</x:v>
      </x:c>
      <x:c r="N113" s="70" t="str">
        <x:v>OPEN</x:v>
      </x:c>
    </x:row>
    <x:row r="114" ht="195" customHeight="1">
      <x:c r="A114" s="62" t="str">
        <x:v>CAN-06</x:v>
      </x:c>
      <x:c r="B114" s="62" t="str">
        <x:v>CAN physical layer and non-interference</x:v>
      </x:c>
      <x:c r="C114" s="65" t="str">
        <x:v>P1</x:v>
      </x:c>
      <x:c r="D114" s="62" t="str">
        <x:v>G1 Schematic</x:v>
      </x:c>
      <x:c r="E114" s="62" t="str">
        <x:v>Are CAN branch length, protection capacitance, connector discontinuities and PCB routes within the network timing/loading budget?</x:v>
      </x:c>
      <x:c r="F114" s="62" t="str">
        <x:v>Actual topology and maximum-load waveform evaluation, not a generic length limit.</x:v>
      </x:c>
      <x:c r="G114" s="22" t="str">
        <x:v>CURRENT SOURCE OR MODEL WITH REMAINING CONDITIONS</x:v>
      </x:c>
      <x:c r="H114" s="22" t="str">
        <x:v>RVB22 coordinated engineering review</x:v>
      </x:c>
      <x:c r="I11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actual installed bus edge/phase applicability remains conditional.</x:v>
      </x:c>
      <x:c r="J114" s="161" t="str">
        <x:v>analyses/can_branch/COMPLETE_CAN_BRANCH_RESULTS.json
analyses/can_branch/FINAL_CAN_SOURCE_BINDING.json
analyses/can_branch/CAN22-02_NUMERICAL_CHECKS.json
interfaces/asc_profile/ASC_PROFILE_REVIEW.json</x:v>
      </x:c>
      <x:c r="K114" s="62" t="str">
        <x:v>Rev B; characterize Rev A only within its approved bench limits</x:v>
      </x:c>
      <x:c r="L114" s="62" t="str">
        <x:v>S3</x:v>
      </x:c>
      <x:c r="M114" s="62" t="str">
        <x:v>https://docs.espressif.com/projects/esp-idf/en/stable/esp32s3/api-reference/peripherals/twai.html</x:v>
      </x:c>
      <x:c r="N114" s="70" t="str">
        <x:v>OPEN</x:v>
      </x:c>
    </x:row>
    <x:row r="115" ht="195" customHeight="1">
      <x:c r="A115" s="62" t="str">
        <x:v>CAN-07</x:v>
      </x:c>
      <x:c r="B115" s="62" t="str">
        <x:v>CAN physical layer and non-interference</x:v>
      </x:c>
      <x:c r="C115" s="65" t="str">
        <x:v>P0</x:v>
      </x:c>
      <x:c r="D115" s="62" t="str">
        <x:v>G1 Schematic</x:v>
      </x:c>
      <x:c r="E115" s="62" t="str">
        <x:v>Is the unpowered CCA benign on a powered bus?</x:v>
      </x:c>
      <x:c r="F115" s="62" t="str">
        <x:v>Off-state pin loading, leakage, back-power and differential/common-mode measurements.</x:v>
      </x:c>
      <x:c r="G115" s="22" t="str">
        <x:v>CURRENT SOURCE OR MODEL WITH REMAINING CONDITIONS</x:v>
      </x:c>
      <x:c r="H115" s="22" t="str">
        <x:v>RVB22 coordinated engineering review</x:v>
      </x:c>
      <x:c r="I11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differential/common-mode measurements and undocumented clamp behavior remain.</x:v>
      </x:c>
      <x:c r="J115" s="161" t="str">
        <x:v>analyses/can_branch/COMPLETE_CAN_BRANCH_RESULTS.json
analyses/can_branch/FINAL_CAN_SOURCE_BINDING.json
analyses/can_branch/CAN22-02_NUMERICAL_CHECKS.json
interfaces/asc_profile/ASC_PROFILE_REVIEW.json</x:v>
      </x:c>
      <x:c r="K115" s="62" t="str">
        <x:v>Rev B; characterize Rev A only within its approved bench limits</x:v>
      </x:c>
      <x:c r="L115" s="62" t="str">
        <x:v>S3</x:v>
      </x:c>
      <x:c r="M115" s="62" t="str">
        <x:v>https://docs.espressif.com/projects/esp-idf/en/stable/esp32s3/api-reference/peripherals/twai.html</x:v>
      </x:c>
      <x:c r="N115" s="70" t="str">
        <x:v>OPEN</x:v>
      </x:c>
    </x:row>
    <x:row r="116" ht="195" customHeight="1">
      <x:c r="A116" s="62" t="str">
        <x:v>CAN-08</x:v>
      </x:c>
      <x:c r="B116" s="62" t="str">
        <x:v>CAN physical layer and non-interference</x:v>
      </x:c>
      <x:c r="C116" s="65" t="str">
        <x:v>P0</x:v>
      </x:c>
      <x:c r="D116" s="62" t="str">
        <x:v>G1 Schematic</x:v>
      </x:c>
      <x:c r="E116" s="62" t="str">
        <x:v>Are CANH/CANL faults to battery, ground and each other contained within the agreed fault model?</x:v>
      </x:c>
      <x:c r="F116" s="62" t="str">
        <x:v>Exact transceiver/protection ratings, fault analysis and controlled fixture tests.</x:v>
      </x:c>
      <x:c r="G116" s="22" t="str">
        <x:v>CURRENT SOURCE OR MODEL WITH REMAINING CONDITIONS</x:v>
      </x:c>
      <x:c r="H116" s="22" t="str">
        <x:v>RVB22 coordinated engineering review</x:v>
      </x:c>
      <x:c r="I1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controlled fixture fault tests remain.</x:v>
      </x:c>
      <x:c r="J116" s="161" t="str">
        <x:v>lanes/emc/EMC_DESKTOP_REPORT.md
lanes/emc/REDLINE_DISPOSITIONS.json
lanes/emc/EMC_NUMERICAL_VERIFICATION.json
analyses/can_branch/FINAL_CAN_SOURCE_BINDING.json
interfaces/asc_profile/ASC_PROFILE_REVIEW.json</x:v>
      </x:c>
      <x:c r="K116" s="62" t="str">
        <x:v>Rev B; characterize Rev A only within its approved bench limits</x:v>
      </x:c>
      <x:c r="L116" s="62" t="str">
        <x:v>S3</x:v>
      </x:c>
      <x:c r="M116" s="62" t="str">
        <x:v>https://docs.espressif.com/projects/esp-idf/en/stable/esp32s3/api-reference/peripherals/twai.html</x:v>
      </x:c>
      <x:c r="N116" s="70" t="str">
        <x:v>OPEN</x:v>
      </x:c>
    </x:row>
    <x:row r="117" ht="195" customHeight="1">
      <x:c r="A117" s="62" t="str">
        <x:v>CAN-09</x:v>
      </x:c>
      <x:c r="B117" s="62" t="str">
        <x:v>CAN physical layer and non-interference</x:v>
      </x:c>
      <x:c r="C117" s="65" t="str">
        <x:v>P1</x:v>
      </x:c>
      <x:c r="D117" s="62" t="str">
        <x:v>G1 Schematic</x:v>
      </x:c>
      <x:c r="E117" s="62" t="str">
        <x:v>Is any common-mode choke justified and compatible with bus signal integrity and faults?</x:v>
      </x:c>
      <x:c r="F117" s="62" t="str">
        <x:v>EMI benefit, parasitic effects and surge/saturation behavior evaluated.</x:v>
      </x:c>
      <x:c r="G117" s="22" t="str">
        <x:v>NOT APPLICABLE</x:v>
      </x:c>
      <x:c r="H117" s="22" t="str">
        <x:v>RVB22 coordinated engineering review</x:v>
      </x:c>
      <x:c r="I117" s="22" t="str">
        <x:v>NoCANcommonmodechoke fitted; avoid unjustified choke parasitics while retaining entryESD. EMCneed may require later validated change.
CRITERION: N/A
DESKTOP: NOT APPLICABLE
REMAINING: Not applicable under preserved original review scope.</x:v>
      </x:c>
      <x:c r="J117" s="161" t="str">
        <x:v>analyses/can_branch/FINAL_CAN_SOURCE_BINDING.json
interfaces/asc_profile/ASC_PROFILE_REVIEW.json</x:v>
      </x:c>
      <x:c r="K117" s="62" t="str">
        <x:v>Rev B; characterize Rev A only within its approved bench limits</x:v>
      </x:c>
      <x:c r="L117" s="62" t="str">
        <x:v>S3</x:v>
      </x:c>
      <x:c r="M117" s="62" t="str">
        <x:v>https://docs.espressif.com/projects/esp-idf/en/stable/esp32s3/api-reference/peripherals/twai.html</x:v>
      </x:c>
      <x:c r="N117" s="70" t="str">
        <x:v>N/A</x:v>
      </x:c>
    </x:row>
    <x:row r="118" ht="195" customHeight="1">
      <x:c r="A118" s="62" t="str">
        <x:v>CAN-10</x:v>
      </x:c>
      <x:c r="B118" s="62" t="str">
        <x:v>CAN physical layer and non-interference</x:v>
      </x:c>
      <x:c r="C118" s="65" t="str">
        <x:v>P1</x:v>
      </x:c>
      <x:c r="D118" s="62" t="str">
        <x:v>G1 Schematic</x:v>
      </x:c>
      <x:c r="E118" s="62" t="str">
        <x:v>Are TXD default, mode-pin pull states, dominant timeout and recovery behavior documented?</x:v>
      </x:c>
      <x:c r="F118" s="62" t="str">
        <x:v>Normal/boot/reset/programming/fault state matrix and captured waveforms.</x:v>
      </x:c>
      <x:c r="G118" s="22" t="str">
        <x:v>CURRENT SOURCE OR MODEL WITH REMAINING CONDITIONS</x:v>
      </x:c>
      <x:c r="H118" s="22" t="str">
        <x:v>RVB22 coordinated engineering review</x:v>
      </x:c>
      <x:c r="I11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corresponding actual bus waveforms remain.</x:v>
      </x:c>
      <x:c r="J118" s="161" t="str">
        <x:v>lanes/firmware_oil/RECOVERED_RELEASE_CHECKS.json
lanes/firmware_oil/RECOVERED_FIRMWARE_TEST_RESULTS.json
analyses/can_branch/FINAL_CAN_SOURCE_BINDING.json
interfaces/asc_profile/ASC_PROFILE_REVIEW.json</x:v>
      </x:c>
      <x:c r="K118" s="62" t="str">
        <x:v>Rev B; characterize Rev A only within its approved bench limits</x:v>
      </x:c>
      <x:c r="L118" s="62" t="str">
        <x:v>S3</x:v>
      </x:c>
      <x:c r="M118" s="62" t="str">
        <x:v>https://docs.espressif.com/projects/esp-idf/en/stable/esp32s3/api-reference/peripherals/twai.html</x:v>
      </x:c>
      <x:c r="N118" s="70" t="str">
        <x:v>OPEN</x:v>
      </x:c>
    </x:row>
    <x:row r="119" ht="195" customHeight="1">
      <x:c r="A119" s="62" t="str">
        <x:v>CAN-11</x:v>
      </x:c>
      <x:c r="B119" s="62" t="str">
        <x:v>CAN physical layer and non-interference</x:v>
      </x:c>
      <x:c r="C119" s="65" t="str">
        <x:v>P0</x:v>
      </x:c>
      <x:c r="D119" s="62" t="str">
        <x:v>G1 Schematic</x:v>
      </x:c>
      <x:c r="E119" s="62" t="str">
        <x:v>Does the bench test topology include a separate ACK-capable node when the CCA is truly listen-only?</x:v>
      </x:c>
      <x:c r="F119" s="62" t="str">
        <x:v>Source plus independent ACK/observer arrangement; sender ACK errors are not mistaken for failed passive reception.</x:v>
      </x:c>
      <x:c r="G119" s="22" t="str">
        <x:v>CLOSED BY ORIGINAL SCOPE</x:v>
      </x:c>
      <x:c r="H119" s="22" t="str">
        <x:v>RVB22 coordinated engineering review</x:v>
      </x:c>
      <x:c r="I11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19" s="161" t="str">
        <x:v>control/RVB22_BRING_UP_AND_MEASUREMENT_CONTRACT.md
control/BRINGUP_SCHEMATIC_TEXT_DELTA.json
control/BRINGUP_ACTUAL_NODE_INDEX.json
control/FINAL_I04_BRINGUP_BINDING.json
analyses/can_branch/FINAL_CAN_SOURCE_BINDING.json
interfaces/asc_profile/ASC_PROFILE_REVIEW.json</x:v>
      </x:c>
      <x:c r="K119" s="62" t="str">
        <x:v>Rev B; characterize Rev A only within its approved bench limits</x:v>
      </x:c>
      <x:c r="L119" s="62" t="str">
        <x:v>S3</x:v>
      </x:c>
      <x:c r="M119" s="62" t="str">
        <x:v>https://docs.espressif.com/projects/esp-idf/en/stable/esp32s3/api-reference/peripherals/twai.html</x:v>
      </x:c>
      <x:c r="N119" s="70" t="str">
        <x:v>CLOSED</x:v>
      </x:c>
    </x:row>
    <x:row r="120" ht="260" customHeight="1">
      <x:c r="A120" s="62" t="str">
        <x:v>CAN-12</x:v>
      </x:c>
      <x:c r="B120" s="62" t="str">
        <x:v>CAN physical layer and non-interference</x:v>
      </x:c>
      <x:c r="C120" s="65" t="str">
        <x:v>P1</x:v>
      </x:c>
      <x:c r="D120" s="62" t="str">
        <x:v>G1 Schematic</x:v>
      </x:c>
      <x:c r="E120" s="62" t="str">
        <x:v>Are receive loss, overflow, filtering, error state and recovery measurable under maximum traffic?</x:v>
      </x:c>
      <x:c r="F120" s="62" t="str">
        <x:v>End-to-end sequence counts and independent analyzer capture under sustained and burst loads.</x:v>
      </x:c>
      <x:c r="G120" s="22" t="str">
        <x:v>CURRENT SOURCE OR MODEL WITH REMAINING CONDITIONS</x:v>
      </x:c>
      <x:c r="H120" s="22" t="str">
        <x:v>RVB22 coordinated engineering review</x:v>
      </x:c>
      <x:c r="I1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analyzer end-to-end counts under real bus bursts remain.</x:v>
      </x:c>
      <x:c r="J120" s="161" t="str">
        <x:v>lanes/firmware_oil/RECOVERED_RELEASE_CHECKS.json
lanes/firmware_oil/RECOVERED_FIRMWARE_TEST_RESULTS.json
analyses/can_branch/FINAL_CAN_SOURCE_BINDING.json
interfaces/asc_profile/ASC_PROFILE_REVIEW.json</x:v>
      </x:c>
      <x:c r="K120" s="62" t="str">
        <x:v>Rev B; characterize Rev A only within its approved bench limits</x:v>
      </x:c>
      <x:c r="L120" s="62" t="str">
        <x:v>S3</x:v>
      </x:c>
      <x:c r="M120" s="62" t="str">
        <x:v>https://docs.espressif.com/projects/esp-idf/en/stable/esp32s3/api-reference/peripherals/twai.html</x:v>
      </x:c>
      <x:c r="N120" s="70" t="str">
        <x:v>OPEN</x:v>
      </x:c>
    </x:row>
    <x:row r="121" ht="195" customHeight="1">
      <x:c r="A121" s="62" t="str">
        <x:v>CAN-13</x:v>
      </x:c>
      <x:c r="B121" s="62" t="str">
        <x:v>CAN physical layer and non-interference</x:v>
      </x:c>
      <x:c r="C121" s="65" t="str">
        <x:v>P1</x:v>
      </x:c>
      <x:c r="D121" s="62" t="str">
        <x:v>G1 Schematic</x:v>
      </x:c>
      <x:c r="E121" s="62" t="str">
        <x:v>Are vehicle signal meanings, scaling, signedness, byte order and model-year differences validated independently of transport?</x:v>
      </x:c>
      <x:c r="F121" s="62" t="str">
        <x:v>Golden injected vectors and authoritative/observed signal mapping, including stale and invalid cases.</x:v>
      </x:c>
      <x:c r="G121" s="22" t="str">
        <x:v>CURRENT SOURCE OR MODEL WITH REMAINING CONDITIONS</x:v>
      </x:c>
      <x:c r="H121" s="22" t="str">
        <x:v>RVB22 coordinated engineering review</x:v>
      </x:c>
      <x:c r="I12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vehicle/profile semantics and observations remain.</x:v>
      </x:c>
      <x:c r="J121" s="161" t="str">
        <x:v>interfaces/asc_profile/ASC_PROFILE_REVIEW.json
interfaces/asc_profile/PRIMARY_SOURCE_MANIFEST.json
analyses/can_branch/FINAL_CAN_SOURCE_BINDING.json</x:v>
      </x:c>
      <x:c r="K121" s="62" t="str">
        <x:v>Rev B; characterize Rev A only within its approved bench limits</x:v>
      </x:c>
      <x:c r="L121" s="62" t="str">
        <x:v>S3</x:v>
      </x:c>
      <x:c r="M121" s="62" t="str">
        <x:v>https://docs.espressif.com/projects/esp-idf/en/stable/esp32s3/api-reference/peripherals/twai.html</x:v>
      </x:c>
      <x:c r="N121" s="70" t="str">
        <x:v>OPEN</x:v>
      </x:c>
    </x:row>
    <x:row r="122" ht="195" customHeight="1">
      <x:c r="A122" s="62" t="str">
        <x:v>CAN-14</x:v>
      </x:c>
      <x:c r="B122" s="62" t="str">
        <x:v>CAN physical layer and non-interference</x:v>
      </x:c>
      <x:c r="C122" s="65" t="str">
        <x:v>P0</x:v>
      </x:c>
      <x:c r="D122" s="62" t="str">
        <x:v>G1 Schematic</x:v>
      </x:c>
      <x:c r="E122" s="62" t="str">
        <x:v>Is any CAN FD capability claim supported by the controller and software, not merely an FD-capable transceiver?</x:v>
      </x:c>
      <x:c r="F122" s="62" t="str">
        <x:v>Full controller/transceiver/firmware capability matrix; S3 native TWAI scope explicitly stated.</x:v>
      </x:c>
      <x:c r="G122" s="22" t="str">
        <x:v>CLOSED BY ORIGINAL SCOPE</x:v>
      </x:c>
      <x:c r="H122" s="22" t="str">
        <x:v>RVB22 coordinated engineering review</x:v>
      </x:c>
      <x:c r="I12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2" s="161" t="str">
        <x:v>lanes/firmware_oil/RECOVERED_RELEASE_CHECKS.json
lanes/firmware_oil/RECOVERED_FIRMWARE_TEST_RESULTS.json
lanes/firmware_oil/FINAL_I04_OIL_FIRMWARE_EFFECTIVITY.json
analyses/can_branch/FINAL_CAN_SOURCE_BINDING.json
interfaces/asc_profile/ASC_PROFILE_REVIEW.json</x:v>
      </x:c>
      <x:c r="K122" s="62" t="str">
        <x:v>Rev B; characterize Rev A only within its approved bench limits</x:v>
      </x:c>
      <x:c r="L122" s="62" t="str">
        <x:v>S3</x:v>
      </x:c>
      <x:c r="M122" s="62" t="str">
        <x:v>https://docs.espressif.com/projects/esp-idf/en/stable/esp32s3/api-reference/peripherals/twai.html</x:v>
      </x:c>
      <x:c r="N122" s="70" t="str">
        <x:v>CLOSED</x:v>
      </x:c>
    </x:row>
    <x:row r="123" ht="195" customHeight="1">
      <x:c r="A123" s="62" t="str">
        <x:v>ADC-01</x:v>
      </x:c>
      <x:c r="B123" s="62" t="str">
        <x:v>Oil sensor and analog acquisition</x:v>
      </x:c>
      <x:c r="C123" s="65" t="str">
        <x:v>P0</x:v>
      </x:c>
      <x:c r="D123" s="62" t="str">
        <x:v>G1 Schematic</x:v>
      </x:c>
      <x:c r="E123" s="62" t="str">
        <x:v>What exact Honeywell sensor ordering code, pressure reference and electrical transfer function are supported?</x:v>
      </x:c>
      <x:c r="F123" s="62" t="str">
        <x:v>Exact datasheet defines excitation, output loading, pressure range, overpressure and temperature error.</x:v>
      </x:c>
      <x:c r="G123" s="22" t="str">
        <x:v>CLOSED BY ORIGINAL SCOPE</x:v>
      </x:c>
      <x:c r="H123" s="22" t="str">
        <x:v>RVB22 coordinated engineering review</x:v>
      </x:c>
      <x:c r="I12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lanes/firmware_oil/FINAL_I04_OIL_FIRMWARE_EFFECTIVITY.json
current/SOURCE_EFFECTIVITY.json</x:v>
      </x:c>
      <x:c r="K123" s="62" t="str">
        <x:v>Rev B; characterize Rev A only within its approved bench limits</x:v>
      </x:c>
      <x:c r="L123" s="62" t="str">
        <x:v>S4</x:v>
      </x:c>
      <x:c r="M123" s="62" t="str">
        <x:v>https://docs.espressif.com/projects/esp-idf/en/stable/esp32s3/api-reference/peripherals/adc/adc_calibration.html</x:v>
      </x:c>
      <x:c r="N123" s="70" t="str">
        <x:v>CLOSED</x:v>
      </x:c>
    </x:row>
    <x:row r="124" ht="195" customHeight="1">
      <x:c r="A124" s="62" t="str">
        <x:v>ADC-02</x:v>
      </x:c>
      <x:c r="B124" s="62" t="str">
        <x:v>Oil sensor and analog acquisition</x:v>
      </x:c>
      <x:c r="C124" s="65" t="str">
        <x:v>P1</x:v>
      </x:c>
      <x:c r="D124" s="62" t="str">
        <x:v>G1 Schematic</x:v>
      </x:c>
      <x:c r="E124" s="62" t="str">
        <x:v>Is the nominal ratiometric 0.5–4.5 V on 5 V excitation translated into the actual firmware pressure equation?</x:v>
      </x:c>
      <x:c r="F124" s="62" t="str">
        <x:v>Hardware divider, ADC calibration, excitation scaling and firmware units share a controlled transfer model.</x:v>
      </x:c>
      <x:c r="G124" s="22" t="str">
        <x:v>CLOSED BY ORIGINAL SCOPE</x:v>
      </x:c>
      <x:c r="H124" s="22" t="str">
        <x:v>RVB22 coordinated engineering review</x:v>
      </x:c>
      <x:c r="I12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4"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c r="K124" s="62" t="str">
        <x:v>Rev B; characterize Rev A only within its approved bench limits</x:v>
      </x:c>
      <x:c r="L124" s="62" t="str">
        <x:v>S4</x:v>
      </x:c>
      <x:c r="M124" s="62" t="str">
        <x:v>https://docs.espressif.com/projects/esp-idf/en/stable/esp32s3/api-reference/peripherals/adc/adc_calibration.html</x:v>
      </x:c>
      <x:c r="N124" s="70" t="str">
        <x:v>CLOSED</x:v>
      </x:c>
    </x:row>
    <x:row r="125" ht="195" customHeight="1">
      <x:c r="A125" s="62" t="str">
        <x:v>ADC-03</x:v>
      </x:c>
      <x:c r="B125" s="62" t="str">
        <x:v>Oil sensor and analog acquisition</x:v>
      </x:c>
      <x:c r="C125" s="65" t="str">
        <x:v>P0</x:v>
      </x:c>
      <x:c r="D125" s="62" t="str">
        <x:v>G1 Schematic</x:v>
      </x:c>
      <x:c r="E125" s="62" t="str">
        <x:v>Does maximum normal sensor output, including excitation and tolerances, stay inside the selected ADC's usable input range?</x:v>
      </x:c>
      <x:c r="F125" s="62" t="str">
        <x:v>Worst-case divider/input calculation; no assumption that 3.3 V supply implies accurate full-scale conversion.</x:v>
      </x:c>
      <x:c r="G125" s="22" t="str">
        <x:v>CLOSED BY ORIGINAL SCOPE</x:v>
      </x:c>
      <x:c r="H125" s="22" t="str">
        <x:v>RVB22 coordinated engineering review</x:v>
      </x:c>
      <x:c r="I12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5"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c r="K125" s="62" t="str">
        <x:v>Rev B; characterize Rev A only within its approved bench limits</x:v>
      </x:c>
      <x:c r="L125" s="62" t="str">
        <x:v>S4</x:v>
      </x:c>
      <x:c r="M125" s="62" t="str">
        <x:v>https://docs.espressif.com/projects/esp-idf/en/stable/esp32s3/api-reference/peripherals/adc/adc_calibration.html</x:v>
      </x:c>
      <x:c r="N125" s="70" t="str">
        <x:v>CLOSED</x:v>
      </x:c>
    </x:row>
    <x:row r="126" ht="195" customHeight="1">
      <x:c r="A126" s="62" t="str">
        <x:v>ADC-04</x:v>
      </x:c>
      <x:c r="B126" s="62" t="str">
        <x:v>Oil sensor and analog acquisition</x:v>
      </x:c>
      <x:c r="C126" s="65" t="str">
        <x:v>P1</x:v>
      </x:c>
      <x:c r="D126" s="62" t="str">
        <x:v>G1 Schematic</x:v>
      </x:c>
      <x:c r="E126" s="62" t="str">
        <x:v>Is sensor-excitation variation measured or otherwise included in ratiometric compensation and the error budget?</x:v>
      </x:c>
      <x:c r="F126" s="62" t="str">
        <x:v>Measured excitation/reference strategy or bounded uncorrected supply error.</x:v>
      </x:c>
      <x:c r="G126" s="22" t="str">
        <x:v>CLOSED BY ORIGINAL SCOPE</x:v>
      </x:c>
      <x:c r="H126" s="22" t="str">
        <x:v>RVB22 coordinated engineering review</x:v>
      </x:c>
      <x:c r="I12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6"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c r="K126" s="62" t="str">
        <x:v>Rev B; characterize Rev A only within its approved bench limits</x:v>
      </x:c>
      <x:c r="L126" s="62" t="str">
        <x:v>S4</x:v>
      </x:c>
      <x:c r="M126" s="62" t="str">
        <x:v>https://docs.espressif.com/projects/esp-idf/en/stable/esp32s3/api-reference/peripherals/adc/adc_calibration.html</x:v>
      </x:c>
      <x:c r="N126" s="70" t="str">
        <x:v>CLOSED</x:v>
      </x:c>
    </x:row>
    <x:row r="127" ht="195" customHeight="1">
      <x:c r="A127" s="62" t="str">
        <x:v>ADC-05</x:v>
      </x:c>
      <x:c r="B127" s="62" t="str">
        <x:v>Oil sensor and analog acquisition</x:v>
      </x:c>
      <x:c r="C127" s="65" t="str">
        <x:v>P1</x:v>
      </x:c>
      <x:c r="D127" s="62" t="str">
        <x:v>G1 Schematic</x:v>
      </x:c>
      <x:c r="E127" s="62" t="str">
        <x:v>Are divider/source resistance and ADC acquisition time compatible with settling accuracy?</x:v>
      </x:c>
      <x:c r="F127" s="62" t="str">
        <x:v>Sample-and-hold/filter model plus step testing at the actual sample configuration.</x:v>
      </x:c>
      <x:c r="G127" s="22" t="str">
        <x:v>CURRENT SOURCE OR MODEL WITH REMAINING CONDITIONS</x:v>
      </x:c>
      <x:c r="H127" s="22" t="str">
        <x:v>RVB22 coordinated engineering review</x:v>
      </x:c>
      <x:c r="I12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ADC tracking interval and step tests remain.</x:v>
      </x:c>
      <x:c r="J127" s="161" t="str">
        <x:v>lanes/firmware_oil/RECOVERED_FIRMWARE_TEST_RESULTS.json
lanes/firmware_oil/RECOVERY_CALIBRATION_GAIN_REDLINE.json
interfaces/OIL_HARNESS_ERROR_SWEEP.json
lanes/firmware_oil/FINAL_I04_OIL_FIRMWARE_EFFECTIVITY.json
current/SOURCE_EFFECTIVITY.json</x:v>
      </x:c>
      <x:c r="K127" s="62" t="str">
        <x:v>Rev B; characterize Rev A only within its approved bench limits</x:v>
      </x:c>
      <x:c r="L127" s="62" t="str">
        <x:v>S4</x:v>
      </x:c>
      <x:c r="M127" s="62" t="str">
        <x:v>https://docs.espressif.com/projects/esp-idf/en/stable/esp32s3/api-reference/peripherals/adc/adc_calibration.html</x:v>
      </x:c>
      <x:c r="N127" s="70" t="str">
        <x:v>OPEN</x:v>
      </x:c>
    </x:row>
    <x:row r="128" ht="195" customHeight="1">
      <x:c r="A128" s="62" t="str">
        <x:v>ADC-06</x:v>
      </x:c>
      <x:c r="B128" s="62" t="str">
        <x:v>Oil sensor and analog acquisition</x:v>
      </x:c>
      <x:c r="C128" s="65" t="str">
        <x:v>P1</x:v>
      </x:c>
      <x:c r="D128" s="62" t="str">
        <x:v>G1 Schematic</x:v>
      </x:c>
      <x:c r="E128" s="62" t="str">
        <x:v>Are filter poles calculated using the entire network rather than treating interacting RC stages independently?</x:v>
      </x:c>
      <x:c r="F128" s="62" t="str">
        <x:v>Transfer-function model includes sensor source impedance, divider, series resistor and ADC loading.</x:v>
      </x:c>
      <x:c r="G128" s="22" t="str">
        <x:v>CLOSED BY ORIGINAL SCOPE</x:v>
      </x:c>
      <x:c r="H128" s="22" t="str">
        <x:v>RVB22 coordinated engineering review</x:v>
      </x:c>
      <x:c r="I12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28" s="161"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c r="K128" s="62" t="str">
        <x:v>Rev B; characterize Rev A only within its approved bench limits</x:v>
      </x:c>
      <x:c r="L128" s="62" t="str">
        <x:v>S4</x:v>
      </x:c>
      <x:c r="M128" s="62" t="str">
        <x:v>https://docs.espressif.com/projects/esp-idf/en/stable/esp32s3/api-reference/peripherals/adc/adc_calibration.html</x:v>
      </x:c>
      <x:c r="N128" s="70" t="str">
        <x:v>CLOSED</x:v>
      </x:c>
    </x:row>
    <x:row r="129" ht="227" customHeight="1">
      <x:c r="A129" s="62" t="str">
        <x:v>ADC-07</x:v>
      </x:c>
      <x:c r="B129" s="62" t="str">
        <x:v>Oil sensor and analog acquisition</x:v>
      </x:c>
      <x:c r="C129" s="65" t="str">
        <x:v>P1</x:v>
      </x:c>
      <x:c r="D129" s="62" t="str">
        <x:v>G1 Schematic</x:v>
      </x:c>
      <x:c r="E129" s="62" t="str">
        <x:v>Is anti-alias filtering adequate before sampling, and is digital filtering separated from analog protection?</x:v>
      </x:c>
      <x:c r="F129" s="62" t="str">
        <x:v>Frequency-response and alias analysis using actual sample rate and interference spectrum.</x:v>
      </x:c>
      <x:c r="G129" s="22" t="str">
        <x:v>CURRENT SOURCE OR MODEL WITH REMAINING CONDITIONS</x:v>
      </x:c>
      <x:c r="H129" s="22" t="str">
        <x:v>RVB22 coordinated engineering review</x:v>
      </x:c>
      <x:c r="I12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installed interference spectrum is still an explicit input.</x:v>
      </x:c>
      <x:c r="J129" s="161" t="str">
        <x:v>lanes/firmware_oil/RECOVERED_FIRMWARE_TEST_RESULTS.json
lanes/firmware_oil/RECOVERY_CALIBRATION_GAIN_REDLINE.json
interfaces/OIL_HARNESS_ERROR_SWEEP.json
lanes/firmware_oil/FINAL_I04_OIL_FIRMWARE_EFFECTIVITY.json
current/SOURCE_EFFECTIVITY.json</x:v>
      </x:c>
      <x:c r="K129" s="62" t="str">
        <x:v>Rev B; characterize Rev A only within its approved bench limits</x:v>
      </x:c>
      <x:c r="L129" s="62" t="str">
        <x:v>S4</x:v>
      </x:c>
      <x:c r="M129" s="62" t="str">
        <x:v>https://docs.espressif.com/projects/esp-idf/en/stable/esp32s3/api-reference/peripherals/adc/adc_calibration.html</x:v>
      </x:c>
      <x:c r="N129" s="70" t="str">
        <x:v>OPEN</x:v>
      </x:c>
    </x:row>
    <x:row r="130" ht="216" customHeight="1">
      <x:c r="A130" s="62" t="str">
        <x:v>ADC-08</x:v>
      </x:c>
      <x:c r="B130" s="62" t="str">
        <x:v>Oil sensor and analog acquisition</x:v>
      </x:c>
      <x:c r="C130" s="65" t="str">
        <x:v>P1</x:v>
      </x:c>
      <x:c r="D130" s="62" t="str">
        <x:v>G1 Schematic</x:v>
      </x:c>
      <x:c r="E130" s="62" t="str">
        <x:v>Can filtering or rate limiting hide a short oil-pressure drop that the product is meant to report?</x:v>
      </x:c>
      <x:c r="F130" s="62" t="str">
        <x:v>End-to-end step/pulse response with an explicitly accepted detection latency.</x:v>
      </x:c>
      <x:c r="G130" s="22" t="str">
        <x:v>CURRENT SOURCE OR MODEL WITH REMAINING CONDITIONS</x:v>
      </x:c>
      <x:c r="H130" s="22" t="str">
        <x:v>RVB22 coordinated engineering review</x:v>
      </x:c>
      <x:c r="I13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sensor/frontend/target pulse response remains.</x:v>
      </x:c>
      <x:c r="J130" s="161" t="str">
        <x:v>lanes/firmware_oil/RECOVERED_FIRMWARE_TEST_RESULTS.json
lanes/firmware_oil/RECOVERY_CALIBRATION_GAIN_REDLINE.json
interfaces/OIL_HARNESS_ERROR_SWEEP.json
lanes/firmware_oil/FINAL_I04_OIL_FIRMWARE_EFFECTIVITY.json
current/SOURCE_EFFECTIVITY.json</x:v>
      </x:c>
      <x:c r="K130" s="62" t="str">
        <x:v>Rev B; characterize Rev A only within its approved bench limits</x:v>
      </x:c>
      <x:c r="L130" s="62" t="str">
        <x:v>S4</x:v>
      </x:c>
      <x:c r="M130" s="62" t="str">
        <x:v>https://docs.espressif.com/projects/esp-idf/en/stable/esp32s3/api-reference/peripherals/adc/adc_calibration.html</x:v>
      </x:c>
      <x:c r="N130" s="70" t="str">
        <x:v>OPEN</x:v>
      </x:c>
    </x:row>
    <x:row r="131" ht="370" customHeight="1">
      <x:c r="A131" s="62" t="str">
        <x:v>ADC-09</x:v>
      </x:c>
      <x:c r="B131" s="62" t="str">
        <x:v>Oil sensor and analog acquisition</x:v>
      </x:c>
      <x:c r="C131" s="65" t="str">
        <x:v>P0</x:v>
      </x:c>
      <x:c r="D131" s="62" t="str">
        <x:v>G1 Schematic</x:v>
      </x:c>
      <x:c r="E131" s="62" t="str">
        <x:v>Are external input faults clamped without overloading the ADC or raising an unpowered/low-current 3.3 V rail?</x:v>
      </x:c>
      <x:c r="F131" s="62" t="str">
        <x:v>Clamp voltage/current/energy and rail-sinking analysis, including MCU-off conditions.</x:v>
      </x:c>
      <x:c r="G131" s="22" t="str">
        <x:v>CURRENT SOURCE OR MODEL WITH REMAINING CONDITIONS</x:v>
      </x:c>
      <x:c r="H131" s="22" t="str">
        <x:v>RVB22 coordinated engineering review</x:v>
      </x:c>
      <x:c r="I13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undocumented silicon trigger/off-state behavior remains conditional.</x:v>
      </x:c>
      <x:c r="J131" s="161" t="str">
        <x:v>lanes/firmware_oil/RECOVERED_FIRMWARE_TEST_RESULTS.json
lanes/firmware_oil/RECOVERY_CALIBRATION_GAIN_REDLINE.json
interfaces/OIL_HARNESS_ERROR_SWEEP.json
lanes/firmware_oil/FINAL_I04_OIL_FIRMWARE_EFFECTIVITY.json
current/SOURCE_EFFECTIVITY.json</x:v>
      </x:c>
      <x:c r="K131" s="62" t="str">
        <x:v>Rev B; characterize Rev A only within its approved bench limits</x:v>
      </x:c>
      <x:c r="L131" s="62" t="str">
        <x:v>S4</x:v>
      </x:c>
      <x:c r="M131" s="62" t="str">
        <x:v>https://docs.espressif.com/projects/esp-idf/en/stable/esp32s3/api-reference/peripherals/adc/adc_calibration.html</x:v>
      </x:c>
      <x:c r="N131" s="70" t="str">
        <x:v>OPEN</x:v>
      </x:c>
    </x:row>
    <x:row r="132" ht="195" customHeight="1">
      <x:c r="A132" s="62" t="str">
        <x:v>ADC-10</x:v>
      </x:c>
      <x:c r="B132" s="62" t="str">
        <x:v>Oil sensor and analog acquisition</x:v>
      </x:c>
      <x:c r="C132" s="65" t="str">
        <x:v>P1</x:v>
      </x:c>
      <x:c r="D132" s="62" t="str">
        <x:v>G1 Schematic</x:v>
      </x:c>
      <x:c r="E132" s="62" t="str">
        <x:v>Are protection leakage, resistor tolerance, sensor error, ADC nonlinearity and ground offset in the total pressure error budget?</x:v>
      </x:c>
      <x:c r="F132" s="62" t="str">
        <x:v>Worst-case error allocation in psi over voltage and temperature, plus calibration residuals.</x:v>
      </x:c>
      <x:c r="G132" s="22" t="str">
        <x:v>CURRENT SOURCE OR MODEL WITH REMAINING CONDITIONS</x:v>
      </x:c>
      <x:c r="H132" s="22" t="str">
        <x:v>RVB22 coordinated engineering review</x:v>
      </x:c>
      <x:c r="I13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per-unit calibration residuals remain measured evidence.</x:v>
      </x:c>
      <x:c r="J132" s="161" t="str">
        <x:v>lanes/firmware_oil/RECOVERED_FIRMWARE_TEST_RESULTS.json
lanes/firmware_oil/RECOVERY_CALIBRATION_GAIN_REDLINE.json
interfaces/OIL_HARNESS_ERROR_SWEEP.json
lanes/firmware_oil/FINAL_I04_OIL_FIRMWARE_EFFECTIVITY.json
current/SOURCE_EFFECTIVITY.json</x:v>
      </x:c>
      <x:c r="K132" s="62" t="str">
        <x:v>Rev B; characterize Rev A only within its approved bench limits</x:v>
      </x:c>
      <x:c r="L132" s="62" t="str">
        <x:v>S4</x:v>
      </x:c>
      <x:c r="M132" s="62" t="str">
        <x:v>https://docs.espressif.com/projects/esp-idf/en/stable/esp32s3/api-reference/peripherals/adc/adc_calibration.html</x:v>
      </x:c>
      <x:c r="N132" s="70" t="str">
        <x:v>OPEN</x:v>
      </x:c>
    </x:row>
    <x:row r="133" ht="205" customHeight="1">
      <x:c r="A133" s="62" t="str">
        <x:v>ADC-11</x:v>
      </x:c>
      <x:c r="B133" s="62" t="str">
        <x:v>Oil sensor and analog acquisition</x:v>
      </x:c>
      <x:c r="C133" s="65" t="str">
        <x:v>P1</x:v>
      </x:c>
      <x:c r="D133" s="62" t="str">
        <x:v>G1 Schematic</x:v>
      </x:c>
      <x:c r="E133" s="62" t="str">
        <x:v>Are open sensor, short to ground, short to excitation and implausible values distinguishable from valid low pressure?</x:v>
      </x:c>
      <x:c r="F133" s="62" t="str">
        <x:v>Threshold/state table with hysteresis and test vectors; no misleading zero or stale value.</x:v>
      </x:c>
      <x:c r="G133" s="22" t="str">
        <x:v>CLOSED BY ORIGINAL SCOPE</x:v>
      </x:c>
      <x:c r="H133" s="22" t="str">
        <x:v>RVB22 coordinated engineering review</x:v>
      </x:c>
      <x:c r="I13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33" s="161" t="str">
        <x:v>lanes/firmware_oil/RECOVERED_RELEASE_CHECKS.json
lanes/firmware_oil/RECOVERED_FIRMWARE_TEST_RESULTS.json
lanes/firmware_oil/FINAL_I04_OIL_FIRMWARE_EFFECTIVITY.json
current/SOURCE_EFFECTIVITY.json</x:v>
      </x:c>
      <x:c r="K133" s="62" t="str">
        <x:v>Rev B; characterize Rev A only within its approved bench limits</x:v>
      </x:c>
      <x:c r="L133" s="62" t="str">
        <x:v>S4</x:v>
      </x:c>
      <x:c r="M133" s="62" t="str">
        <x:v>https://docs.espressif.com/projects/esp-idf/en/stable/esp32s3/api-reference/peripherals/adc/adc_calibration.html</x:v>
      </x:c>
      <x:c r="N133" s="70" t="str">
        <x:v>CLOSED</x:v>
      </x:c>
    </x:row>
    <x:row r="134" ht="195" customHeight="1">
      <x:c r="A134" s="62" t="str">
        <x:v>ADC-12</x:v>
      </x:c>
      <x:c r="B134" s="62" t="str">
        <x:v>Oil sensor and analog acquisition</x:v>
      </x:c>
      <x:c r="C134" s="65" t="str">
        <x:v>P1</x:v>
      </x:c>
      <x:c r="D134" s="62" t="str">
        <x:v>G1 Schematic</x:v>
      </x:c>
      <x:c r="E134" s="62" t="str">
        <x:v>Does BLE activity, CAN traffic or regulator mode change the ADC result?</x:v>
      </x:c>
      <x:c r="F134" s="62" t="str">
        <x:v>Correlated raw-code/noise testing with aggressors independently enabled and all active.</x:v>
      </x:c>
      <x:c r="G134" s="22" t="str">
        <x:v>CURRENT SOURCE OR MODEL WITH REMAINING CONDITIONS</x:v>
      </x:c>
      <x:c r="H134" s="22" t="str">
        <x:v>RVB22 coordinated engineering review</x:v>
      </x:c>
      <x:c r="I13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correlated raw-code/noise tests remain physical.</x:v>
      </x:c>
      <x:c r="J134" s="161" t="str">
        <x:v>lanes/emc/EMC_DESKTOP_REPORT.md
lanes/emc/REDLINE_DISPOSITIONS.json
lanes/emc/EMC_NUMERICAL_VERIFICATION.json
lanes/firmware_oil/FINAL_I04_OIL_FIRMWARE_EFFECTIVITY.json
current/SOURCE_EFFECTIVITY.json</x:v>
      </x:c>
      <x:c r="K134" s="62" t="str">
        <x:v>Rev B; characterize Rev A only within its approved bench limits</x:v>
      </x:c>
      <x:c r="L134" s="62" t="str">
        <x:v>S4</x:v>
      </x:c>
      <x:c r="M134" s="62" t="str">
        <x:v>https://docs.espressif.com/projects/esp-idf/en/stable/esp32s3/api-reference/peripherals/adc/adc_calibration.html</x:v>
      </x:c>
      <x:c r="N134" s="70" t="str">
        <x:v>OPEN</x:v>
      </x:c>
    </x:row>
    <x:row r="135" ht="195" customHeight="1">
      <x:c r="A135" s="62" t="str">
        <x:v>ADC-13</x:v>
      </x:c>
      <x:c r="B135" s="62" t="str">
        <x:v>Oil sensor and analog acquisition</x:v>
      </x:c>
      <x:c r="C135" s="65" t="str">
        <x:v>P1</x:v>
      </x:c>
      <x:c r="D135" s="62" t="str">
        <x:v>G1 Schematic</x:v>
      </x:c>
      <x:c r="E135" s="62" t="str">
        <x:v>Is calibration reproducible and protected against accidental overwrite or use on the wrong board?</x:v>
      </x:c>
      <x:c r="F135" s="62" t="str">
        <x:v>Versioned per-unit calibration data, reference instruments, validity checks and recovery procedure.</x:v>
      </x:c>
      <x:c r="G135" s="22" t="str">
        <x:v>CURRENT SOURCE OR MODEL WITH REMAINING CONDITIONS</x:v>
      </x:c>
      <x:c r="H135" s="22" t="str">
        <x:v>RVB22 coordinated engineering review</x:v>
      </x:c>
      <x:c r="I13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per-unit reference instruments and calibration records remain.</x:v>
      </x:c>
      <x:c r="J135" s="161" t="str">
        <x:v>lanes/firmware_oil/RECOVERED_RELEASE_CHECKS.json
lanes/firmware_oil/RECOVERED_FIRMWARE_TEST_RESULTS.json
lanes/firmware_oil/FINAL_I04_OIL_FIRMWARE_EFFECTIVITY.json
current/SOURCE_EFFECTIVITY.json</x:v>
      </x:c>
      <x:c r="K135" s="62" t="str">
        <x:v>Rev B; characterize Rev A only within its approved bench limits</x:v>
      </x:c>
      <x:c r="L135" s="62" t="str">
        <x:v>S4</x:v>
      </x:c>
      <x:c r="M135" s="62" t="str">
        <x:v>https://docs.espressif.com/projects/esp-idf/en/stable/esp32s3/api-reference/peripherals/adc/adc_calibration.html</x:v>
      </x:c>
      <x:c r="N135" s="70" t="str">
        <x:v>OPEN</x:v>
      </x:c>
    </x:row>
    <x:row r="136" ht="195" customHeight="1">
      <x:c r="A136" s="62" t="str">
        <x:v>ADC-14</x:v>
      </x:c>
      <x:c r="B136" s="62" t="str">
        <x:v>Oil sensor and analog acquisition</x:v>
      </x:c>
      <x:c r="C136" s="65" t="str">
        <x:v>P1</x:v>
      </x:c>
      <x:c r="D136" s="62" t="str">
        <x:v>G1 Schematic</x:v>
      </x:c>
      <x:c r="E136" s="62" t="str">
        <x:v>Does connector-side testing prove the complete sensor path rather than only direct injection at the MCU ADC?</x:v>
      </x:c>
      <x:c r="F136" s="62" t="str">
        <x:v>Separate direct-ADC, full-front-end and real-sensor results with uncertainty and rising/falling sweeps.</x:v>
      </x:c>
      <x:c r="G136" s="22" t="str">
        <x:v>CURRENT SOURCE OR MODEL WITH REMAINING CONDITIONS</x:v>
      </x:c>
      <x:c r="H136" s="22" t="str">
        <x:v>RVB22 coordinated engineering review</x:v>
      </x:c>
      <x:c r="I13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rising/falling measurements remain.</x:v>
      </x:c>
      <x:c r="J136" s="161" t="str">
        <x:v>control/FINAL_I04_BRINGUP_BINDING.json
control/RVB22_BRING_UP_AND_MEASUREMENT_CONTRACT.md
control/BRINGUP_ACTUAL_NODE_INDEX.json
lanes/firmware_oil/FINAL_I04_OIL_FIRMWARE_EFFECTIVITY.json
current/SOURCE_EFFECTIVITY.json</x:v>
      </x:c>
      <x:c r="K136" s="62" t="str">
        <x:v>Rev B; characterize Rev A only within its approved bench limits</x:v>
      </x:c>
      <x:c r="L136" s="62" t="str">
        <x:v>S4</x:v>
      </x:c>
      <x:c r="M136" s="62" t="str">
        <x:v>https://docs.espressif.com/projects/esp-idf/en/stable/esp32s3/api-reference/peripherals/adc/adc_calibration.html</x:v>
      </x:c>
      <x:c r="N136" s="70" t="str">
        <x:v>OPEN</x:v>
      </x:c>
    </x:row>
    <x:row r="137" ht="195" customHeight="1">
      <x:c r="A137" s="62" t="str">
        <x:v>GPS-01</x:v>
      </x:c>
      <x:c r="B137" s="62" t="str">
        <x:v>GPS module, timing and external antenna</x:v>
      </x:c>
      <x:c r="C137" s="65" t="str">
        <x:v>P0</x:v>
      </x:c>
      <x:c r="D137" s="62" t="str">
        <x:v>G1 Schematic</x:v>
      </x:c>
      <x:c r="E137" s="62" t="str">
        <x:v>Is PA1616D orientation and every used physical pad independently verified?</x:v>
      </x:c>
      <x:c r="F137" s="62" t="str">
        <x:v>Exact top-view drawing reconciled with module pin 1, footprint and assembly placement.</x:v>
      </x:c>
      <x:c r="G137" s="22" t="str">
        <x:v>OPEN ORIGINAL ACCEPTANCE</x:v>
      </x:c>
      <x:c r="H137" s="22" t="str">
        <x:v>RVB22 coordinated engineering review</x:v>
      </x:c>
      <x:c r="I137" s="22" t="str">
        <x:v>Current PA1616D footprint, expanded netlist, placement and conservative body envelope are consistent. The requested independent exact top-view pad-number drawing reconciliation remains a distinct check.
CRITERION: OPEN
DESKTOP: CURRENT EVIDENCE REVIEWED
REMAINING: Complete and retain the manufacturer drawing-to-native-pad overlay for PA1616D.</x:v>
      </x:c>
      <x:c r="J137" s="161" t="str">
        <x:v>runtime/run_native_candidate.py
runtime/final_I06_actual_preflight/RESULT.json
runtime/NATIVE_NEGATIVE_CONTROL_RECHECK.json
iterations/I06_harness_handoff/CANDIDATE_MANIFEST.json
analyses/rf_i18/EXTENDED_NETWORK_RESULTS.json
analyses/mated_i18/RESULTS.json
iterations/I20_controlled_handoff/NATIVE_BINDING.json</x:v>
      </x:c>
      <x:c r="K137" s="62" t="str">
        <x:v>Rev B; characterize Rev A only within its approved bench limits</x:v>
      </x:c>
      <x:c r="L137" s="62" t="str">
        <x:v>S9</x:v>
      </x:c>
      <x:c r="M137" s="62" t="str">
        <x:v>https://www.mouser.com/datasheet/2/737/5186_PA1616D_Datasheet-3304326.pdf</x:v>
      </x:c>
      <x:c r="N137" s="70" t="str">
        <x:v>OPEN</x:v>
      </x:c>
    </x:row>
    <x:row r="138" ht="195" customHeight="1">
      <x:c r="A138" s="62" t="str">
        <x:v>GPS-02</x:v>
      </x:c>
      <x:c r="B138" s="62" t="str">
        <x:v>GPS module, timing and external antenna</x:v>
      </x:c>
      <x:c r="C138" s="65" t="str">
        <x:v>P0</x:v>
      </x:c>
      <x:c r="D138" s="62" t="str">
        <x:v>G1 Schematic</x:v>
      </x:c>
      <x:c r="E138" s="62" t="str">
        <x:v>Are UART signals crossed correctly and PPS routed to the actual GPIO16?</x:v>
      </x:c>
      <x:c r="F138" s="62" t="str">
        <x:v>GPS TX0 to GPIO18 RX, GPIO17 TX to GPS RX0, and PPS continuity plus logic-level checks.</x:v>
      </x:c>
      <x:c r="G138" s="22" t="str">
        <x:v>CLOSED BY ORIGINAL SCOPE</x:v>
      </x:c>
      <x:c r="H138" s="22" t="str">
        <x:v>RVB22 coordinated engineering review</x:v>
      </x:c>
      <x:c r="I138" s="22"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
CRITERION: CLOSED
DESKTOP: CURRENT EVIDENCE REVIEWED
REMAINING: </x:v>
      </x:c>
      <x:c r="J138" s="161" t="str">
        <x:v>lanes/firmware_oil/RECOVERED_RELEASE_CHECKS.json
lanes/firmware_oil/RECOVERED_FIRMWARE_TEST_RESULTS.json
lanes/firmware_oil/FINAL_I04_OIL_FIRMWARE_EFFECTIVITY.json
analyses/rf_i18/EXTENDED_NETWORK_RESULTS.json
analyses/mated_i18/RESULTS.json
iterations/I20_controlled_handoff/NATIVE_BINDING.json</x:v>
      </x:c>
      <x:c r="K138" s="62" t="str">
        <x:v>Rev B; characterize Rev A only within its approved bench limits</x:v>
      </x:c>
      <x:c r="L138" s="62" t="str">
        <x:v>S9</x:v>
      </x:c>
      <x:c r="M138" s="62" t="str">
        <x:v>https://www.mouser.com/datasheet/2/737/5186_PA1616D_Datasheet-3304326.pdf</x:v>
      </x:c>
      <x:c r="N138" s="70" t="str">
        <x:v>CLOSED</x:v>
      </x:c>
    </x:row>
    <x:row r="139" ht="195" customHeight="1">
      <x:c r="A139" s="62" t="str">
        <x:v>GPS-03</x:v>
      </x:c>
      <x:c r="B139" s="62" t="str">
        <x:v>GPS module, timing and external antenna</x:v>
      </x:c>
      <x:c r="C139" s="65" t="str">
        <x:v>P1</x:v>
      </x:c>
      <x:c r="D139" s="62" t="str">
        <x:v>G1 Schematic</x:v>
      </x:c>
      <x:c r="E139" s="62" t="str">
        <x:v>Is VBACKUP use, source and shutdown behavior deliberate?</x:v>
      </x:c>
      <x:c r="F139" s="62" t="str">
        <x:v>Backup-domain current/voltage and power-sequencing analysis; no unintended charging of a primary cell.</x:v>
      </x:c>
      <x:c r="G139" s="22" t="str">
        <x:v>CLOSED BY ORIGINAL SCOPE</x:v>
      </x:c>
      <x:c r="H139" s="22" t="str">
        <x:v>RVB22 coordinated engineering review</x:v>
      </x:c>
      <x:c r="I139" s="22"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
CRITERION: CLOSED
DESKTOP: CURRENT EVIDENCE REVIEWED
REMAINING: </x:v>
      </x:c>
      <x:c r="J139" s="161" t="str">
        <x:v>iterations/I06_harness_handoff/CANDIDATE_MANIFEST.json
analyses/rf_i18/EXTENDED_NETWORK_RESULTS.json
analyses/mated_i18/RESULTS.json
iterations/I20_controlled_handoff/NATIVE_BINDING.json</x:v>
      </x:c>
      <x:c r="K139" s="62" t="str">
        <x:v>Rev B; characterize Rev A only within its approved bench limits</x:v>
      </x:c>
      <x:c r="L139" s="62" t="str">
        <x:v>S9</x:v>
      </x:c>
      <x:c r="M139" s="62" t="str">
        <x:v>https://www.mouser.com/datasheet/2/737/5186_PA1616D_Datasheet-3304326.pdf</x:v>
      </x:c>
      <x:c r="N139" s="70" t="str">
        <x:v>CLOSED</x:v>
      </x:c>
    </x:row>
    <x:row r="140" ht="216" customHeight="1">
      <x:c r="A140" s="62" t="str">
        <x:v>GPS-04</x:v>
      </x:c>
      <x:c r="B140" s="62" t="str">
        <x:v>GPS module, timing and external antenna</x:v>
      </x:c>
      <x:c r="C140" s="65" t="str">
        <x:v>P1</x:v>
      </x:c>
      <x:c r="D140" s="62" t="str">
        <x:v>G1 Schematic</x:v>
      </x:c>
      <x:c r="E140" s="62" t="str">
        <x:v>Does startup negotiate the actual module baud/configuration before applying the desired 115200 baud and 10 Hz mode?</x:v>
      </x:c>
      <x:c r="F140" s="62" t="str">
        <x:v>Cold/warm start logs, factory-default recovery and configuration persistence tests.</x:v>
      </x:c>
      <x:c r="G140" s="22" t="str">
        <x:v>CURRENT SOURCE OR MODEL WITH REMAINING CONDITIONS</x:v>
      </x:c>
      <x:c r="H140" s="22" t="str">
        <x:v>RVB22 coordinated engineering review</x:v>
      </x:c>
      <x:c r="I140"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actual cold/warm start and persistence logs remain.</x:v>
      </x:c>
      <x:c r="J140" s="161" t="str">
        <x:v>lanes/firmware_oil/RECOVERED_RELEASE_CHECKS.json
lanes/firmware_oil/RECOVERED_FIRMWARE_TEST_RESULTS.json
analyses/rf_i18/EXTENDED_NETWORK_RESULTS.json
analyses/mated_i18/RESULTS.json
iterations/I20_controlled_handoff/NATIVE_BINDING.json</x:v>
      </x:c>
      <x:c r="K140" s="62" t="str">
        <x:v>Rev B; characterize Rev A only within its approved bench limits</x:v>
      </x:c>
      <x:c r="L140" s="62" t="str">
        <x:v>S9</x:v>
      </x:c>
      <x:c r="M140" s="62" t="str">
        <x:v>https://www.mouser.com/datasheet/2/737/5186_PA1616D_Datasheet-3304326.pdf</x:v>
      </x:c>
      <x:c r="N140" s="70" t="str">
        <x:v>OPEN</x:v>
      </x:c>
    </x:row>
    <x:row r="141" ht="227" customHeight="1">
      <x:c r="A141" s="62" t="str">
        <x:v>GPS-05</x:v>
      </x:c>
      <x:c r="B141" s="62" t="str">
        <x:v>GPS module, timing and external antenna</x:v>
      </x:c>
      <x:c r="C141" s="65" t="str">
        <x:v>P1</x:v>
      </x:c>
      <x:c r="D141" s="62" t="str">
        <x:v>G1 Schematic</x:v>
      </x:c>
      <x:c r="E141" s="62" t="str">
        <x:v>Is the selected sentence set within UART and processing throughput limits at the required update rate?</x:v>
      </x:c>
      <x:c r="F141" s="62" t="str">
        <x:v>Byte-rate budget with framing overhead, buffer margins and measured worst burst.</x:v>
      </x:c>
      <x:c r="G141" s="22" t="str">
        <x:v>CURRENT SOURCE OR MODEL WITH REMAINING CONDITIONS</x:v>
      </x:c>
      <x:c r="H141" s="22" t="str">
        <x:v>RVB22 coordinated engineering review</x:v>
      </x:c>
      <x:c r="I141"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actual maximum module burst measurement remains.</x:v>
      </x:c>
      <x:c r="J141" s="161" t="str">
        <x:v>lanes/firmware_oil/RECOVERED_RELEASE_CHECKS.json
lanes/firmware_oil/RECOVERED_FIRMWARE_TEST_RESULTS.json
analyses/rf_i18/EXTENDED_NETWORK_RESULTS.json
analyses/mated_i18/RESULTS.json
iterations/I20_controlled_handoff/NATIVE_BINDING.json</x:v>
      </x:c>
      <x:c r="K141" s="62" t="str">
        <x:v>Rev B; characterize Rev A only within its approved bench limits</x:v>
      </x:c>
      <x:c r="L141" s="62" t="str">
        <x:v>S9</x:v>
      </x:c>
      <x:c r="M141" s="62" t="str">
        <x:v>https://www.mouser.com/datasheet/2/737/5186_PA1616D_Datasheet-3304326.pdf</x:v>
      </x:c>
      <x:c r="N141" s="70" t="str">
        <x:v>OPEN</x:v>
      </x:c>
    </x:row>
    <x:row r="142" ht="216" customHeight="1">
      <x:c r="A142" s="62" t="str">
        <x:v>GPS-06</x:v>
      </x:c>
      <x:c r="B142" s="62" t="str">
        <x:v>GPS module, timing and external antenna</x:v>
      </x:c>
      <x:c r="C142" s="65" t="str">
        <x:v>P1</x:v>
      </x:c>
      <x:c r="D142" s="62" t="str">
        <x:v>G1 Schematic</x:v>
      </x:c>
      <x:c r="E142" s="62" t="str">
        <x:v>Are update rate, constellation/SBAS settings and actual module firmware capabilities mutually compatible?</x:v>
      </x:c>
      <x:c r="F142" s="62" t="str">
        <x:v>Exact-module mode compatibility table and verified configuration response.</x:v>
      </x:c>
      <x:c r="G142" s="22" t="str">
        <x:v>CURRENT SOURCE OR MODEL WITH REMAINING CONDITIONS</x:v>
      </x:c>
      <x:c r="H142" s="22" t="str">
        <x:v>RVB22 coordinated engineering review</x:v>
      </x:c>
      <x:c r="I142"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exact module configuration responses/readback remain.</x:v>
      </x:c>
      <x:c r="J142" s="161" t="str">
        <x:v>lanes/firmware_oil/RECOVERED_RELEASE_CHECKS.json
lanes/firmware_oil/RECOVERED_FIRMWARE_TEST_RESULTS.json
analyses/rf_i18/EXTENDED_NETWORK_RESULTS.json
analyses/mated_i18/RESULTS.json
iterations/I20_controlled_handoff/NATIVE_BINDING.json</x:v>
      </x:c>
      <x:c r="K142" s="62" t="str">
        <x:v>Rev B; characterize Rev A only within its approved bench limits</x:v>
      </x:c>
      <x:c r="L142" s="62" t="str">
        <x:v>S9</x:v>
      </x:c>
      <x:c r="M142" s="62" t="str">
        <x:v>https://www.mouser.com/datasheet/2/737/5186_PA1616D_Datasheet-3304326.pdf</x:v>
      </x:c>
      <x:c r="N142" s="70" t="str">
        <x:v>OPEN</x:v>
      </x:c>
    </x:row>
    <x:row r="143" ht="216" customHeight="1">
      <x:c r="A143" s="62" t="str">
        <x:v>GPS-07</x:v>
      </x:c>
      <x:c r="B143" s="62" t="str">
        <x:v>GPS module, timing and external antenna</x:v>
      </x:c>
      <x:c r="C143" s="65" t="str">
        <x:v>P1</x:v>
      </x:c>
      <x:c r="D143" s="62" t="str">
        <x:v>G1 Schematic</x:v>
      </x:c>
      <x:c r="E143" s="62" t="str">
        <x:v>Is PPS treated as a timing reference with a known relationship to the corresponding navigation epoch?</x:v>
      </x:c>
      <x:c r="F143" s="62" t="str">
        <x:v>PPS edge/latency/polarity documentation and hardware/firmware timestamp correlation.</x:v>
      </x:c>
      <x:c r="G143" s="22" t="str">
        <x:v>CURRENT SOURCE OR MODEL WITH REMAINING CONDITIONS</x:v>
      </x:c>
      <x:c r="H143" s="22" t="str">
        <x:v>RVB22 coordinated engineering review</x:v>
      </x:c>
      <x:c r="I143"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hardware timestamp correlation remains.</x:v>
      </x:c>
      <x:c r="J143" s="161" t="str">
        <x:v>lanes/firmware_oil/RECOVERED_RELEASE_CHECKS.json
lanes/firmware_oil/RECOVERED_FIRMWARE_TEST_RESULTS.json
analyses/rf_i18/EXTENDED_NETWORK_RESULTS.json
analyses/mated_i18/RESULTS.json
iterations/I20_controlled_handoff/NATIVE_BINDING.json</x:v>
      </x:c>
      <x:c r="K143" s="62" t="str">
        <x:v>Rev B; characterize Rev A only within its approved bench limits</x:v>
      </x:c>
      <x:c r="L143" s="62" t="str">
        <x:v>S9</x:v>
      </x:c>
      <x:c r="M143" s="62" t="str">
        <x:v>https://www.mouser.com/datasheet/2/737/5186_PA1616D_Datasheet-3304326.pdf</x:v>
      </x:c>
      <x:c r="N143" s="70" t="str">
        <x:v>OPEN</x:v>
      </x:c>
    </x:row>
    <x:row r="144" ht="216" customHeight="1">
      <x:c r="A144" s="62" t="str">
        <x:v>GPS-08</x:v>
      </x:c>
      <x:c r="B144" s="62" t="str">
        <x:v>GPS module, timing and external antenna</x:v>
      </x:c>
      <x:c r="C144" s="65" t="str">
        <x:v>P1</x:v>
      </x:c>
      <x:c r="D144" s="62" t="str">
        <x:v>G1 Schematic</x:v>
      </x:c>
      <x:c r="E144" s="62" t="str">
        <x:v>Are fix quality, sentence checksum, fix age, loss of lock and invalid coordinates propagated correctly?</x:v>
      </x:c>
      <x:c r="F144" s="62" t="str">
        <x:v>Parser test vectors and field results do not reuse stale data as a valid fresh fix.</x:v>
      </x:c>
      <x:c r="G144" s="22" t="str">
        <x:v>CURRENT SOURCE OR MODEL WITH REMAINING CONDITIONS</x:v>
      </x:c>
      <x:c r="H144" s="22" t="str">
        <x:v>RVB22 coordinated engineering review</x:v>
      </x:c>
      <x:c r="I144"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also requires field results.</x:v>
      </x:c>
      <x:c r="J144" s="161" t="str">
        <x:v>lanes/firmware_oil/RECOVERED_RELEASE_CHECKS.json
lanes/firmware_oil/RECOVERED_FIRMWARE_TEST_RESULTS.json
analyses/rf_i18/EXTENDED_NETWORK_RESULTS.json
analyses/mated_i18/RESULTS.json
iterations/I20_controlled_handoff/NATIVE_BINDING.json</x:v>
      </x:c>
      <x:c r="K144" s="62" t="str">
        <x:v>Rev B; characterize Rev A only within its approved bench limits</x:v>
      </x:c>
      <x:c r="L144" s="62" t="str">
        <x:v>S9</x:v>
      </x:c>
      <x:c r="M144" s="62" t="str">
        <x:v>https://www.mouser.com/datasheet/2/737/5186_PA1616D_Datasheet-3304326.pdf</x:v>
      </x:c>
      <x:c r="N144" s="70" t="str">
        <x:v>OPEN</x:v>
      </x:c>
    </x:row>
    <x:row r="145" ht="249" customHeight="1">
      <x:c r="A145" s="62" t="str">
        <x:v>GPS-09</x:v>
      </x:c>
      <x:c r="B145" s="62" t="str">
        <x:v>GPS module, timing and external antenna</x:v>
      </x:c>
      <x:c r="C145" s="65" t="str">
        <x:v>P0</x:v>
      </x:c>
      <x:c r="D145" s="62" t="str">
        <x:v>G1 Schematic</x:v>
      </x:c>
      <x:c r="E145" s="62" t="str">
        <x:v>Does the selected active external antenna accept the actual module bias voltage/current and detection behavior?</x:v>
      </x:c>
      <x:c r="F145" s="62" t="str">
        <x:v>Antenna and PA1616D specifications reconciled, with open/short and plug/unplug behavior checked.</x:v>
      </x:c>
      <x:c r="G145" s="22" t="str">
        <x:v>CURRENT SOURCE OR MODEL WITH REMAINING CONDITIONS</x:v>
      </x:c>
      <x:c r="H145" s="22" t="str">
        <x:v>RVB22 coordinated engineering review</x:v>
      </x:c>
      <x:c r="I145"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exact accessory identity and open/short/plug behavior remain.</x:v>
      </x:c>
      <x:c r="J145" s="161" t="str">
        <x:v>lanes/rf/RF_FINAL_REPORT.md
lanes/rf/RF_FINAL_SUMMARY.json
lanes/rf/RF_I04_ADDENDUM.md
lanes/rf/RF_I04_SUMMARY.json
lanes/emc/RF_STRIP_NETWORK.json
analyses/rf_i18/EXTENDED_NETWORK_RESULTS.json
analyses/mated_i18/RESULTS.json
iterations/I20_controlled_handoff/NATIVE_BINDING.json</x:v>
      </x:c>
      <x:c r="K145" s="62" t="str">
        <x:v>Rev B; characterize Rev A only within its approved bench limits</x:v>
      </x:c>
      <x:c r="L145" s="62" t="str">
        <x:v>S9</x:v>
      </x:c>
      <x:c r="M145" s="62" t="str">
        <x:v>https://www.mouser.com/datasheet/2/737/5186_PA1616D_Datasheet-3304326.pdf</x:v>
      </x:c>
      <x:c r="N145" s="70" t="str">
        <x:v>OPEN</x:v>
      </x:c>
    </x:row>
    <x:row r="146" ht="260" customHeight="1">
      <x:c r="A146" s="62" t="str">
        <x:v>GPS-10</x:v>
      </x:c>
      <x:c r="B146" s="62" t="str">
        <x:v>GPS module, timing and external antenna</x:v>
      </x:c>
      <x:c r="C146" s="65" t="str">
        <x:v>P1</x:v>
      </x:c>
      <x:c r="D146" s="62" t="str">
        <x:v>G1 Schematic</x:v>
      </x:c>
      <x:c r="E146" s="62" t="str">
        <x:v>Is the RF feed 50 ohms with a short continuous reference, suitable low-capacitance protection and no unused RF stub?</x:v>
      </x:c>
      <x:c r="F146" s="62" t="str">
        <x:v>Calculated stackup/launch layout and exact RF protection part review.</x:v>
      </x:c>
      <x:c r="G146" s="22" t="str">
        <x:v>CLOSED BY ORIGINAL SCOPE</x:v>
      </x:c>
      <x:c r="H146" s="22" t="str">
        <x:v>RVB22 coordinated engineering review</x:v>
      </x:c>
      <x:c r="I146" s="22"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46" s="161" t="str">
        <x:v>lanes/rf/RF_FINAL_REPORT.md
lanes/rf/RF_FINAL_SUMMARY.json
lanes/rf/RF_I04_ADDENDUM.md
lanes/rf/RF_I04_SUMMARY.json
lanes/emc/RF_STRIP_NETWORK.json
analyses/rf_i18/EXTENDED_NETWORK_RESULTS.json
analyses/mated_i18/RESULTS.json
iterations/I20_controlled_handoff/NATIVE_BINDING.json</x:v>
      </x:c>
      <x:c r="K146" s="62" t="str">
        <x:v>Rev B; characterize Rev A only within its approved bench limits</x:v>
      </x:c>
      <x:c r="L146" s="62" t="str">
        <x:v>S9</x:v>
      </x:c>
      <x:c r="M146" s="62" t="str">
        <x:v>https://www.mouser.com/datasheet/2/737/5186_PA1616D_Datasheet-3304326.pdf</x:v>
      </x:c>
      <x:c r="N146" s="70" t="str">
        <x:v>CLOSED</x:v>
      </x:c>
    </x:row>
    <x:row r="147" ht="195" customHeight="1">
      <x:c r="A147" s="62" t="str">
        <x:v>GPS-11</x:v>
      </x:c>
      <x:c r="B147" s="62" t="str">
        <x:v>GPS module, timing and external antenna</x:v>
      </x:c>
      <x:c r="C147" s="65" t="str">
        <x:v>P0</x:v>
      </x:c>
      <x:c r="D147" s="62" t="str">
        <x:v>G1 Schematic</x:v>
      </x:c>
      <x:c r="E147" s="62" t="str">
        <x:v>Has any RF DC-blocking capacitor or bias network been evaluated against the module's active-antenna power path?</x:v>
      </x:c>
      <x:c r="F147" s="62" t="str">
        <x:v>Complete DC/RF circuit proves antenna power remains available without harmful back-feed.</x:v>
      </x:c>
      <x:c r="G147" s="22" t="str">
        <x:v>CLOSED BY ORIGINAL SCOPE</x:v>
      </x:c>
      <x:c r="H147" s="22" t="str">
        <x:v>RVB22 coordinated engineering review</x:v>
      </x:c>
      <x:c r="I147" s="22"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
CRITERION: CLOSED
DESKTOP: CURRENT EVIDENCE REVIEWED
REMAINING: </x:v>
      </x:c>
      <x:c r="J147" s="161" t="str">
        <x:v>lanes/rf/RF_FINAL_REPORT.md
lanes/rf/RF_FINAL_SUMMARY.json
lanes/rf/RF_I04_ADDENDUM.md
lanes/rf/RF_I04_SUMMARY.json
lanes/rf/FINAL_I04_SOURCE_BINDING.json
lanes/emc/EMC_SUMMARY.json
analyses/rf_i18/EXTENDED_NETWORK_RESULTS.json
analyses/mated_i18/RESULTS.json
iterations/I20_controlled_handoff/NATIVE_BINDING.json</x:v>
      </x:c>
      <x:c r="K147" s="62" t="str">
        <x:v>Rev B; characterize Rev A only within its approved bench limits</x:v>
      </x:c>
      <x:c r="L147" s="62" t="str">
        <x:v>S9</x:v>
      </x:c>
      <x:c r="M147" s="62" t="str">
        <x:v>https://www.mouser.com/datasheet/2/737/5186_PA1616D_Datasheet-3304326.pdf</x:v>
      </x:c>
      <x:c r="N147" s="70" t="str">
        <x:v>CLOSED</x:v>
      </x:c>
    </x:row>
    <x:row r="148" ht="249" customHeight="1">
      <x:c r="A148" s="62" t="str">
        <x:v>GPS-12</x:v>
      </x:c>
      <x:c r="B148" s="62" t="str">
        <x:v>GPS module, timing and external antenna</x:v>
      </x:c>
      <x:c r="C148" s="65" t="str">
        <x:v>P1</x:v>
      </x:c>
      <x:c r="D148" s="62" t="str">
        <x:v>G1 Schematic</x:v>
      </x:c>
      <x:c r="E148" s="62" t="str">
        <x:v>Are antenna gain, noise, cable loss and local interference compatible with receiver performance?</x:v>
      </x:c>
      <x:c r="F148" s="62" t="str">
        <x:v>Link/noise budget and representative internal-versus-external outdoor comparison.</x:v>
      </x:c>
      <x:c r="G148" s="22" t="str">
        <x:v>CURRENT SOURCE OR MODEL WITH REMAINING CONDITIONS</x:v>
      </x:c>
      <x:c r="H148" s="22" t="str">
        <x:v>RVB22 coordinated engineering review</x:v>
      </x:c>
      <x:c r="I148"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representative outdoor comparison is unperformed.</x:v>
      </x:c>
      <x:c r="J148" s="161" t="str">
        <x:v>lanes/rf/RF_FINAL_REPORT.md
lanes/rf/RF_FINAL_SUMMARY.json
lanes/rf/RF_I04_ADDENDUM.md
lanes/rf/RF_I04_SUMMARY.json
lanes/emc/RF_STRIP_NETWORK.json
analyses/rf_i18/EXTENDED_NETWORK_RESULTS.json
analyses/mated_i18/RESULTS.json
iterations/I20_controlled_handoff/NATIVE_BINDING.json</x:v>
      </x:c>
      <x:c r="K148" s="62" t="str">
        <x:v>Rev B; characterize Rev A only within its approved bench limits</x:v>
      </x:c>
      <x:c r="L148" s="62" t="str">
        <x:v>S9</x:v>
      </x:c>
      <x:c r="M148" s="62" t="str">
        <x:v>https://www.mouser.com/datasheet/2/737/5186_PA1616D_Datasheet-3304326.pdf</x:v>
      </x:c>
      <x:c r="N148" s="70" t="str">
        <x:v>OPEN</x:v>
      </x:c>
    </x:row>
    <x:row r="149" ht="195" customHeight="1">
      <x:c r="A149" s="62" t="str">
        <x:v>GPS-13</x:v>
      </x:c>
      <x:c r="B149" s="62" t="str">
        <x:v>GPS module, timing and external antenna</x:v>
      </x:c>
      <x:c r="C149" s="65" t="str">
        <x:v>P1</x:v>
      </x:c>
      <x:c r="D149" s="62" t="str">
        <x:v>G1 Schematic</x:v>
      </x:c>
      <x:c r="E149" s="62" t="str">
        <x:v>Are GPS rail noise and BLE/switcher desensitization assessed in the final enclosure?</x:v>
      </x:c>
      <x:c r="F149" s="62" t="str">
        <x:v>Acquisition, C/N0, fix stability and timing results with aggressors off/on.</x:v>
      </x:c>
      <x:c r="G149" s="22" t="str">
        <x:v>CURRENT SOURCE OR MODEL WITH REMAINING CONDITIONS</x:v>
      </x:c>
      <x:c r="H149" s="22" t="str">
        <x:v>RVB22 coordinated engineering review</x:v>
      </x:c>
      <x:c r="I149"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real acquisition,C/N0/fix/timing with aggressors remain.</x:v>
      </x:c>
      <x:c r="J149" s="161" t="str">
        <x:v>lanes/emc/EMC_DESKTOP_REPORT.md
lanes/emc/REDLINE_DISPOSITIONS.json
lanes/emc/EMC_NUMERICAL_VERIFICATION.json
analyses/rf_i18/EXTENDED_NETWORK_RESULTS.json
analyses/mated_i18/RESULTS.json
iterations/I20_controlled_handoff/NATIVE_BINDING.json</x:v>
      </x:c>
      <x:c r="K149" s="62" t="str">
        <x:v>Rev B; characterize Rev A only within its approved bench limits</x:v>
      </x:c>
      <x:c r="L149" s="62" t="str">
        <x:v>S9</x:v>
      </x:c>
      <x:c r="M149" s="62" t="str">
        <x:v>https://www.mouser.com/datasheet/2/737/5186_PA1616D_Datasheet-3304326.pdf</x:v>
      </x:c>
      <x:c r="N149" s="70" t="str">
        <x:v>OPEN</x:v>
      </x:c>
    </x:row>
    <x:row r="150" ht="249" customHeight="1">
      <x:c r="A150" s="62" t="str">
        <x:v>GPS-14</x:v>
      </x:c>
      <x:c r="B150" s="62" t="str">
        <x:v>GPS module, timing and external antenna</x:v>
      </x:c>
      <x:c r="C150" s="65" t="str">
        <x:v>P1</x:v>
      </x:c>
      <x:c r="D150" s="62" t="str">
        <x:v>G1 Schematic</x:v>
      </x:c>
      <x:c r="E150" s="62" t="str">
        <x:v>Is U.FL mating, coax strain relief and external antenna cable routing mechanically supported?</x:v>
      </x:c>
      <x:c r="F150" s="62" t="str">
        <x:v>Exact connector/cable drawings and retention/service procedure avoid using the PCB socket as a strain anchor.</x:v>
      </x:c>
      <x:c r="G150" s="22" t="str">
        <x:v>CURRENT SOURCE OR MODEL WITH REMAINING CONDITIONS</x:v>
      </x:c>
      <x:c r="H150" s="22" t="str">
        <x:v>RVB22 coordinated engineering review</x:v>
      </x:c>
      <x:c r="I150" s="22"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
CRITERION: OPEN
DESKTOP: HARDWARE OR INSTALLATION ACCEPTANCE
REMAINING: actual retention/accessory identity remains.</x:v>
      </x:c>
      <x:c r="J150"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analyses/rf_i18/EXTENDED_NETWORK_RESULTS.json
analyses/mated_i18/RESULTS.json
iterations/I20_controlled_handoff/NATIVE_BINDING.json</x:v>
      </x:c>
      <x:c r="K150" s="62" t="str">
        <x:v>Rev B; characterize Rev A only within its approved bench limits</x:v>
      </x:c>
      <x:c r="L150" s="62" t="str">
        <x:v>S9</x:v>
      </x:c>
      <x:c r="M150" s="62" t="str">
        <x:v>https://www.mouser.com/datasheet/2/737/5186_PA1616D_Datasheet-3304326.pdf</x:v>
      </x:c>
      <x:c r="N150" s="70" t="str">
        <x:v>OPEN</x:v>
      </x:c>
    </x:row>
    <x:row r="151" ht="195" customHeight="1">
      <x:c r="A151" s="62" t="str">
        <x:v>BLE-01</x:v>
      </x:c>
      <x:c r="B151" s="62" t="str">
        <x:v>BLE RF and application transport</x:v>
      </x:c>
      <x:c r="C151" s="65" t="str">
        <x:v>P0</x:v>
      </x:c>
      <x:c r="D151" s="62" t="str">
        <x:v>G2 Layout</x:v>
      </x:c>
      <x:c r="E151" s="62" t="str">
        <x:v>Does the ESP32-S3 module antenna keepout remain valid across all board layers and nearby enclosure/harness hardware?</x:v>
      </x:c>
      <x:c r="F151" s="62" t="str">
        <x:v>Manufacturer keepout overlaid in 2D and checked in the assembled 3D environment.</x:v>
      </x:c>
      <x:c r="G151" s="22" t="str">
        <x:v>CLOSED BY ORIGINAL SCOPE</x:v>
      </x:c>
      <x:c r="H151" s="22" t="str">
        <x:v>RVB22 coordinated engineering review</x:v>
      </x:c>
      <x:c r="I151" s="22" t="str">
        <x:v>The manufacturer antenna region is preserved across all copper layers and the declared assembled solids. The C206 tab and the qualified cable/metal envelopes remain outside the antenna region.
CRITERION: CLOSED
DESKTOP: COMPLETED CURRENT SOURCE VERIFICATION
REMAINING: Original documentary, design-inspection or execution scope satisfied. Related supplier and physical criteria retain their own dispositions.</x:v>
      </x:c>
      <x:c r="J151" s="161" t="str">
        <x:v>analyses/mated_i18/RESULTS.json
analyses/service_i19/RESULTS.json
current/SOURCE_EFFECTIVITY.json</x:v>
      </x:c>
      <x:c r="K151" s="62" t="str">
        <x:v>Rev B; characterize Rev A only within its approved bench limits</x:v>
      </x:c>
      <x:c r="L151" s="62" t="str">
        <x:v>S2</x:v>
      </x:c>
      <x:c r="M151" s="62" t="str">
        <x:v>https://docs.espressif.com/projects/esp-hardware-design-guidelines/en/latest/esp32s3/pcb-layout-design.html</x:v>
      </x:c>
      <x:c r="N151" s="70" t="str">
        <x:v>CLOSED</x:v>
      </x:c>
    </x:row>
    <x:row r="152" ht="195" customHeight="1">
      <x:c r="A152" s="62" t="str">
        <x:v>BLE-02</x:v>
      </x:c>
      <x:c r="B152" s="62" t="str">
        <x:v>BLE RF and application transport</x:v>
      </x:c>
      <x:c r="C152" s="65" t="str">
        <x:v>P1</x:v>
      </x:c>
      <x:c r="D152" s="62" t="str">
        <x:v>G2 Layout</x:v>
      </x:c>
      <x:c r="E152" s="62" t="str">
        <x:v>Are ground copper and stitching present where required but excluded from the antenna's prohibited region?</x:v>
      </x:c>
      <x:c r="F152" s="62" t="str">
        <x:v>Separate RF ground and antenna-clearance reviews; no blanket pour or via fence through the antenna.</x:v>
      </x:c>
      <x:c r="G152" s="22" t="str">
        <x:v>CLOSED BY ORIGINAL SCOPE</x:v>
      </x:c>
      <x:c r="H152" s="22" t="str">
        <x:v>RVB22 coordinated engineering review</x:v>
      </x:c>
      <x:c r="I152" s="22" t="str">
        <x:v>Filled-copper inspection preserves the prohibited antenna region while retaining intended module/RF ground connections. Native parity and all 153 model placements pass.
CRITERION: CLOSED
DESKTOP: COMPLETED CURRENT SOURCE VERIFICATION
REMAINING: Original documentary, design-inspection or execution scope satisfied. Related supplier and physical criteria retain their own dispositions.</x:v>
      </x:c>
      <x:c r="J152" s="161" t="str">
        <x:v>analyses/manufacturing_i20/RESULTS.json
iterations/I20_controlled_handoff/NATIVE_BINDING.json
current/SOURCE_EFFECTIVITY.json</x:v>
      </x:c>
      <x:c r="K152" s="62" t="str">
        <x:v>Rev B; characterize Rev A only within its approved bench limits</x:v>
      </x:c>
      <x:c r="L152" s="62" t="str">
        <x:v>S2</x:v>
      </x:c>
      <x:c r="M152" s="62" t="str">
        <x:v>https://docs.espressif.com/projects/esp-hardware-design-guidelines/en/latest/esp32s3/pcb-layout-design.html</x:v>
      </x:c>
      <x:c r="N152" s="70" t="str">
        <x:v>CLOSED</x:v>
      </x:c>
    </x:row>
    <x:row r="153" ht="195" customHeight="1">
      <x:c r="A153" s="62" t="str">
        <x:v>BLE-03</x:v>
      </x:c>
      <x:c r="B153" s="62" t="str">
        <x:v>BLE RF and application transport</x:v>
      </x:c>
      <x:c r="C153" s="65" t="str">
        <x:v>P1</x:v>
      </x:c>
      <x:c r="D153" s="62" t="str">
        <x:v>G2 Layout</x:v>
      </x:c>
      <x:c r="E153" s="62" t="str">
        <x:v>Has placement near GPS, regulators, metal screws and vehicle structure been evaluated?</x:v>
      </x:c>
      <x:c r="F153" s="62" t="str">
        <x:v>Final-orientation range/throughput and self-interference tests.</x:v>
      </x:c>
      <x:c r="G153" s="22" t="str">
        <x:v>CURRENT SOURCE OR MODEL WITH REMAINING CONDITIONS</x:v>
      </x:c>
      <x:c r="H153" s="22" t="str">
        <x:v>RVB22 coordinated engineering review</x:v>
      </x:c>
      <x:c r="I15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range/throughput/self-interference tests remain.</x:v>
      </x:c>
      <x:c r="J153" s="161" t="str">
        <x:v>lanes/emc/EMC_DESKTOP_REPORT.md
lanes/emc/REDLINE_DISPOSITIONS.json
lanes/emc/EMC_NUMERICAL_VERIFICATION.json
analyses/mated_i18/RESULTS.json
analyses/service_i19/RESULTS.json
analyses/manufacturing_i20/RESULTS.json</x:v>
      </x:c>
      <x:c r="K153" s="62" t="str">
        <x:v>Rev B; characterize Rev A only within its approved bench limits</x:v>
      </x:c>
      <x:c r="L153" s="62" t="str">
        <x:v>S2</x:v>
      </x:c>
      <x:c r="M153" s="62" t="str">
        <x:v>https://docs.espressif.com/projects/esp-hardware-design-guidelines/en/latest/esp32s3/pcb-layout-design.html</x:v>
      </x:c>
      <x:c r="N153" s="70" t="str">
        <x:v>OPEN</x:v>
      </x:c>
    </x:row>
    <x:row r="154" ht="195" customHeight="1">
      <x:c r="A154" s="62" t="str">
        <x:v>BLE-04</x:v>
      </x:c>
      <x:c r="B154" s="62" t="str">
        <x:v>BLE RF and application transport</x:v>
      </x:c>
      <x:c r="C154" s="65" t="str">
        <x:v>P1</x:v>
      </x:c>
      <x:c r="D154" s="62" t="str">
        <x:v>G2 Layout</x:v>
      </x:c>
      <x:c r="E154" s="62" t="str">
        <x:v>Is BLE throughput sufficient for simultaneous CAN, GPS and oil traffic at the selected payload and connection settings?</x:v>
      </x:c>
      <x:c r="F154" s="62" t="str">
        <x:v>End-to-end byte-rate budget includes protocol overhead and worst phone behavior.</x:v>
      </x:c>
      <x:c r="G154" s="22" t="str">
        <x:v>CURRENT SOURCE OR MODEL WITH REMAINING CONDITIONS</x:v>
      </x:c>
      <x:c r="H154" s="22" t="str">
        <x:v>RVB22 coordinated engineering review</x:v>
      </x:c>
      <x:c r="I15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worst actual phone behavior cannot be bounded by host arithmetic alone.</x:v>
      </x:c>
      <x:c r="J154" s="161" t="str">
        <x:v>lanes/firmware_oil/RECOVERED_RELEASE_CHECKS.json
lanes/firmware_oil/RECOVERED_FIRMWARE_TEST_RESULTS.json
analyses/mated_i18/RESULTS.json
analyses/service_i19/RESULTS.json
analyses/manufacturing_i20/RESULTS.json</x:v>
      </x:c>
      <x:c r="K154" s="62" t="str">
        <x:v>Rev B; characterize Rev A only within its approved bench limits</x:v>
      </x:c>
      <x:c r="L154" s="62" t="str">
        <x:v>S2</x:v>
      </x:c>
      <x:c r="M154" s="62" t="str">
        <x:v>https://docs.espressif.com/projects/esp-hardware-design-guidelines/en/latest/esp32s3/pcb-layout-design.html</x:v>
      </x:c>
      <x:c r="N154" s="70" t="str">
        <x:v>OPEN</x:v>
      </x:c>
    </x:row>
    <x:row r="155" ht="249" customHeight="1">
      <x:c r="A155" s="62" t="str">
        <x:v>BLE-05</x:v>
      </x:c>
      <x:c r="B155" s="62" t="str">
        <x:v>BLE RF and application transport</x:v>
      </x:c>
      <x:c r="C155" s="65" t="str">
        <x:v>P1</x:v>
      </x:c>
      <x:c r="D155" s="62" t="str">
        <x:v>G2 Layout</x:v>
      </x:c>
      <x:c r="E155" s="62" t="str">
        <x:v>Is notification backpressure bounded without blocking acquisition or corrupting packet ordering?</x:v>
      </x:c>
      <x:c r="F155" s="62" t="str">
        <x:v>Queue policy, dropped-packet counters and congestion tests.</x:v>
      </x:c>
      <x:c r="G155" s="22" t="str">
        <x:v>CURRENT SOURCE OR MODEL WITH REMAINING CONDITIONS</x:v>
      </x:c>
      <x:c r="H155" s="22" t="str">
        <x:v>RVB22 coordinated engineering review</x:v>
      </x:c>
      <x:c r="I15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target BLE backpressure/congestion behavior remains.</x:v>
      </x:c>
      <x:c r="J155" s="161" t="str">
        <x:v>lanes/firmware_oil/RECOVERED_RELEASE_CHECKS.json
lanes/firmware_oil/RECOVERED_FIRMWARE_TEST_RESULTS.json
analyses/mated_i18/RESULTS.json
analyses/service_i19/RESULTS.json
analyses/manufacturing_i20/RESULTS.json</x:v>
      </x:c>
      <x:c r="K155" s="62" t="str">
        <x:v>Rev B; characterize Rev A only within its approved bench limits</x:v>
      </x:c>
      <x:c r="L155" s="62" t="str">
        <x:v>S2</x:v>
      </x:c>
      <x:c r="M155" s="62" t="str">
        <x:v>https://docs.espressif.com/projects/esp-hardware-design-guidelines/en/latest/esp32s3/pcb-layout-design.html</x:v>
      </x:c>
      <x:c r="N155" s="70" t="str">
        <x:v>OPEN</x:v>
      </x:c>
    </x:row>
    <x:row r="156" ht="195" customHeight="1">
      <x:c r="A156" s="62" t="str">
        <x:v>BLE-06</x:v>
      </x:c>
      <x:c r="B156" s="62" t="str">
        <x:v>BLE RF and application transport</x:v>
      </x:c>
      <x:c r="C156" s="65" t="str">
        <x:v>P1</x:v>
      </x:c>
      <x:c r="D156" s="62" t="str">
        <x:v>G2 Layout</x:v>
      </x:c>
      <x:c r="E156" s="62" t="str">
        <x:v>Are phone/app reconnect, out-of-range, app pause, screen lock and Bluetooth restart handled?</x:v>
      </x:c>
      <x:c r="F156" s="62" t="str">
        <x:v>Repeatable recovery matrix with actual target phone and RaceChrono versions.</x:v>
      </x:c>
      <x:c r="G156" s="22" t="str">
        <x:v>CURRENT SOURCE OR MODEL WITH REMAINING CONDITIONS</x:v>
      </x:c>
      <x:c r="H156" s="22" t="str">
        <x:v>RVB22 coordinated engineering review</x:v>
      </x:c>
      <x:c r="I15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phone/RaceChrono version recovery matrix remains.</x:v>
      </x:c>
      <x:c r="J156" s="161" t="str">
        <x:v>lanes/firmware_oil/RECOVERED_RELEASE_CHECKS.json
lanes/firmware_oil/RECOVERED_FIRMWARE_TEST_RESULTS.json
analyses/mated_i18/RESULTS.json
analyses/service_i19/RESULTS.json
analyses/manufacturing_i20/RESULTS.json</x:v>
      </x:c>
      <x:c r="K156" s="62" t="str">
        <x:v>Rev B; characterize Rev A only within its approved bench limits</x:v>
      </x:c>
      <x:c r="L156" s="62" t="str">
        <x:v>S2</x:v>
      </x:c>
      <x:c r="M156" s="62" t="str">
        <x:v>https://docs.espressif.com/projects/esp-hardware-design-guidelines/en/latest/esp32s3/pcb-layout-design.html</x:v>
      </x:c>
      <x:c r="N156" s="70" t="str">
        <x:v>OPEN</x:v>
      </x:c>
    </x:row>
    <x:row r="157" ht="195" customHeight="1">
      <x:c r="A157" s="62" t="str">
        <x:v>BLE-07</x:v>
      </x:c>
      <x:c r="B157" s="62" t="str">
        <x:v>BLE RF and application transport</x:v>
      </x:c>
      <x:c r="C157" s="65" t="str">
        <x:v>P1</x:v>
      </x:c>
      <x:c r="D157" s="62" t="str">
        <x:v>G2 Layout</x:v>
      </x:c>
      <x:c r="E157" s="62" t="str">
        <x:v>Are pairing/bonding behavior and the historical workaround resolved or clearly retained as a limitation?</x:v>
      </x:c>
      <x:c r="F157" s="62" t="str">
        <x:v>Exact software baseline and reproducible connection tests; no unsupported claim of closure.</x:v>
      </x:c>
      <x:c r="G157" s="22" t="str">
        <x:v>CURRENT SOURCE OR MODEL WITH REMAINING CONDITIONS</x:v>
      </x:c>
      <x:c r="H157" s="22" t="str">
        <x:v>RVB22 coordinated engineering review</x:v>
      </x:c>
      <x:c r="I15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Exact software baseline and reproducible connection tests; no unsupported claim of closure.</x:v>
      </x:c>
      <x:c r="J157" s="161" t="str">
        <x:v>runtime/final_I06_actual_preflight/RESULT.json
runtime/run_native_candidate.py
analyses/mated_i18/RESULTS.json
analyses/service_i19/RESULTS.json
analyses/manufacturing_i20/RESULTS.json</x:v>
      </x:c>
      <x:c r="K157" s="62" t="str">
        <x:v>Rev B; characterize Rev A only within its approved bench limits</x:v>
      </x:c>
      <x:c r="L157" s="62" t="str">
        <x:v>S2</x:v>
      </x:c>
      <x:c r="M157" s="62" t="str">
        <x:v>https://docs.espressif.com/projects/esp-hardware-design-guidelines/en/latest/esp32s3/pcb-layout-design.html</x:v>
      </x:c>
      <x:c r="N157" s="70" t="str">
        <x:v>OPEN</x:v>
      </x:c>
    </x:row>
    <x:row r="158" ht="195" customHeight="1">
      <x:c r="A158" s="62" t="str">
        <x:v>BLE-08</x:v>
      </x:c>
      <x:c r="B158" s="62" t="str">
        <x:v>BLE RF and application transport</x:v>
      </x:c>
      <x:c r="C158" s="65" t="str">
        <x:v>P1</x:v>
      </x:c>
      <x:c r="D158" s="62" t="str">
        <x:v>G2 Layout</x:v>
      </x:c>
      <x:c r="E158" s="62" t="str">
        <x:v>Are BLE-driven current bursts included in rail integrity and reset testing?</x:v>
      </x:c>
      <x:c r="F158" s="62" t="str">
        <x:v>Scope captures at ESP supply and EN while advertising, connecting and streaming.</x:v>
      </x:c>
      <x:c r="G158" s="22" t="str">
        <x:v>CURRENT SOURCE OR MODEL WITH REMAINING CONDITIONS</x:v>
      </x:c>
      <x:c r="H158" s="22" t="str">
        <x:v>RVB22 coordinated engineering review</x:v>
      </x:c>
      <x:c r="I15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ESP advertising/streaming rail scope captures remain.</x:v>
      </x:c>
      <x:c r="J158" s="161" t="str">
        <x:v>lanes/power/FINAL_I04_POWER_EFFECTIVITY.json
lanes/power/COUPLED_STARTUP_ENVELOPE.json
lanes/power_limits/POWER_LIMITS_SUMMARY.json
analyses/mated_i18/RESULTS.json
analyses/service_i19/RESULTS.json
analyses/manufacturing_i20/RESULTS.json</x:v>
      </x:c>
      <x:c r="K158" s="62" t="str">
        <x:v>Rev B; characterize Rev A only within its approved bench limits</x:v>
      </x:c>
      <x:c r="L158" s="62" t="str">
        <x:v>S2</x:v>
      </x:c>
      <x:c r="M158" s="62" t="str">
        <x:v>https://docs.espressif.com/projects/esp-hardware-design-guidelines/en/latest/esp32s3/pcb-layout-design.html</x:v>
      </x:c>
      <x:c r="N158" s="70" t="str">
        <x:v>OPEN</x:v>
      </x:c>
    </x:row>
    <x:row r="159" ht="205" customHeight="1">
      <x:c r="A159" s="62" t="str">
        <x:v>BLE-09</x:v>
      </x:c>
      <x:c r="B159" s="62" t="str">
        <x:v>BLE RF and application transport</x:v>
      </x:c>
      <x:c r="C159" s="65" t="str">
        <x:v>P1</x:v>
      </x:c>
      <x:c r="D159" s="62" t="str">
        <x:v>G2 Layout</x:v>
      </x:c>
      <x:c r="E159" s="62" t="str">
        <x:v>Are writable wireless commands authenticated/limited so telemetry configuration cannot become a vehicle-control path?</x:v>
      </x:c>
      <x:c r="F159" s="62" t="str">
        <x:v>Command permissions, malformed-input tests and separation from CAN transmit functions.</x:v>
      </x:c>
      <x:c r="G159" s="22" t="str">
        <x:v>CLOSED BY ORIGINAL SCOPE</x:v>
      </x:c>
      <x:c r="H159" s="22" t="str">
        <x:v>RVB22 coordinated engineering review</x:v>
      </x:c>
      <x:c r="I15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59" s="161" t="str">
        <x:v>lanes/firmware_oil/RECOVERED_RELEASE_CHECKS.json
lanes/firmware_oil/RECOVERED_FIRMWARE_TEST_RESULTS.json
lanes/firmware_oil/FINAL_I04_OIL_FIRMWARE_EFFECTIVITY.json
analyses/mated_i18/RESULTS.json
analyses/service_i19/RESULTS.json
analyses/manufacturing_i20/RESULTS.json</x:v>
      </x:c>
      <x:c r="K159" s="62" t="str">
        <x:v>Rev B; characterize Rev A only within its approved bench limits</x:v>
      </x:c>
      <x:c r="L159" s="62" t="str">
        <x:v>S2</x:v>
      </x:c>
      <x:c r="M159" s="62" t="str">
        <x:v>https://docs.espressif.com/projects/esp-hardware-design-guidelines/en/latest/esp32s3/pcb-layout-design.html</x:v>
      </x:c>
      <x:c r="N159" s="70" t="str">
        <x:v>CLOSED</x:v>
      </x:c>
    </x:row>
    <x:row r="160" ht="195" customHeight="1">
      <x:c r="A160" s="62" t="str">
        <x:v>BLE-10</x:v>
      </x:c>
      <x:c r="B160" s="62" t="str">
        <x:v>BLE RF and application transport</x:v>
      </x:c>
      <x:c r="C160" s="65" t="str">
        <x:v>P1</x:v>
      </x:c>
      <x:c r="D160" s="62" t="str">
        <x:v>G2 Layout</x:v>
      </x:c>
      <x:c r="E160" s="62" t="str">
        <x:v>For distribution beyond a private prototype, are host integration and radio authorization obligations reviewed?</x:v>
      </x:c>
      <x:c r="F160" s="62" t="str">
        <x:v>Applicable market/module integration review with qualified compliance input; no assumption that module approval covers the entire product.</x:v>
      </x:c>
      <x:c r="G160" s="22" t="str">
        <x:v>CURRENT SOURCE OR MODEL WITH REMAINING CONDITIONS</x:v>
      </x:c>
      <x:c r="H160" s="22" t="str">
        <x:v>RVB22 coordinated engineering review</x:v>
      </x:c>
      <x:c r="I16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market-specific qualified compliance input and approval remain.</x:v>
      </x:c>
      <x:c r="J160" s="161" t="str">
        <x:v>analyses/installation/DASHBOARD_EXPOSURE_AND_SERVICE.md
lanes/mechanics/MECHANICAL_INSTALLATION_RVB22.md
analyses/mated_i18/RESULTS.json
analyses/service_i19/RESULTS.json
analyses/manufacturing_i20/RESULTS.json</x:v>
      </x:c>
      <x:c r="K160" s="62" t="str">
        <x:v>Rev B; characterize Rev A only within its approved bench limits</x:v>
      </x:c>
      <x:c r="L160" s="62" t="str">
        <x:v>S2</x:v>
      </x:c>
      <x:c r="M160" s="62" t="str">
        <x:v>https://docs.espressif.com/projects/esp-hardware-design-guidelines/en/latest/esp32s3/pcb-layout-design.html</x:v>
      </x:c>
      <x:c r="N160" s="70" t="str">
        <x:v>OPEN</x:v>
      </x:c>
    </x:row>
    <x:row r="161" ht="195" customHeight="1">
      <x:c r="A161" s="62" t="str">
        <x:v>MCU-01</x:v>
      </x:c>
      <x:c r="B161" s="62" t="str">
        <x:v>MCU, programming and debug</x:v>
      </x:c>
      <x:c r="C161" s="65" t="str">
        <x:v>P0</x:v>
      </x:c>
      <x:c r="D161" s="62" t="str">
        <x:v>G1 Schematic</x:v>
      </x:c>
      <x:c r="E161" s="62" t="str">
        <x:v>Is every firmware-used GPIO mapped to its real ESP32-S3 module pad, direction and boot restriction?</x:v>
      </x:c>
      <x:c r="F161" s="62" t="str">
        <x:v>Physical pin map and firmware allocation table match the reviewed assembly.</x:v>
      </x:c>
      <x:c r="G161" s="22" t="str">
        <x:v>CLOSED BY ORIGINAL SCOPE</x:v>
      </x:c>
      <x:c r="H161" s="22" t="str">
        <x:v>RVB22 coordinated engineering review</x:v>
      </x:c>
      <x:c r="I161"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1" s="161" t="str">
        <x:v>lanes/firmware_oil/RECOVERED_RELEASE_CHECKS.json
lanes/firmware_oil/RECOVERED_FIRMWARE_TEST_RESULTS.json
lanes/firmware_oil/FINAL_I04_OIL_FIRMWARE_EFFECTIVITY.json
iterations/I20_controlled_handoff/NATIVE_BINDING.json
current/SOURCE_EFFECTIVITY.json
analyses/service_i19/RESULTS.json</x:v>
      </x:c>
      <x:c r="K161" s="62" t="str">
        <x:v>Rev B; characterize Rev A only within its approved bench limits</x:v>
      </x:c>
      <x:c r="L161" s="62" t="str">
        <x:v>S11</x:v>
      </x:c>
      <x:c r="M161" s="62" t="str">
        <x:v>https://www.tag-connect.com/product/tc2030-idc-nl</x:v>
      </x:c>
      <x:c r="N161" s="70" t="str">
        <x:v>CLOSED</x:v>
      </x:c>
    </x:row>
    <x:row r="162" ht="195" customHeight="1">
      <x:c r="A162" s="62" t="str">
        <x:v>MCU-02</x:v>
      </x:c>
      <x:c r="B162" s="62" t="str">
        <x:v>MCU, programming and debug</x:v>
      </x:c>
      <x:c r="C162" s="65" t="str">
        <x:v>P0</x:v>
      </x:c>
      <x:c r="D162" s="62" t="str">
        <x:v>G1 Schematic</x:v>
      </x:c>
      <x:c r="E162" s="62" t="str">
        <x:v>Is the TC2030 cable view, pad numbering, locating-hole orientation and mating geometry unambiguous?</x:v>
      </x:c>
      <x:c r="F162" s="62" t="str">
        <x:v>Manufacturer footprint and cable pinout checked against actual adapter continuity.</x:v>
      </x:c>
      <x:c r="G162" s="22" t="str">
        <x:v>CURRENT SOURCE OR MODEL WITH REMAINING CONDITIONS</x:v>
      </x:c>
      <x:c r="H162" s="22" t="str">
        <x:v>RVB22 coordinated engineering review</x:v>
      </x:c>
      <x:c r="I162"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actual adapter continuity remains.</x:v>
      </x:c>
      <x:c r="J162" s="161" t="str">
        <x:v>interfaces/HARNESS_INTERFACE_CONTRACT.json
interfaces/HARNESS_CHECKS.json
analyses/harness_wire/HARNESS_WIRE_DELTA.json
iterations/I20_controlled_handoff/NATIVE_BINDING.json
current/SOURCE_EFFECTIVITY.json
analyses/service_i19/RESULTS.json</x:v>
      </x:c>
      <x:c r="K162" s="62" t="str">
        <x:v>Rev B; characterize Rev A only within its approved bench limits</x:v>
      </x:c>
      <x:c r="L162" s="62" t="str">
        <x:v>S11</x:v>
      </x:c>
      <x:c r="M162" s="62" t="str">
        <x:v>https://www.tag-connect.com/product/tc2030-idc-nl</x:v>
      </x:c>
      <x:c r="N162" s="70" t="str">
        <x:v>OPEN</x:v>
      </x:c>
    </x:row>
    <x:row r="163" ht="195" customHeight="1">
      <x:c r="A163" s="62" t="str">
        <x:v>MCU-03</x:v>
      </x:c>
      <x:c r="B163" s="62" t="str">
        <x:v>MCU, programming and debug</x:v>
      </x:c>
      <x:c r="C163" s="65" t="str">
        <x:v>P0</x:v>
      </x:c>
      <x:c r="D163" s="62" t="str">
        <x:v>G1 Schematic</x:v>
      </x:c>
      <x:c r="E163" s="62" t="str">
        <x:v>Are programming logic levels and VTREF purpose clear, without an accidental 5 V supply connection?</x:v>
      </x:c>
      <x:c r="F163" s="62" t="str">
        <x:v>Programmer interface contract and labeled adapter drawing define sense versus power pins.</x:v>
      </x:c>
      <x:c r="G163" s="22" t="str">
        <x:v>CLOSED BY ORIGINAL SCOPE</x:v>
      </x:c>
      <x:c r="H163" s="22" t="str">
        <x:v>RVB22 coordinated engineering review</x:v>
      </x:c>
      <x:c r="I163"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3" s="161" t="str">
        <x:v>control/RVB22_BRING_UP_AND_MEASUREMENT_CONTRACT.md
control/BRINGUP_SCHEMATIC_TEXT_DELTA.json
control/BRINGUP_ACTUAL_NODE_INDEX.json
control/FINAL_I04_BRINGUP_BINDING.json
iterations/I20_controlled_handoff/NATIVE_BINDING.json
current/SOURCE_EFFECTIVITY.json
analyses/service_i19/RESULTS.json</x:v>
      </x:c>
      <x:c r="K163" s="62" t="str">
        <x:v>Rev B; characterize Rev A only within its approved bench limits</x:v>
      </x:c>
      <x:c r="L163" s="62" t="str">
        <x:v>S11</x:v>
      </x:c>
      <x:c r="M163" s="62" t="str">
        <x:v>https://www.tag-connect.com/product/tc2030-idc-nl</x:v>
      </x:c>
      <x:c r="N163" s="70" t="str">
        <x:v>CLOSED</x:v>
      </x:c>
    </x:row>
    <x:row r="164" ht="205" customHeight="1">
      <x:c r="A164" s="62" t="str">
        <x:v>MCU-04</x:v>
      </x:c>
      <x:c r="B164" s="62" t="str">
        <x:v>MCU, programming and debug</x:v>
      </x:c>
      <x:c r="C164" s="65" t="str">
        <x:v>P1</x:v>
      </x:c>
      <x:c r="D164" s="62" t="str">
        <x:v>G1 Schematic</x:v>
      </x:c>
      <x:c r="E164" s="62" t="str">
        <x:v>Can normal boot and programming be performed repeatably without touching a bare MCU pin?</x:v>
      </x:c>
      <x:c r="F164" s="62" t="str">
        <x:v>Manual EN/BOOT sequence or verified auto-program circuit demonstrated over repeated cycles.</x:v>
      </x:c>
      <x:c r="G164" s="22" t="str">
        <x:v>CURRENT SOURCE OR MODEL WITH REMAINING CONDITIONS</x:v>
      </x:c>
      <x:c r="H164" s="22" t="str">
        <x:v>RVB22 coordinated engineering review</x:v>
      </x:c>
      <x:c r="I164"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repeated assembled programming demonstration remains.</x:v>
      </x:c>
      <x:c r="J164" s="161" t="str">
        <x:v>control/FINAL_I04_BRINGUP_BINDING.json
control/RVB22_BRING_UP_AND_MEASUREMENT_CONTRACT.md
control/BRINGUP_ACTUAL_NODE_INDEX.json
iterations/I20_controlled_handoff/NATIVE_BINDING.json
current/SOURCE_EFFECTIVITY.json
analyses/service_i19/RESULTS.json</x:v>
      </x:c>
      <x:c r="K164" s="62" t="str">
        <x:v>Rev B; characterize Rev A only within its approved bench limits</x:v>
      </x:c>
      <x:c r="L164" s="62" t="str">
        <x:v>S11</x:v>
      </x:c>
      <x:c r="M164" s="62" t="str">
        <x:v>https://www.tag-connect.com/product/tc2030-idc-nl</x:v>
      </x:c>
      <x:c r="N164" s="70" t="str">
        <x:v>OPEN</x:v>
      </x:c>
    </x:row>
    <x:row r="165" ht="195" customHeight="1">
      <x:c r="A165" s="62" t="str">
        <x:v>MCU-05</x:v>
      </x:c>
      <x:c r="B165" s="62" t="str">
        <x:v>MCU, programming and debug</x:v>
      </x:c>
      <x:c r="C165" s="65" t="str">
        <x:v>P1</x:v>
      </x:c>
      <x:c r="D165" s="62" t="str">
        <x:v>G1 Schematic</x:v>
      </x:c>
      <x:c r="E165" s="62" t="str">
        <x:v>Are Tag-Connect contact pads, locating holes and any bottom retention clip accessible after assembly?</x:v>
      </x:c>
      <x:c r="F165" s="62" t="str">
        <x:v>3D/mechanical fit and physical access check for selected cable variant.</x:v>
      </x:c>
      <x:c r="G165" s="22" t="str">
        <x:v>CURRENT SOURCE OR MODEL WITH REMAINING CONDITIONS</x:v>
      </x:c>
      <x:c r="H165" s="22" t="str">
        <x:v>RVB22 coordinated engineering review</x:v>
      </x:c>
      <x:c r="I165"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3D/mechanical fit and physical access check for selected cable variant.</x:v>
      </x:c>
      <x:c r="J165"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iterations/I20_controlled_handoff/NATIVE_BINDING.json
current/SOURCE_EFFECTIVITY.json
analyses/service_i19/RESULTS.json</x:v>
      </x:c>
      <x:c r="K165" s="62" t="str">
        <x:v>Rev B; characterize Rev A only within its approved bench limits</x:v>
      </x:c>
      <x:c r="L165" s="62" t="str">
        <x:v>S11</x:v>
      </x:c>
      <x:c r="M165" s="62" t="str">
        <x:v>https://www.tag-connect.com/product/tc2030-idc-nl</x:v>
      </x:c>
      <x:c r="N165" s="70" t="str">
        <x:v>OPEN</x:v>
      </x:c>
    </x:row>
    <x:row r="166" ht="195" customHeight="1">
      <x:c r="A166" s="62" t="str">
        <x:v>MCU-06</x:v>
      </x:c>
      <x:c r="B166" s="62" t="str">
        <x:v>MCU, programming and debug</x:v>
      </x:c>
      <x:c r="C166" s="65" t="str">
        <x:v>P1</x:v>
      </x:c>
      <x:c r="D166" s="62" t="str">
        <x:v>G1 Schematic</x:v>
      </x:c>
      <x:c r="E166" s="62" t="str">
        <x:v>Are extra bottom headers/test pads necessary and fully documented rather than unexplained duplicate interfaces?</x:v>
      </x:c>
      <x:c r="F166" s="62" t="str">
        <x:v>Purpose, population, allowed power and pinout defined for each header; unused features removed or marked DNP.</x:v>
      </x:c>
      <x:c r="G166" s="22" t="str">
        <x:v>CLOSED BY ORIGINAL SCOPE</x:v>
      </x:c>
      <x:c r="H166" s="22" t="str">
        <x:v>RVB22 coordinated engineering review</x:v>
      </x:c>
      <x:c r="I166" s="22"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
CRITERION: CLOSED
DESKTOP: CURRENT EVIDENCE REVIEWED
REMAINING: </x:v>
      </x:c>
      <x:c r="J166" s="161" t="str">
        <x:v>iterations/I06_harness_handoff/CANDIDATE_MANIFEST.json
iterations/I20_controlled_handoff/NATIVE_BINDING.json
current/SOURCE_EFFECTIVITY.json
analyses/service_i19/RESULTS.json</x:v>
      </x:c>
      <x:c r="K166" s="62" t="str">
        <x:v>Rev B; characterize Rev A only within its approved bench limits</x:v>
      </x:c>
      <x:c r="L166" s="62" t="str">
        <x:v>S11</x:v>
      </x:c>
      <x:c r="M166" s="62" t="str">
        <x:v>https://www.tag-connect.com/product/tc2030-idc-nl</x:v>
      </x:c>
      <x:c r="N166" s="70" t="str">
        <x:v>CLOSED</x:v>
      </x:c>
    </x:row>
    <x:row r="167" ht="195" customHeight="1">
      <x:c r="A167" s="62" t="str">
        <x:v>MCU-07</x:v>
      </x:c>
      <x:c r="B167" s="62" t="str">
        <x:v>MCU, programming and debug</x:v>
      </x:c>
      <x:c r="C167" s="65" t="str">
        <x:v>P1</x:v>
      </x:c>
      <x:c r="D167" s="62" t="str">
        <x:v>G1 Schematic</x:v>
      </x:c>
      <x:c r="E167" s="62" t="str">
        <x:v>Can the board recover from interrupted flashing or invalid application firmware?</x:v>
      </x:c>
      <x:c r="F167" s="62" t="str">
        <x:v>Bootloader/recovery test and accessible service procedure.</x:v>
      </x:c>
      <x:c r="G167" s="22" t="str">
        <x:v>CURRENT SOURCE OR MODEL WITH REMAINING CONDITIONS</x:v>
      </x:c>
      <x:c r="H167" s="22" t="str">
        <x:v>RVB22 coordinated engineering review</x:v>
      </x:c>
      <x:c r="I167"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target bootloader/recovery demonstration remains.</x:v>
      </x:c>
      <x:c r="J167" s="161" t="str">
        <x:v>control/FINAL_I04_BRINGUP_BINDING.json
control/RVB22_BRING_UP_AND_MEASUREMENT_CONTRACT.md
control/BRINGUP_ACTUAL_NODE_INDEX.json
iterations/I20_controlled_handoff/NATIVE_BINDING.json
current/SOURCE_EFFECTIVITY.json
analyses/service_i19/RESULTS.json</x:v>
      </x:c>
      <x:c r="K167" s="62" t="str">
        <x:v>Rev B; characterize Rev A only within its approved bench limits</x:v>
      </x:c>
      <x:c r="L167" s="62" t="str">
        <x:v>S11</x:v>
      </x:c>
      <x:c r="M167" s="62" t="str">
        <x:v>https://www.tag-connect.com/product/tc2030-idc-nl</x:v>
      </x:c>
      <x:c r="N167" s="70" t="str">
        <x:v>OPEN</x:v>
      </x:c>
    </x:row>
    <x:row r="168" ht="195" customHeight="1">
      <x:c r="A168" s="62" t="str">
        <x:v>MCU-08</x:v>
      </x:c>
      <x:c r="B168" s="62" t="str">
        <x:v>MCU, programming and debug</x:v>
      </x:c>
      <x:c r="C168" s="65" t="str">
        <x:v>P1</x:v>
      </x:c>
      <x:c r="D168" s="62" t="str">
        <x:v>G1 Schematic</x:v>
      </x:c>
      <x:c r="E168" s="62" t="str">
        <x:v>Are programming, debug and test-only capabilities prevented from defeating the vehicle operating restrictions?</x:v>
      </x:c>
      <x:c r="F168" s="62" t="str">
        <x:v>Build/profile and hardware-default controls with independent configuration checks.</x:v>
      </x:c>
      <x:c r="G168" s="22" t="str">
        <x:v>CLOSED BY ORIGINAL SCOPE</x:v>
      </x:c>
      <x:c r="H168" s="22" t="str">
        <x:v>RVB22 coordinated engineering review</x:v>
      </x:c>
      <x:c r="I168" s="22" t="str">
        <x:v>Current vehicle profile, no-transmit restrictions and debug defaults are bound to the reviewed host configuration checks and the pinned target image. This closes the configuration criterion, not a vehicle transmission measurement.
CRITERION: CLOSED
DESKTOP: COMPLETED CURRENT SOURCE VERIFICATION
REMAINING: Original documentary, design-inspection or execution scope satisfied. Related supplier and physical criteria retain their own dispositions.</x:v>
      </x:c>
      <x:c r="J168" s="161" t="str">
        <x:v>lanes/firmware_oil/RECOVERED_RELEASE_CHECKS.json
current/SOURCE_EFFECTIVITY.json
iterations/I20_controlled_handoff/NATIVE_BINDING.json</x:v>
      </x:c>
      <x:c r="K168" s="62" t="str">
        <x:v>Rev B; characterize Rev A only within its approved bench limits</x:v>
      </x:c>
      <x:c r="L168" s="62" t="str">
        <x:v>S11</x:v>
      </x:c>
      <x:c r="M168" s="62" t="str">
        <x:v>https://www.tag-connect.com/product/tc2030-idc-nl</x:v>
      </x:c>
      <x:c r="N168" s="70" t="str">
        <x:v>CLOSED</x:v>
      </x:c>
    </x:row>
    <x:row r="169" ht="195" customHeight="1">
      <x:c r="A169" s="62" t="str">
        <x:v>MCU-09</x:v>
      </x:c>
      <x:c r="B169" s="62" t="str">
        <x:v>MCU, programming and debug</x:v>
      </x:c>
      <x:c r="C169" s="65" t="str">
        <x:v>P1</x:v>
      </x:c>
      <x:c r="D169" s="62" t="str">
        <x:v>G1 Schematic</x:v>
      </x:c>
      <x:c r="E169" s="62" t="str">
        <x:v>Are unused inputs, boot-sensitive pins and mode controls given defined states as required?</x:v>
      </x:c>
      <x:c r="F169" s="62" t="str">
        <x:v>Exact-device pin review and startup testing with all external devices connected.</x:v>
      </x:c>
      <x:c r="G169" s="22" t="str">
        <x:v>CURRENT SOURCE OR MODEL WITH REMAINING CONDITIONS</x:v>
      </x:c>
      <x:c r="H169" s="22" t="str">
        <x:v>RVB22 coordinated engineering review</x:v>
      </x:c>
      <x:c r="I169"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actual all-device startup remains.</x:v>
      </x:c>
      <x:c r="J169" s="161" t="str">
        <x:v>lanes/firmware_oil/RECOVERED_RELEASE_CHECKS.json
lanes/firmware_oil/RECOVERED_FIRMWARE_TEST_RESULTS.json
iterations/I20_controlled_handoff/NATIVE_BINDING.json
current/SOURCE_EFFECTIVITY.json
analyses/service_i19/RESULTS.json</x:v>
      </x:c>
      <x:c r="K169" s="62" t="str">
        <x:v>Rev B; characterize Rev A only within its approved bench limits</x:v>
      </x:c>
      <x:c r="L169" s="62" t="str">
        <x:v>S11</x:v>
      </x:c>
      <x:c r="M169" s="62" t="str">
        <x:v>https://www.tag-connect.com/product/tc2030-idc-nl</x:v>
      </x:c>
      <x:c r="N169" s="70" t="str">
        <x:v>OPEN</x:v>
      </x:c>
    </x:row>
    <x:row r="170" ht="271" customHeight="1">
      <x:c r="A170" s="62" t="str">
        <x:v>MCU-10</x:v>
      </x:c>
      <x:c r="B170" s="62" t="str">
        <x:v>MCU, programming and debug</x:v>
      </x:c>
      <x:c r="C170" s="65" t="str">
        <x:v>P1</x:v>
      </x:c>
      <x:c r="D170" s="62" t="str">
        <x:v>G1 Schematic</x:v>
      </x:c>
      <x:c r="E170" s="62" t="str">
        <x:v>Are diagnostic outputs useful enough to distinguish rail, reset, transport and parser failures?</x:v>
      </x:c>
      <x:c r="F170" s="62" t="str">
        <x:v>Status/LED meanings, serial logs and test points map to actual measurable behavior.</x:v>
      </x:c>
      <x:c r="G170" s="22" t="str">
        <x:v>CURRENT SOURCE OR MODEL WITH REMAINING CONDITIONS</x:v>
      </x:c>
      <x:c r="H170" s="22" t="str">
        <x:v>RVB22 coordinated engineering review</x:v>
      </x:c>
      <x:c r="I170" s="22"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
CRITERION: OPEN
DESKTOP: HARDWARE OR INSTALLATION ACCEPTANCE
REMAINING: unit behavior-to-physical-measurement correlation remains.</x:v>
      </x:c>
      <x:c r="J170" s="161" t="str">
        <x:v>lanes/firmware_oil/RECOVERED_RELEASE_CHECKS.json
lanes/firmware_oil/RECOVERED_FIRMWARE_TEST_RESULTS.json
iterations/I20_controlled_handoff/NATIVE_BINDING.json
current/SOURCE_EFFECTIVITY.json
analyses/service_i19/RESULTS.json</x:v>
      </x:c>
      <x:c r="K170" s="62" t="str">
        <x:v>Rev B; characterize Rev A only within its approved bench limits</x:v>
      </x:c>
      <x:c r="L170" s="62" t="str">
        <x:v>S11</x:v>
      </x:c>
      <x:c r="M170" s="62" t="str">
        <x:v>https://www.tag-connect.com/product/tc2030-idc-nl</x:v>
      </x:c>
      <x:c r="N170" s="70" t="str">
        <x:v>OPEN</x:v>
      </x:c>
    </x:row>
    <x:row r="171" ht="195" customHeight="1">
      <x:c r="A171" s="62" t="str">
        <x:v>FW-01</x:v>
      </x:c>
      <x:c r="B171" s="62" t="str">
        <x:v>Firmware, timing and data integrity</x:v>
      </x:c>
      <x:c r="C171" s="65" t="str">
        <x:v>P0</x:v>
      </x:c>
      <x:c r="D171" s="62" t="str">
        <x:v>G3 Fabrication</x:v>
      </x:c>
      <x:c r="E171" s="62" t="str">
        <x:v>Is the hardware-to-firmware contract frozen for GPIOs, polarity, scaling, boot controls and rail assumptions?</x:v>
      </x:c>
      <x:c r="F171" s="62" t="str">
        <x:v>Compatibility matrix covers Rev A bodges and each Rev B population without silently reusing wrong constants.</x:v>
      </x:c>
      <x:c r="G171" s="22" t="str">
        <x:v>CLOSED BY ORIGINAL SCOPE</x:v>
      </x:c>
      <x:c r="H171" s="22" t="str">
        <x:v>RVB22 coordinated engineering review</x:v>
      </x:c>
      <x:c r="I171"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CURRENT EVIDENCE REVIEWED
REMAINING: </x:v>
      </x:c>
      <x:c r="J171" s="161" t="str">
        <x:v>lanes/firmware_oil/RECOVERED_RELEASE_CHECKS.json
lanes/firmware_oil/RECOVERED_FIRMWARE_TEST_RESULTS.json
lanes/firmware_oil/FINAL_I04_OIL_FIRMWARE_EFFECTIVITY.json
iterations/I20_controlled_handoff/NATIVE_BINDING.json
current/SOURCE_EFFECTIVITY.json</x:v>
      </x:c>
      <x:c r="K171" s="62" t="str">
        <x:v>Rev B; characterize Rev A only within its approved bench limits</x:v>
      </x:c>
      <x:c r="L171" s="62" t="str">
        <x:v>R2</x:v>
      </x:c>
      <x:c r="M171" s="62" t="str"/>
      <x:c r="N171" s="70" t="str">
        <x:v>CLOSED</x:v>
      </x:c>
    </x:row>
    <x:row r="172" ht="195" customHeight="1">
      <x:c r="A172" s="62" t="str">
        <x:v>FW-02</x:v>
      </x:c>
      <x:c r="B172" s="62" t="str">
        <x:v>Firmware, timing and data integrity</x:v>
      </x:c>
      <x:c r="C172" s="65" t="str">
        <x:v>P1</x:v>
      </x:c>
      <x:c r="D172" s="62" t="str">
        <x:v>G3 Fabrication</x:v>
      </x:c>
      <x:c r="E172" s="62" t="str">
        <x:v>Are exact compiler/core/BLE library versions and build options reproducible?</x:v>
      </x:c>
      <x:c r="F172" s="62" t="str">
        <x:v>Source commit, dependency lock and build manifest accompany the tested binary.</x:v>
      </x:c>
      <x:c r="G172" s="22" t="str">
        <x:v>CLOSED BY ORIGINAL SCOPE</x:v>
      </x:c>
      <x:c r="H172" s="22" t="str">
        <x:v>RVB22 coordinated engineering review</x:v>
      </x:c>
      <x:c r="I172" s="22" t="str">
        <x:v>Arduino CLI 1.3.1, ESP32 core 3.3.6 and NimBLE 2.3.6 produced the archived ELF and application binary. All 32 firmware inputs and every archived output hash match.
CRITERION: CLOSED
DESKTOP: COMPLETED CURRENT SOURCE VERIFICATION
REMAINING: Original documentary, design-inspection or execution scope satisfied. Related supplier and physical criteria retain their own dispositions.</x:v>
      </x:c>
      <x:c r="J172" s="161" t="str">
        <x:v>iterations/I20_controlled_handoff/NATIVE_BINDING.json
current/I21_SOURCE_VERIFICATION.json
current/SOURCE_EFFECTIVITY.json</x:v>
      </x:c>
      <x:c r="K172" s="62" t="str">
        <x:v>Rev B; characterize Rev A only within its approved bench limits</x:v>
      </x:c>
      <x:c r="L172" s="62" t="str">
        <x:v>R2</x:v>
      </x:c>
      <x:c r="M172" s="62" t="str"/>
      <x:c r="N172" s="70" t="str">
        <x:v>CLOSED</x:v>
      </x:c>
    </x:row>
    <x:row r="173" ht="260" customHeight="1">
      <x:c r="A173" s="62" t="str">
        <x:v>FW-03</x:v>
      </x:c>
      <x:c r="B173" s="62" t="str">
        <x:v>Firmware, timing and data integrity</x:v>
      </x:c>
      <x:c r="C173" s="65" t="str">
        <x:v>P1</x:v>
      </x:c>
      <x:c r="D173" s="62" t="str">
        <x:v>G3 Fabrication</x:v>
      </x:c>
      <x:c r="E173" s="62" t="str">
        <x:v>Are CAN capture, UART parsing, PPS handling, ADC sampling and BLE transmission bounded under simultaneous load?</x:v>
      </x:c>
      <x:c r="F173" s="62" t="str">
        <x:v>Worst-case scheduling/latency measurements and resource budgets.</x:v>
      </x:c>
      <x:c r="G173" s="22" t="str">
        <x:v>CURRENT SOURCE OR MODEL WITH REMAINING CONDITIONS</x:v>
      </x:c>
      <x:c r="H173" s="22" t="str">
        <x:v>RVB22 coordinated engineering review</x:v>
      </x:c>
      <x:c r="I173"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target driver/WCET measurements remain.</x:v>
      </x:c>
      <x:c r="J173" s="161" t="str">
        <x:v>lanes/firmware_oil/RECOVERED_RELEASE_CHECKS.json
lanes/firmware_oil/RECOVERED_FIRMWARE_TEST_RESULTS.json
iterations/I20_controlled_handoff/NATIVE_BINDING.json
current/SOURCE_EFFECTIVITY.json</x:v>
      </x:c>
      <x:c r="K173" s="62" t="str">
        <x:v>Rev B; characterize Rev A only within its approved bench limits</x:v>
      </x:c>
      <x:c r="L173" s="62" t="str">
        <x:v>R2</x:v>
      </x:c>
      <x:c r="M173" s="62" t="str"/>
      <x:c r="N173" s="70" t="str">
        <x:v>OPEN</x:v>
      </x:c>
    </x:row>
    <x:row r="174" ht="195" customHeight="1">
      <x:c r="A174" s="62" t="str">
        <x:v>FW-04</x:v>
      </x:c>
      <x:c r="B174" s="62" t="str">
        <x:v>Firmware, timing and data integrity</x:v>
      </x:c>
      <x:c r="C174" s="65" t="str">
        <x:v>P1</x:v>
      </x:c>
      <x:c r="D174" s="62" t="str">
        <x:v>G3 Fabrication</x:v>
      </x:c>
      <x:c r="E174" s="62" t="str">
        <x:v>Are interrupt handlers short and queues/buffers sized for worst bursts and delayed consumers?</x:v>
      </x:c>
      <x:c r="F174" s="62" t="str">
        <x:v>Stress tests cover overflow, starvation, heap fragmentation and long-duration load.</x:v>
      </x:c>
      <x:c r="G174" s="22" t="str">
        <x:v>CURRENT SOURCE OR MODEL WITH REMAINING CONDITIONS</x:v>
      </x:c>
      <x:c r="H174" s="22" t="str">
        <x:v>RVB22 coordinated engineering review</x:v>
      </x:c>
      <x:c r="I174"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target heap/driver and long-duration soak remain.</x:v>
      </x:c>
      <x:c r="J174" s="161" t="str">
        <x:v>lanes/firmware_oil/RECOVERED_RELEASE_CHECKS.json
lanes/firmware_oil/RECOVERED_FIRMWARE_TEST_RESULTS.json
iterations/I20_controlled_handoff/NATIVE_BINDING.json
current/SOURCE_EFFECTIVITY.json</x:v>
      </x:c>
      <x:c r="K174" s="62" t="str">
        <x:v>Rev B; characterize Rev A only within its approved bench limits</x:v>
      </x:c>
      <x:c r="L174" s="62" t="str">
        <x:v>R2</x:v>
      </x:c>
      <x:c r="M174" s="62" t="str"/>
      <x:c r="N174" s="70" t="str">
        <x:v>OPEN</x:v>
      </x:c>
    </x:row>
    <x:row r="175" ht="195" customHeight="1">
      <x:c r="A175" s="62" t="str">
        <x:v>FW-05</x:v>
      </x:c>
      <x:c r="B175" s="62" t="str">
        <x:v>Firmware, timing and data integrity</x:v>
      </x:c>
      <x:c r="C175" s="65" t="str">
        <x:v>P1</x:v>
      </x:c>
      <x:c r="D175" s="62" t="str">
        <x:v>G3 Fabrication</x:v>
      </x:c>
      <x:c r="E175" s="62" t="str">
        <x:v>Are timestamps monotonic, wrap-safe and tied to a defined time domain?</x:v>
      </x:c>
      <x:c r="F175" s="62" t="str">
        <x:v>Timestamp architecture and wrap/reboot/GPS-loss tests.</x:v>
      </x:c>
      <x:c r="G175" s="22" t="str">
        <x:v>CLOSED BY ORIGINAL SCOPE</x:v>
      </x:c>
      <x:c r="H175" s="22" t="str">
        <x:v>RVB22 coordinated engineering review</x:v>
      </x:c>
      <x:c r="I175"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75" s="161" t="str">
        <x:v>lanes/firmware_oil/RECOVERED_RELEASE_CHECKS.json
lanes/firmware_oil/RECOVERED_FIRMWARE_TEST_RESULTS.json
iterations/I20_controlled_handoff/NATIVE_BINDING.json
current/SOURCE_EFFECTIVITY.json</x:v>
      </x:c>
      <x:c r="K175" s="62" t="str">
        <x:v>Rev B; characterize Rev A only within its approved bench limits</x:v>
      </x:c>
      <x:c r="L175" s="62" t="str">
        <x:v>R2</x:v>
      </x:c>
      <x:c r="M175" s="62" t="str"/>
      <x:c r="N175" s="70" t="str">
        <x:v>CLOSED</x:v>
      </x:c>
    </x:row>
    <x:row r="176" ht="195" customHeight="1">
      <x:c r="A176" s="62" t="str">
        <x:v>FW-06</x:v>
      </x:c>
      <x:c r="B176" s="62" t="str">
        <x:v>Firmware, timing and data integrity</x:v>
      </x:c>
      <x:c r="C176" s="65" t="str">
        <x:v>P1</x:v>
      </x:c>
      <x:c r="D176" s="62" t="str">
        <x:v>G3 Fabrication</x:v>
      </x:c>
      <x:c r="E176" s="62" t="str">
        <x:v>Are stale, invalid, saturated or missing sensor values represented explicitly end to end?</x:v>
      </x:c>
      <x:c r="F176" s="62" t="str">
        <x:v>Protocol/test vectors prevent stale numeric values appearing valid in RaceChrono.</x:v>
      </x:c>
      <x:c r="G176" s="22" t="str">
        <x:v>CURRENT SOURCE OR MODEL WITH REMAINING CONDITIONS</x:v>
      </x:c>
      <x:c r="H176" s="22" t="str">
        <x:v>RVB22 coordinated engineering review</x:v>
      </x:c>
      <x:c r="I176"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actual RaceChrono presentation/profile handling remains.</x:v>
      </x:c>
      <x:c r="J176" s="161" t="str">
        <x:v>lanes/firmware_oil/RECOVERED_RELEASE_CHECKS.json
lanes/firmware_oil/RECOVERED_FIRMWARE_TEST_RESULTS.json
iterations/I20_controlled_handoff/NATIVE_BINDING.json
current/SOURCE_EFFECTIVITY.json</x:v>
      </x:c>
      <x:c r="K176" s="62" t="str">
        <x:v>Rev B; characterize Rev A only within its approved bench limits</x:v>
      </x:c>
      <x:c r="L176" s="62" t="str">
        <x:v>R2</x:v>
      </x:c>
      <x:c r="M176" s="62" t="str"/>
      <x:c r="N176" s="70" t="str">
        <x:v>OPEN</x:v>
      </x:c>
    </x:row>
    <x:row r="177" ht="195" customHeight="1">
      <x:c r="A177" s="62" t="str">
        <x:v>FW-07</x:v>
      </x:c>
      <x:c r="B177" s="62" t="str">
        <x:v>Firmware, timing and data integrity</x:v>
      </x:c>
      <x:c r="C177" s="65" t="str">
        <x:v>P1</x:v>
      </x:c>
      <x:c r="D177" s="62" t="str">
        <x:v>G3 Fabrication</x:v>
      </x:c>
      <x:c r="E177" s="62" t="str">
        <x:v>Are configuration writes atomic and recoverable across power loss?</x:v>
      </x:c>
      <x:c r="F177" s="62" t="str">
        <x:v>Interrupted-write testing and schema/version validation without excessive flash wear.</x:v>
      </x:c>
      <x:c r="G177" s="22" t="str">
        <x:v>CURRENT SOURCE OR MODEL WITH REMAINING CONDITIONS</x:v>
      </x:c>
      <x:c r="H177" s="22" t="str">
        <x:v>RVB22 coordinated engineering review</x:v>
      </x:c>
      <x:c r="I177"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real flash/power interruption testing remains.</x:v>
      </x:c>
      <x:c r="J177" s="161" t="str">
        <x:v>lanes/firmware_oil/RECOVERED_RELEASE_CHECKS.json
lanes/firmware_oil/RECOVERED_FIRMWARE_TEST_RESULTS.json
iterations/I20_controlled_handoff/NATIVE_BINDING.json
current/SOURCE_EFFECTIVITY.json</x:v>
      </x:c>
      <x:c r="K177" s="62" t="str">
        <x:v>Rev B; characterize Rev A only within its approved bench limits</x:v>
      </x:c>
      <x:c r="L177" s="62" t="str">
        <x:v>R2</x:v>
      </x:c>
      <x:c r="M177" s="62" t="str"/>
      <x:c r="N177" s="70" t="str">
        <x:v>OPEN</x:v>
      </x:c>
    </x:row>
    <x:row r="178" ht="195" customHeight="1">
      <x:c r="A178" s="62" t="str">
        <x:v>FW-08</x:v>
      </x:c>
      <x:c r="B178" s="62" t="str">
        <x:v>Firmware, timing and data integrity</x:v>
      </x:c>
      <x:c r="C178" s="65" t="str">
        <x:v>P1</x:v>
      </x:c>
      <x:c r="D178" s="62" t="str">
        <x:v>G3 Fabrication</x:v>
      </x:c>
      <x:c r="E178" s="62" t="str">
        <x:v>Does a hardware revision or calibration mismatch produce a safe, observable failure?</x:v>
      </x:c>
      <x:c r="F178" s="62" t="str">
        <x:v>Boot compatibility checks and recovery behavior.</x:v>
      </x:c>
      <x:c r="G178" s="22" t="str">
        <x:v>CURRENT SOURCE OR MODEL WITH REMAINING CONDITIONS</x:v>
      </x:c>
      <x:c r="H178" s="22" t="str">
        <x:v>RVB22 coordinated engineering review</x:v>
      </x:c>
      <x:c r="I178"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COMPLETED CONDITIONAL MODEL
REMAINING: physical board revision is not automatically identified, so wrong-board image rejection is not universally guaranteed.</x:v>
      </x:c>
      <x:c r="J178" s="161" t="str">
        <x:v>lanes/firmware_oil/RECOVERED_RELEASE_CHECKS.json
lanes/firmware_oil/RECOVERED_FIRMWARE_TEST_RESULTS.json
iterations/I20_controlled_handoff/NATIVE_BINDING.json
current/SOURCE_EFFECTIVITY.json</x:v>
      </x:c>
      <x:c r="K178" s="62" t="str">
        <x:v>Rev B; characterize Rev A only within its approved bench limits</x:v>
      </x:c>
      <x:c r="L178" s="62" t="str">
        <x:v>R2</x:v>
      </x:c>
      <x:c r="M178" s="62" t="str"/>
      <x:c r="N178" s="70" t="str">
        <x:v>OPEN</x:v>
      </x:c>
    </x:row>
    <x:row r="179" ht="238" customHeight="1">
      <x:c r="A179" s="62" t="str">
        <x:v>FW-09</x:v>
      </x:c>
      <x:c r="B179" s="62" t="str">
        <x:v>Firmware, timing and data integrity</x:v>
      </x:c>
      <x:c r="C179" s="65" t="str">
        <x:v>P1</x:v>
      </x:c>
      <x:c r="D179" s="62" t="str">
        <x:v>G3 Fabrication</x:v>
      </x:c>
      <x:c r="E179" s="62" t="str">
        <x:v>Are errors and dropped messages counted at acquisition, processing and BLE stages independently?</x:v>
      </x:c>
      <x:c r="F179" s="62" t="str">
        <x:v>Instrumented counters reconcile against an independent source/analyzer.</x:v>
      </x:c>
      <x:c r="G179" s="22" t="str">
        <x:v>CURRENT SOURCE OR MODEL WITH REMAINING CONDITIONS</x:v>
      </x:c>
      <x:c r="H179" s="22" t="str">
        <x:v>RVB22 coordinated engineering review</x:v>
      </x:c>
      <x:c r="I179"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independent live source/analyzer reconciliation remains.</x:v>
      </x:c>
      <x:c r="J179" s="161" t="str">
        <x:v>lanes/firmware_oil/RECOVERED_RELEASE_CHECKS.json
lanes/firmware_oil/RECOVERED_FIRMWARE_TEST_RESULTS.json
iterations/I20_controlled_handoff/NATIVE_BINDING.json
current/SOURCE_EFFECTIVITY.json</x:v>
      </x:c>
      <x:c r="K179" s="62" t="str">
        <x:v>Rev B; characterize Rev A only within its approved bench limits</x:v>
      </x:c>
      <x:c r="L179" s="62" t="str">
        <x:v>R2</x:v>
      </x:c>
      <x:c r="M179" s="62" t="str"/>
      <x:c r="N179" s="70" t="str">
        <x:v>OPEN</x:v>
      </x:c>
    </x:row>
    <x:row r="180" ht="195" customHeight="1">
      <x:c r="A180" s="62" t="str">
        <x:v>FW-10</x:v>
      </x:c>
      <x:c r="B180" s="62" t="str">
        <x:v>Firmware, timing and data integrity</x:v>
      </x:c>
      <x:c r="C180" s="65" t="str">
        <x:v>P0</x:v>
      </x:c>
      <x:c r="D180" s="62" t="str">
        <x:v>G3 Fabrication</x:v>
      </x:c>
      <x:c r="E180" s="62" t="str">
        <x:v>Can any command, test profile, boot path or recovery routine enable prohibited vehicle transmission?</x:v>
      </x:c>
      <x:c r="F180" s="62" t="str">
        <x:v>Code-path audit and hardware-in-the-loop tests across release configuration.</x:v>
      </x:c>
      <x:c r="G180" s="22" t="str">
        <x:v>CURRENT SOURCE OR MODEL WITH REMAINING CONDITIONS</x:v>
      </x:c>
      <x:c r="H180" s="22" t="str">
        <x:v>RVB22 coordinated engineering review</x:v>
      </x:c>
      <x:c r="I180"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additionally requires hardware-in-loop release-configuration tests.</x:v>
      </x:c>
      <x:c r="J180" s="161" t="str">
        <x:v>lanes/firmware_oil/RECOVERED_RELEASE_CHECKS.json
lanes/firmware_oil/RECOVERED_FIRMWARE_TEST_RESULTS.json
iterations/I20_controlled_handoff/NATIVE_BINDING.json
current/SOURCE_EFFECTIVITY.json</x:v>
      </x:c>
      <x:c r="K180" s="62" t="str">
        <x:v>Rev B; characterize Rev A only within its approved bench limits</x:v>
      </x:c>
      <x:c r="L180" s="62" t="str">
        <x:v>R2</x:v>
      </x:c>
      <x:c r="M180" s="62" t="str"/>
      <x:c r="N180" s="70" t="str">
        <x:v>OPEN</x:v>
      </x:c>
    </x:row>
    <x:row r="181" ht="195" customHeight="1">
      <x:c r="A181" s="62" t="str">
        <x:v>FW-11</x:v>
      </x:c>
      <x:c r="B181" s="62" t="str">
        <x:v>Firmware, timing and data integrity</x:v>
      </x:c>
      <x:c r="C181" s="65" t="str">
        <x:v>P1</x:v>
      </x:c>
      <x:c r="D181" s="62" t="str">
        <x:v>G3 Fabrication</x:v>
      </x:c>
      <x:c r="E181" s="62" t="str">
        <x:v>Are malformed UART, CAN and BLE inputs handled without memory corruption or uncontrolled resets?</x:v>
      </x:c>
      <x:c r="F181" s="62" t="str">
        <x:v>Parser fuzz/boundary tests plus integration tests with representative hardware.</x:v>
      </x:c>
      <x:c r="G181" s="22" t="str">
        <x:v>CURRENT SOURCE OR MODEL WITH REMAINING CONDITIONS</x:v>
      </x:c>
      <x:c r="H181" s="22" t="str">
        <x:v>RVB22 coordinated engineering review</x:v>
      </x:c>
      <x:c r="I181" s="22"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
CRITERION: OPEN
DESKTOP: HARDWARE OR INSTALLATION ACCEPTANCE
REMAINING: representative hardware integration remains.</x:v>
      </x:c>
      <x:c r="J181" s="161" t="str">
        <x:v>lanes/firmware_oil/RECOVERED_RELEASE_CHECKS.json
lanes/firmware_oil/RECOVERED_FIRMWARE_TEST_RESULTS.json
iterations/I20_controlled_handoff/NATIVE_BINDING.json
current/SOURCE_EFFECTIVITY.json</x:v>
      </x:c>
      <x:c r="K181" s="62" t="str">
        <x:v>Rev B; characterize Rev A only within its approved bench limits</x:v>
      </x:c>
      <x:c r="L181" s="62" t="str">
        <x:v>R2</x:v>
      </x:c>
      <x:c r="M181" s="62" t="str"/>
      <x:c r="N181" s="70" t="str">
        <x:v>OPEN</x:v>
      </x:c>
    </x:row>
    <x:row r="182" ht="195" customHeight="1">
      <x:c r="A182" s="62" t="str">
        <x:v>FW-12</x:v>
      </x:c>
      <x:c r="B182" s="62" t="str">
        <x:v>Firmware, timing and data integrity</x:v>
      </x:c>
      <x:c r="C182" s="65" t="str">
        <x:v>P1</x:v>
      </x:c>
      <x:c r="D182" s="62" t="str">
        <x:v>G3 Fabrication</x:v>
      </x:c>
      <x:c r="E182" s="62" t="str">
        <x:v>Can the exact old firmware be used on Rev B without changes, and if not are required changes explicit?</x:v>
      </x:c>
      <x:c r="F182" s="62" t="str">
        <x:v>Regression evidence for claimed compatibility; pin preservation alone is insufficient.</x:v>
      </x:c>
      <x:c r="G182" s="22" t="str">
        <x:v>CLOSED BY ORIGINAL SCOPE</x:v>
      </x:c>
      <x:c r="H182" s="22" t="str">
        <x:v>RVB22 coordinated engineering review</x:v>
      </x:c>
      <x:c r="I182" s="22"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
CRITERION: CLOSED
DESKTOP: CURRENT EVIDENCE REVIEWED
REMAINING: </x:v>
      </x:c>
      <x:c r="J182" s="161" t="str">
        <x:v>lanes/firmware_oil/RECOVERED_RELEASE_CHECKS.json
lanes/firmware_oil/RECOVERED_FIRMWARE_TEST_RESULTS.json
lanes/firmware_oil/FINAL_I04_OIL_FIRMWARE_EFFECTIVITY.json
iterations/I20_controlled_handoff/NATIVE_BINDING.json
current/SOURCE_EFFECTIVITY.json</x:v>
      </x:c>
      <x:c r="K182" s="62" t="str">
        <x:v>Rev B; characterize Rev A only within its approved bench limits</x:v>
      </x:c>
      <x:c r="L182" s="62" t="str">
        <x:v>R2</x:v>
      </x:c>
      <x:c r="M182" s="62" t="str"/>
      <x:c r="N182" s="70" t="str">
        <x:v>CLOSED</x:v>
      </x:c>
    </x:row>
    <x:row r="183" ht="195" customHeight="1">
      <x:c r="A183" s="62" t="str">
        <x:v>HAR-01</x:v>
      </x:c>
      <x:c r="B183" s="62" t="str">
        <x:v>Connectors and harness</x:v>
      </x:c>
      <x:c r="C183" s="65" t="str">
        <x:v>P0</x:v>
      </x:c>
      <x:c r="D183" s="62" t="str">
        <x:v>G1 Schematic</x:v>
      </x:c>
      <x:c r="E183" s="62" t="str">
        <x:v>Is F1's exact manufacturer/series/part number and mating assembly known?</x:v>
      </x:c>
      <x:c r="F183" s="62" t="str">
        <x:v>Connector and mating housing/contact BOM; a generic 'Molex' description is not sufficient.</x:v>
      </x:c>
      <x:c r="G183" s="22" t="str">
        <x:v>CLOSED BY ORIGINAL SCOPE</x:v>
      </x:c>
      <x:c r="H183" s="22" t="str">
        <x:v>RVB22 coordinated engineering review</x:v>
      </x:c>
      <x:c r="I1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3"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c r="K183" s="62" t="str">
        <x:v>Rev B; characterize Rev A only within its approved bench limits</x:v>
      </x:c>
      <x:c r="L183" s="62" t="str">
        <x:v>R1</x:v>
      </x:c>
      <x:c r="M183" s="62" t="str"/>
      <x:c r="N183" s="70" t="str">
        <x:v>CLOSED</x:v>
      </x:c>
    </x:row>
    <x:row r="184" ht="195" customHeight="1">
      <x:c r="A184" s="62" t="str">
        <x:v>HAR-02</x:v>
      </x:c>
      <x:c r="B184" s="62" t="str">
        <x:v>Connectors and harness</x:v>
      </x:c>
      <x:c r="C184" s="65" t="str">
        <x:v>P0</x:v>
      </x:c>
      <x:c r="D184" s="62" t="str">
        <x:v>G1 Schematic</x:v>
      </x:c>
      <x:c r="E184" s="62" t="str">
        <x:v>Do board top, bottom, mating face, wire-entry face and latch orientation agree on every pin?</x:v>
      </x:c>
      <x:c r="F184" s="62" t="str">
        <x:v>Controlled drawings plus actual harness continuity from connector to destination.</x:v>
      </x:c>
      <x:c r="G184" s="22" t="str">
        <x:v>CURRENT SOURCE OR MODEL WITH REMAINING CONDITIONS</x:v>
      </x:c>
      <x:c r="H184" s="22" t="str">
        <x:v>RVB22 coordinated engineering review</x:v>
      </x:c>
      <x:c r="I18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built-cable continuity remains.</x:v>
      </x:c>
      <x:c r="J184" s="161" t="str">
        <x:v>interfaces/HARNESS_INTERFACE_CONTRACT.json
interfaces/HARNESS_CHECKS.json
analyses/harness_wire/HARNESS_WIRE_DELTA.json
interfaces/SINGLE_RETURN_EFFECTIVITY.json</x:v>
      </x:c>
      <x:c r="K184" s="62" t="str">
        <x:v>Rev B; characterize Rev A only within its approved bench limits</x:v>
      </x:c>
      <x:c r="L184" s="62" t="str">
        <x:v>R1</x:v>
      </x:c>
      <x:c r="M184" s="62" t="str"/>
      <x:c r="N184" s="70" t="str">
        <x:v>OPEN</x:v>
      </x:c>
    </x:row>
    <x:row r="185" ht="195" customHeight="1">
      <x:c r="A185" s="62" t="str">
        <x:v>HAR-03</x:v>
      </x:c>
      <x:c r="B185" s="62" t="str">
        <x:v>Connectors and harness</x:v>
      </x:c>
      <x:c r="C185" s="65" t="str">
        <x:v>P0</x:v>
      </x:c>
      <x:c r="D185" s="62" t="str">
        <x:v>G1 Schematic</x:v>
      </x:c>
      <x:c r="E185" s="62" t="str">
        <x:v>Are F1-5 CANL, F1-6 CANH, F1-7 oil signal, F1-8 sensor 5 V and F1-9 sensor ground preserved or formally changed?</x:v>
      </x:c>
      <x:c r="F185" s="62" t="str">
        <x:v>Pin-by-pin comparison to controlled redlines and any approved interface change.</x:v>
      </x:c>
      <x:c r="G185" s="22" t="str">
        <x:v>CLOSED BY ORIGINAL SCOPE</x:v>
      </x:c>
      <x:c r="H185" s="22" t="str">
        <x:v>RVB22 coordinated engineering review</x:v>
      </x:c>
      <x:c r="I1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5"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c r="K185" s="62" t="str">
        <x:v>Rev B; characterize Rev A only within its approved bench limits</x:v>
      </x:c>
      <x:c r="L185" s="62" t="str">
        <x:v>R1</x:v>
      </x:c>
      <x:c r="M185" s="62" t="str"/>
      <x:c r="N185" s="70" t="str">
        <x:v>CLOSED</x:v>
      </x:c>
    </x:row>
    <x:row r="186" ht="195" customHeight="1">
      <x:c r="A186" s="62" t="str">
        <x:v>HAR-04</x:v>
      </x:c>
      <x:c r="B186" s="62" t="str">
        <x:v>Connectors and harness</x:v>
      </x:c>
      <x:c r="C186" s="65" t="str">
        <x:v>P0</x:v>
      </x:c>
      <x:c r="D186" s="62" t="str">
        <x:v>G1 Schematic</x:v>
      </x:c>
      <x:c r="E186" s="62" t="str">
        <x:v>Are wire gauge, insulation, contact rating and upstream fuse compatible with load and fault currents?</x:v>
      </x:c>
      <x:c r="F186" s="62" t="str">
        <x:v>Derating and fault coordination for harness length and installation temperature.</x:v>
      </x:c>
      <x:c r="G186" s="22" t="str">
        <x:v>CURRENT SOURCE OR MODEL WITH REMAINING CONDITIONS</x:v>
      </x:c>
      <x:c r="H186" s="22" t="str">
        <x:v>RVB22 coordinated engineering review</x:v>
      </x:c>
      <x:c r="I18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source fuse/install temperature and crimp/ampacity applicability remain.</x:v>
      </x:c>
      <x:c r="J186" s="161" t="str">
        <x:v>interfaces/HARNESS_INTERFACE_CONTRACT.json
interfaces/HARNESS_CHECKS.json
analyses/harness_wire/HARNESS_WIRE_DELTA.json
interfaces/SINGLE_RETURN_EFFECTIVITY.json</x:v>
      </x:c>
      <x:c r="K186" s="62" t="str">
        <x:v>Rev B; characterize Rev A only within its approved bench limits</x:v>
      </x:c>
      <x:c r="L186" s="62" t="str">
        <x:v>R1</x:v>
      </x:c>
      <x:c r="M186" s="62" t="str"/>
      <x:c r="N186" s="70" t="str">
        <x:v>OPEN</x:v>
      </x:c>
    </x:row>
    <x:row r="187" ht="195" customHeight="1">
      <x:c r="A187" s="62" t="str">
        <x:v>HAR-05</x:v>
      </x:c>
      <x:c r="B187" s="62" t="str">
        <x:v>Connectors and harness</x:v>
      </x:c>
      <x:c r="C187" s="65" t="str">
        <x:v>P1</x:v>
      </x:c>
      <x:c r="D187" s="62" t="str">
        <x:v>G1 Schematic</x:v>
      </x:c>
      <x:c r="E187" s="62" t="str">
        <x:v>Are terminals, crimp tooling, insertion/retention and pull-test requirements specified?</x:v>
      </x:c>
      <x:c r="F187" s="62" t="str">
        <x:v>Harness work instruction and inspection/test records.</x:v>
      </x:c>
      <x:c r="G187" s="22" t="str">
        <x:v>CURRENT SOURCE OR MODEL WITH REMAINING CONDITIONS</x:v>
      </x:c>
      <x:c r="H187" s="22" t="str">
        <x:v>RVB22 coordinated engineering review</x:v>
      </x:c>
      <x:c r="I18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actual process/inspection records remain.</x:v>
      </x:c>
      <x:c r="J187" s="161" t="str">
        <x:v>interfaces/HARNESS_INTERFACE_CONTRACT.json
interfaces/HARNESS_CHECKS.json
analyses/harness_wire/HARNESS_WIRE_DELTA.json
interfaces/SINGLE_RETURN_EFFECTIVITY.json</x:v>
      </x:c>
      <x:c r="K187" s="62" t="str">
        <x:v>Rev B; characterize Rev A only within its approved bench limits</x:v>
      </x:c>
      <x:c r="L187" s="62" t="str">
        <x:v>R1</x:v>
      </x:c>
      <x:c r="M187" s="62" t="str"/>
      <x:c r="N187" s="70" t="str">
        <x:v>OPEN</x:v>
      </x:c>
    </x:row>
    <x:row r="188" ht="195" customHeight="1">
      <x:c r="A188" s="62" t="str">
        <x:v>HAR-06</x:v>
      </x:c>
      <x:c r="B188" s="62" t="str">
        <x:v>Connectors and harness</x:v>
      </x:c>
      <x:c r="C188" s="65" t="str">
        <x:v>P1</x:v>
      </x:c>
      <x:c r="D188" s="62" t="str">
        <x:v>G1 Schematic</x:v>
      </x:c>
      <x:c r="E188" s="62" t="str">
        <x:v>Is the CAN pair twisted appropriately and kept short through the tap and connectors?</x:v>
      </x:c>
      <x:c r="F188" s="62" t="str">
        <x:v>Harness routing/drawing specifies pair handling and maximum branch geometry.</x:v>
      </x:c>
      <x:c r="G188" s="22" t="str">
        <x:v>CLOSED BY ORIGINAL SCOPE</x:v>
      </x:c>
      <x:c r="H188" s="22" t="str">
        <x:v>RVB22 coordinated engineering review</x:v>
      </x:c>
      <x:c r="I18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88"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c r="K188" s="62" t="str">
        <x:v>Rev B; characterize Rev A only within its approved bench limits</x:v>
      </x:c>
      <x:c r="L188" s="62" t="str">
        <x:v>R1</x:v>
      </x:c>
      <x:c r="M188" s="62" t="str"/>
      <x:c r="N188" s="70" t="str">
        <x:v>CLOSED</x:v>
      </x:c>
    </x:row>
    <x:row r="189" ht="195" customHeight="1">
      <x:c r="A189" s="62" t="str">
        <x:v>HAR-07</x:v>
      </x:c>
      <x:c r="B189" s="62" t="str">
        <x:v>Connectors and harness</x:v>
      </x:c>
      <x:c r="C189" s="65" t="str">
        <x:v>P0</x:v>
      </x:c>
      <x:c r="D189" s="62" t="str">
        <x:v>G1 Schematic</x:v>
      </x:c>
      <x:c r="E189" s="62" t="str">
        <x:v>Can a mis-mated connector, adjacent-pin short or swapped power/signal damage the vehicle or board?</x:v>
      </x:c>
      <x:c r="F189" s="62" t="str">
        <x:v>Keying, labeling and credible miswire FMEA; tests use a protected fixture.</x:v>
      </x:c>
      <x:c r="G189" s="22" t="str">
        <x:v>CURRENT SOURCE OR MODEL WITH REMAINING CONDITIONS</x:v>
      </x:c>
      <x:c r="H189" s="22" t="str">
        <x:v>RVB22 coordinated engineering review</x:v>
      </x:c>
      <x:c r="I18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protected fixture tests remain.</x:v>
      </x:c>
      <x:c r="J189" s="161" t="str">
        <x:v>interfaces/HARNESS_INTERFACE_CONTRACT.json
interfaces/HARNESS_CHECKS.json
analyses/harness_wire/HARNESS_WIRE_DELTA.json
interfaces/SINGLE_RETURN_EFFECTIVITY.json</x:v>
      </x:c>
      <x:c r="K189" s="62" t="str">
        <x:v>Rev B; characterize Rev A only within its approved bench limits</x:v>
      </x:c>
      <x:c r="L189" s="62" t="str">
        <x:v>R1</x:v>
      </x:c>
      <x:c r="M189" s="62" t="str"/>
      <x:c r="N189" s="70" t="str">
        <x:v>OPEN</x:v>
      </x:c>
    </x:row>
    <x:row r="190" ht="195" customHeight="1">
      <x:c r="A190" s="62" t="str">
        <x:v>HAR-08</x:v>
      </x:c>
      <x:c r="B190" s="62" t="str">
        <x:v>Connectors and harness</x:v>
      </x:c>
      <x:c r="C190" s="65" t="str">
        <x:v>P1</x:v>
      </x:c>
      <x:c r="D190" s="62" t="str">
        <x:v>G1 Schematic</x:v>
      </x:c>
      <x:c r="E190" s="62" t="str">
        <x:v>Are unused pins safely assigned and future options prevented from creating ambiguous harness variants?</x:v>
      </x:c>
      <x:c r="F190" s="62" t="str">
        <x:v>Reserved-pin rules and variant identification.</x:v>
      </x:c>
      <x:c r="G190" s="22" t="str">
        <x:v>CLOSED BY ORIGINAL SCOPE</x:v>
      </x:c>
      <x:c r="H190" s="22" t="str">
        <x:v>RVB22 coordinated engineering review</x:v>
      </x:c>
      <x:c r="I19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190"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c r="K190" s="62" t="str">
        <x:v>Rev B; characterize Rev A only within its approved bench limits</x:v>
      </x:c>
      <x:c r="L190" s="62" t="str">
        <x:v>R1</x:v>
      </x:c>
      <x:c r="M190" s="62" t="str"/>
      <x:c r="N190" s="70" t="str">
        <x:v>CLOSED</x:v>
      </x:c>
    </x:row>
    <x:row r="191" ht="195" customHeight="1">
      <x:c r="A191" s="62" t="str">
        <x:v>HAR-09</x:v>
      </x:c>
      <x:c r="B191" s="62" t="str">
        <x:v>Connectors and harness</x:v>
      </x:c>
      <x:c r="C191" s="65" t="str">
        <x:v>P1</x:v>
      </x:c>
      <x:c r="D191" s="62" t="str">
        <x:v>G1 Schematic</x:v>
      </x:c>
      <x:c r="E191" s="62" t="str">
        <x:v>Are cable strain relief, vibration, bend radius and service-loop requirements satisfied?</x:v>
      </x:c>
      <x:c r="F191" s="62" t="str">
        <x:v>Installed routing and mechanical retention review.</x:v>
      </x:c>
      <x:c r="G191" s="22" t="str">
        <x:v>CURRENT SOURCE OR MODEL WITH REMAINING CONDITIONS</x:v>
      </x:c>
      <x:c r="H191" s="22" t="str">
        <x:v>RVB22 coordinated engineering review</x:v>
      </x:c>
      <x:c r="I19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installed jacket/clamp/retention evidence remains.</x:v>
      </x:c>
      <x:c r="J19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x:v>
      </x:c>
      <x:c r="K191" s="62" t="str">
        <x:v>Rev B; characterize Rev A only within its approved bench limits</x:v>
      </x:c>
      <x:c r="L191" s="62" t="str">
        <x:v>R1</x:v>
      </x:c>
      <x:c r="M191" s="62" t="str"/>
      <x:c r="N191" s="70" t="str">
        <x:v>OPEN</x:v>
      </x:c>
    </x:row>
    <x:row r="192" ht="195" customHeight="1">
      <x:c r="A192" s="62" t="str">
        <x:v>HAR-10</x:v>
      </x:c>
      <x:c r="B192" s="62" t="str">
        <x:v>Connectors and harness</x:v>
      </x:c>
      <x:c r="C192" s="65" t="str">
        <x:v>P1</x:v>
      </x:c>
      <x:c r="D192" s="62" t="str">
        <x:v>G1 Schematic</x:v>
      </x:c>
      <x:c r="E192" s="62" t="str">
        <x:v>Are connector and test labels readable and meaningful after installation?</x:v>
      </x:c>
      <x:c r="F192" s="62" t="str">
        <x:v>Assembly/service inspection checks access, orientation and field troubleshooting.</x:v>
      </x:c>
      <x:c r="G192" s="22" t="str">
        <x:v>CURRENT SOURCE OR MODEL WITH REMAINING CONDITIONS</x:v>
      </x:c>
      <x:c r="H192" s="22" t="str">
        <x:v>RVB22 coordinated engineering review</x:v>
      </x:c>
      <x:c r="I19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assembly/service inspection remains.</x:v>
      </x:c>
      <x:c r="J192"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x:v>
      </x:c>
      <x:c r="K192" s="62" t="str">
        <x:v>Rev B; characterize Rev A only within its approved bench limits</x:v>
      </x:c>
      <x:c r="L192" s="62" t="str">
        <x:v>R1</x:v>
      </x:c>
      <x:c r="M192" s="62" t="str"/>
      <x:c r="N192" s="70" t="str">
        <x:v>OPEN</x:v>
      </x:c>
    </x:row>
    <x:row r="193" ht="195" customHeight="1">
      <x:c r="A193" s="62" t="str">
        <x:v>MECH-01</x:v>
      </x:c>
      <x:c r="B193" s="62" t="str">
        <x:v>Mechanical fit and installation</x:v>
      </x:c>
      <x:c r="C193" s="65" t="str">
        <x:v>P0</x:v>
      </x:c>
      <x:c r="D193" s="62" t="str">
        <x:v>G2 Layout</x:v>
      </x:c>
      <x:c r="E193" s="62" t="str">
        <x:v>Is the board outline and hole pattern dimensionally compatible with the intended enclosure and harness access?</x:v>
      </x:c>
      <x:c r="F193" s="62" t="str">
        <x:v>Datum-based drawing, STEP interference check and physical fit verification.</x:v>
      </x:c>
      <x:c r="G193" s="22" t="str">
        <x:v>CURRENT SOURCE OR MODEL WITH REMAINING CONDITIONS</x:v>
      </x:c>
      <x:c r="H193" s="22" t="str">
        <x:v>RVB22 coordinated engineering review</x:v>
      </x:c>
      <x:c r="I193"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Datum-based drawing, STEP interference check and physical fit verification.</x:v>
      </x:c>
      <x:c r="J193"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193" s="62" t="str">
        <x:v>Rev B; characterize Rev A only within its approved bench limits</x:v>
      </x:c>
      <x:c r="L193" s="62" t="str">
        <x:v>E</x:v>
      </x:c>
      <x:c r="M193" s="62" t="str"/>
      <x:c r="N193" s="70" t="str">
        <x:v>OPEN</x:v>
      </x:c>
    </x:row>
    <x:row r="194" ht="195" customHeight="1">
      <x:c r="A194" s="62" t="str">
        <x:v>MECH-02</x:v>
      </x:c>
      <x:c r="B194" s="62" t="str">
        <x:v>Mechanical fit and installation</x:v>
      </x:c>
      <x:c r="C194" s="65" t="str">
        <x:v>P1</x:v>
      </x:c>
      <x:c r="D194" s="62" t="str">
        <x:v>G2 Layout</x:v>
      </x:c>
      <x:c r="E194" s="62" t="str">
        <x:v>What changed in outline, mounting holes, connector position and height from Rev A to Rev B?</x:v>
      </x:c>
      <x:c r="F194" s="62" t="str">
        <x:v>Measured form/fit delta table with enclosure and installation impact.</x:v>
      </x:c>
      <x:c r="G194" s="22" t="str">
        <x:v>CLOSED BY ORIGINAL SCOPE</x:v>
      </x:c>
      <x:c r="H194" s="22" t="str">
        <x:v>RVB22 coordinated engineering review</x:v>
      </x:c>
      <x:c r="I194"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CURRENT EVIDENCE REVIEWED
REMAINING: </x:v>
      </x:c>
      <x:c r="J194" s="161"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analyses/mated_i18/RESULTS.json
analyses/service_i19/RESULTS.json
current/MANUFACTURING_AND_ASSEMBLY.md</x:v>
      </x:c>
      <x:c r="K194" s="62" t="str">
        <x:v>Rev B; characterize Rev A only within its approved bench limits</x:v>
      </x:c>
      <x:c r="L194" s="62" t="str">
        <x:v>E</x:v>
      </x:c>
      <x:c r="M194" s="62" t="str"/>
      <x:c r="N194" s="70" t="str">
        <x:v>CLOSED</x:v>
      </x:c>
    </x:row>
    <x:row r="195" ht="195" customHeight="1">
      <x:c r="A195" s="62" t="str">
        <x:v>MECH-03</x:v>
      </x:c>
      <x:c r="B195" s="62" t="str">
        <x:v>Mechanical fit and installation</x:v>
      </x:c>
      <x:c r="C195" s="65" t="str">
        <x:v>P1</x:v>
      </x:c>
      <x:c r="D195" s="62" t="str">
        <x:v>G2 Layout</x:v>
      </x:c>
      <x:c r="E195" s="62" t="str">
        <x:v>Are bottom-side components allowed by standoff height and enclosure clearance?</x:v>
      </x:c>
      <x:c r="F195" s="62" t="str">
        <x:v>Worst-case tolerance stack includes component heights, solder protrusion, warp and fasteners.</x:v>
      </x:c>
      <x:c r="G195" s="22" t="str">
        <x:v>CURRENT SOURCE OR MODEL WITH REMAINING CONDITIONS</x:v>
      </x:c>
      <x:c r="H195" s="22" t="str">
        <x:v>RVB22 coordinated engineering review</x:v>
      </x:c>
      <x:c r="I195"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COMPLETED CONDITIONAL MODEL
REMAINING: complete populated solids, mated accessories and installed geometry remain conditional.</x:v>
      </x:c>
      <x:c r="J195"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195" s="62" t="str">
        <x:v>Rev B; characterize Rev A only within its approved bench limits</x:v>
      </x:c>
      <x:c r="L195" s="62" t="str">
        <x:v>E</x:v>
      </x:c>
      <x:c r="M195" s="62" t="str"/>
      <x:c r="N195" s="70" t="str">
        <x:v>OPEN</x:v>
      </x:c>
    </x:row>
    <x:row r="196" ht="195" customHeight="1">
      <x:c r="A196" s="62" t="str">
        <x:v>MECH-04</x:v>
      </x:c>
      <x:c r="B196" s="62" t="str">
        <x:v>Mechanical fit and installation</x:v>
      </x:c>
      <x:c r="C196" s="65" t="str">
        <x:v>P1</x:v>
      </x:c>
      <x:c r="D196" s="62" t="str">
        <x:v>G2 Layout</x:v>
      </x:c>
      <x:c r="E196" s="62" t="str">
        <x:v>Does two-sided assembly create reflow, inspection, fixture or service access constraints?</x:v>
      </x:c>
      <x:c r="F196" s="62" t="str">
        <x:v>Assembly sequence and fixture/rework plan approved by the assembler.</x:v>
      </x:c>
      <x:c r="G196" s="22" t="str">
        <x:v>CURRENT SOURCE OR MODEL WITH REMAINING CONDITIONS</x:v>
      </x:c>
      <x:c r="H196" s="22" t="str">
        <x:v>RVB22 coordinated engineering review</x:v>
      </x:c>
      <x:c r="I196"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remains.</x:v>
      </x:c>
      <x:c r="J196" s="161" t="str">
        <x:v>analyses/assembly_handling/EXACT_MPN_HANDLING_REGISTER.json
analyses/assembly_handling/PROCESS_RECONCILIATION.md
lanes/mechanics/ASSEMBLY_PROCESS_RVB22.md
analyses/mated_i18/RESULTS.json
analyses/service_i19/RESULTS.json
current/MANUFACTURING_AND_ASSEMBLY.md</x:v>
      </x:c>
      <x:c r="K196" s="62" t="str">
        <x:v>Rev B; characterize Rev A only within its approved bench limits</x:v>
      </x:c>
      <x:c r="L196" s="62" t="str">
        <x:v>E</x:v>
      </x:c>
      <x:c r="M196" s="62" t="str"/>
      <x:c r="N196" s="70" t="str">
        <x:v>OPEN</x:v>
      </x:c>
    </x:row>
    <x:row r="197" ht="195" customHeight="1">
      <x:c r="A197" s="62" t="str">
        <x:v>MECH-05</x:v>
      </x:c>
      <x:c r="B197" s="62" t="str">
        <x:v>Mechanical fit and installation</x:v>
      </x:c>
      <x:c r="C197" s="65" t="str">
        <x:v>P0</x:v>
      </x:c>
      <x:c r="D197" s="62" t="str">
        <x:v>G2 Layout</x:v>
      </x:c>
      <x:c r="E197" s="62" t="str">
        <x:v>Can metal mounting hardware contact a live pad, trace, antenna or exposed component?</x:v>
      </x:c>
      <x:c r="F197" s="62" t="str">
        <x:v>Keepouts include washer diameter, screw length and installation tolerances.</x:v>
      </x:c>
      <x:c r="G197" s="22" t="str">
        <x:v>CLOSED BY ORIGINAL SCOPE</x:v>
      </x:c>
      <x:c r="H197" s="22" t="str">
        <x:v>RVB22 coordinated engineering review</x:v>
      </x:c>
      <x:c r="I197"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97"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197" s="62" t="str">
        <x:v>Rev B; characterize Rev A only within its approved bench limits</x:v>
      </x:c>
      <x:c r="L197" s="62" t="str">
        <x:v>E</x:v>
      </x:c>
      <x:c r="M197" s="62" t="str"/>
      <x:c r="N197" s="70" t="str">
        <x:v>CLOSED</x:v>
      </x:c>
    </x:row>
    <x:row r="198" ht="195" customHeight="1">
      <x:c r="A198" s="62" t="str">
        <x:v>MECH-06</x:v>
      </x:c>
      <x:c r="B198" s="62" t="str">
        <x:v>Mechanical fit and installation</x:v>
      </x:c>
      <x:c r="C198" s="65" t="str">
        <x:v>P1</x:v>
      </x:c>
      <x:c r="D198" s="62" t="str">
        <x:v>G2 Layout</x:v>
      </x:c>
      <x:c r="E198" s="62" t="str">
        <x:v>Is PCB bending from fasteners, connectors or cable loads controlled?</x:v>
      </x:c>
      <x:c r="F198" s="62" t="str">
        <x:v>Support/torque plan and stress assessment for ceramic capacitors and heavy modules.</x:v>
      </x:c>
      <x:c r="G198" s="22" t="str">
        <x:v>CURRENT SOURCE OR MODEL WITH REMAINING CONDITIONS</x:v>
      </x:c>
      <x:c r="H198" s="22" t="str">
        <x:v>RVB22 coordinated engineering review</x:v>
      </x:c>
      <x:c r="I198"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COMPLETED CONDITIONAL MODEL
REMAINING: laminate/contact/torque/material assumptions remain conditional.</x:v>
      </x:c>
      <x:c r="J198"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198" s="62" t="str">
        <x:v>Rev B; characterize Rev A only within its approved bench limits</x:v>
      </x:c>
      <x:c r="L198" s="62" t="str">
        <x:v>E</x:v>
      </x:c>
      <x:c r="M198" s="62" t="str"/>
      <x:c r="N198" s="70" t="str">
        <x:v>OPEN</x:v>
      </x:c>
    </x:row>
    <x:row r="199" ht="195" customHeight="1">
      <x:c r="A199" s="62" t="str">
        <x:v>MECH-07</x:v>
      </x:c>
      <x:c r="B199" s="62" t="str">
        <x:v>Mechanical fit and installation</x:v>
      </x:c>
      <x:c r="C199" s="65" t="str">
        <x:v>P1</x:v>
      </x:c>
      <x:c r="D199" s="62" t="str">
        <x:v>G2 Layout</x:v>
      </x:c>
      <x:c r="E199" s="62" t="str">
        <x:v>Are GPS module/patch antenna and other heavy parts adequately supported for vibration?</x:v>
      </x:c>
      <x:c r="F199" s="62" t="str">
        <x:v>Mechanical retention and qualification plan appropriate to mounting location.</x:v>
      </x:c>
      <x:c r="G199" s="22" t="str">
        <x:v>CLOSED BY ORIGINAL SCOPE</x:v>
      </x:c>
      <x:c r="H199" s="22" t="str">
        <x:v>RVB22 coordinated engineering review</x:v>
      </x:c>
      <x:c r="I199" s="22"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199"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199" s="62" t="str">
        <x:v>Rev B; characterize Rev A only within its approved bench limits</x:v>
      </x:c>
      <x:c r="L199" s="62" t="str">
        <x:v>E</x:v>
      </x:c>
      <x:c r="M199" s="62" t="str"/>
      <x:c r="N199" s="70" t="str">
        <x:v>CLOSED</x:v>
      </x:c>
    </x:row>
    <x:row r="200" ht="195" customHeight="1">
      <x:c r="A200" s="62" t="str">
        <x:v>MECH-08</x:v>
      </x:c>
      <x:c r="B200" s="62" t="str">
        <x:v>Mechanical fit and installation</x:v>
      </x:c>
      <x:c r="C200" s="65" t="str">
        <x:v>P1</x:v>
      </x:c>
      <x:c r="D200" s="62" t="str">
        <x:v>G2 Layout</x:v>
      </x:c>
      <x:c r="E200" s="62" t="str">
        <x:v>Are antenna sky view and BLE orientation preserved in the actual vehicle mounting location?</x:v>
      </x:c>
      <x:c r="F200" s="62" t="str">
        <x:v>Installation drawing and in-situ RF performance evidence.</x:v>
      </x:c>
      <x:c r="G200" s="22" t="str">
        <x:v>CURRENT SOURCE OR MODEL WITH REMAINING CONDITIONS</x:v>
      </x:c>
      <x:c r="H200" s="22" t="str">
        <x:v>RVB22 coordinated engineering review</x:v>
      </x:c>
      <x:c r="I200"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in-situ RF performance evidence remains.</x:v>
      </x:c>
      <x:c r="J200"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200" s="62" t="str">
        <x:v>Rev B; characterize Rev A only within its approved bench limits</x:v>
      </x:c>
      <x:c r="L200" s="62" t="str">
        <x:v>E</x:v>
      </x:c>
      <x:c r="M200" s="62" t="str"/>
      <x:c r="N200" s="70" t="str">
        <x:v>OPEN</x:v>
      </x:c>
    </x:row>
    <x:row r="201" ht="195" customHeight="1">
      <x:c r="A201" s="62" t="str">
        <x:v>MECH-09</x:v>
      </x:c>
      <x:c r="B201" s="62" t="str">
        <x:v>Mechanical fit and installation</x:v>
      </x:c>
      <x:c r="C201" s="65" t="str">
        <x:v>P1</x:v>
      </x:c>
      <x:c r="D201" s="62" t="str">
        <x:v>G2 Layout</x:v>
      </x:c>
      <x:c r="E201" s="62" t="str">
        <x:v>Can the board be programmed, probed, inspected and replaced without damaging connectors or rework wires?</x:v>
      </x:c>
      <x:c r="F201" s="62" t="str">
        <x:v>Service access demonstration and documented removal sequence.</x:v>
      </x:c>
      <x:c r="G201" s="22" t="str">
        <x:v>CURRENT SOURCE OR MODEL WITH REMAINING CONDITIONS</x:v>
      </x:c>
      <x:c r="H201" s="22" t="str">
        <x:v>RVB22 coordinated engineering review</x:v>
      </x:c>
      <x:c r="I201"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actual service access demonstration remains.</x:v>
      </x:c>
      <x:c r="J20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c r="K201" s="62" t="str">
        <x:v>Rev B; characterize Rev A only within its approved bench limits</x:v>
      </x:c>
      <x:c r="L201" s="62" t="str">
        <x:v>E</x:v>
      </x:c>
      <x:c r="M201" s="62" t="str"/>
      <x:c r="N201" s="70" t="str">
        <x:v>OPEN</x:v>
      </x:c>
    </x:row>
    <x:row r="202" ht="195" customHeight="1">
      <x:c r="A202" s="62" t="str">
        <x:v>MECH-10</x:v>
      </x:c>
      <x:c r="B202" s="62" t="str">
        <x:v>Mechanical fit and installation</x:v>
      </x:c>
      <x:c r="C202" s="65" t="str">
        <x:v>P1</x:v>
      </x:c>
      <x:c r="D202" s="62" t="str">
        <x:v>G2 Layout</x:v>
      </x:c>
      <x:c r="E202" s="62" t="str">
        <x:v>Are enclosure ingress, drainage, venting and condensation behavior consistent with the intended environment?</x:v>
      </x:c>
      <x:c r="F202" s="62" t="str">
        <x:v>Environmental design rationale and installation-specific tests.</x:v>
      </x:c>
      <x:c r="G202" s="22" t="str">
        <x:v>CURRENT SOURCE OR MODEL WITH REMAINING CONDITIONS</x:v>
      </x:c>
      <x:c r="H202" s="22" t="str">
        <x:v>RVB22 coordinated engineering review</x:v>
      </x:c>
      <x:c r="I202" s="22"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
CRITERION: OPEN
DESKTOP: HARDWARE OR INSTALLATION ACCEPTANCE
REMAINING: installation-specific tests remain.</x:v>
      </x:c>
      <x:c r="J202" s="161" t="str">
        <x:v>analyses/installation/DASHBOARD_EXPOSURE_AND_SERVICE.md
lanes/mechanics/MECHANICAL_INSTALLATION_RVB22.md
analyses/mated_i18/RESULTS.json
analyses/service_i19/RESULTS.json
current/MANUFACTURING_AND_ASSEMBLY.md</x:v>
      </x:c>
      <x:c r="K202" s="62" t="str">
        <x:v>Rev B; characterize Rev A only within its approved bench limits</x:v>
      </x:c>
      <x:c r="L202" s="62" t="str">
        <x:v>E</x:v>
      </x:c>
      <x:c r="M202" s="62" t="str"/>
      <x:c r="N202" s="70" t="str">
        <x:v>OPEN</x:v>
      </x:c>
    </x:row>
    <x:row r="203" ht="195" customHeight="1">
      <x:c r="A203" s="62" t="str">
        <x:v>THERM-01</x:v>
      </x:c>
      <x:c r="B203" s="62" t="str">
        <x:v>Thermal and environmental reliability</x:v>
      </x:c>
      <x:c r="C203" s="65" t="str">
        <x:v>P0</x:v>
      </x:c>
      <x:c r="D203" s="62" t="str">
        <x:v>G4 Bench</x:v>
      </x:c>
      <x:c r="E203" s="62" t="str">
        <x:v>What ambient, storage and self-heated temperature limits apply at the actual mounting location?</x:v>
      </x:c>
      <x:c r="F203" s="62" t="str">
        <x:v>Cabin/under-dash/engine-bay environment explicitly selected rather than conflated.</x:v>
      </x:c>
      <x:c r="G203" s="22" t="str">
        <x:v>CLOSED BY ORIGINAL SCOPE</x:v>
      </x:c>
      <x:c r="H203" s="22" t="str">
        <x:v>RVB22 coordinated engineering review</x:v>
      </x:c>
      <x:c r="I203"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
CRITERION: CLOSED
DESKTOP: CURRENT EVIDENCE REVIEWED
REMAINING: </x:v>
      </x:c>
      <x:c r="J203" s="161"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analyses/thermal_i18/face_15.0/RESULTS.json
current/THERMAL_REVIEW.md</x:v>
      </x:c>
      <x:c r="K203" s="62" t="str">
        <x:v>Rev B; characterize Rev A only within its approved bench limits</x:v>
      </x:c>
      <x:c r="L203" s="62" t="str">
        <x:v>E</x:v>
      </x:c>
      <x:c r="M203" s="62" t="str"/>
      <x:c r="N203" s="70" t="str">
        <x:v>CLOSED</x:v>
      </x:c>
    </x:row>
    <x:row r="204" ht="195" customHeight="1">
      <x:c r="A204" s="62" t="str">
        <x:v>THERM-02</x:v>
      </x:c>
      <x:c r="B204" s="62" t="str">
        <x:v>Thermal and environmental reliability</x:v>
      </x:c>
      <x:c r="C204" s="65" t="str">
        <x:v>P1</x:v>
      </x:c>
      <x:c r="D204" s="62" t="str">
        <x:v>G4 Bench</x:v>
      </x:c>
      <x:c r="E204" s="62" t="str">
        <x:v>Are junction temperatures calculated and measured with enclosure and worst simultaneous loads?</x:v>
      </x:c>
      <x:c r="F204" s="62" t="str">
        <x:v>Thermal model, component limits, sensor/IR method and measured hot spots.</x:v>
      </x:c>
      <x:c r="G204" s="22" t="str">
        <x:v>CURRENT SOURCE OR MODEL WITH REMAINING CONDITIONS</x:v>
      </x:c>
      <x:c r="H204" s="22" t="str">
        <x:v>RVB22 coordinated engineering review</x:v>
      </x:c>
      <x:c r="I204"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DESKTOP WORK REMAINING
REMAINING: finish that engineering model or revise cooling/operating limits before sensor/IR correlation and actual hot-spot acceptance.</x:v>
      </x:c>
      <x:c r="J204"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c r="K204" s="62" t="str">
        <x:v>Rev B; characterize Rev A only within its approved bench limits</x:v>
      </x:c>
      <x:c r="L204" s="62" t="str">
        <x:v>E</x:v>
      </x:c>
      <x:c r="M204" s="62" t="str"/>
      <x:c r="N204" s="70" t="str">
        <x:v>OPEN</x:v>
      </x:c>
    </x:row>
    <x:row r="205" ht="195" customHeight="1">
      <x:c r="A205" s="62" t="str">
        <x:v>THERM-03</x:v>
      </x:c>
      <x:c r="B205" s="62" t="str">
        <x:v>Thermal and environmental reliability</x:v>
      </x:c>
      <x:c r="C205" s="65" t="str">
        <x:v>P1</x:v>
      </x:c>
      <x:c r="D205" s="62" t="str">
        <x:v>G4 Bench</x:v>
      </x:c>
      <x:c r="E205" s="62" t="str">
        <x:v>Are voltage/current ratings derated for temperature and aging across the selected life target?</x:v>
      </x:c>
      <x:c r="F205" s="62" t="str">
        <x:v>Part stress/life table includes regulators, TVS, capacitors, inductors and connectors.</x:v>
      </x:c>
      <x:c r="G205" s="22" t="str">
        <x:v>CURRENT SOURCE OR MODEL WITH REMAINING CONDITIONS</x:v>
      </x:c>
      <x:c r="H205" s="22" t="str">
        <x:v>RVB22 coordinated engineering review</x:v>
      </x:c>
      <x:c r="I205"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COMPLETED CONDITIONAL MODEL
REMAINING: actual mission profile and supplier life/pulse guarantees remain conditional.</x:v>
      </x:c>
      <x:c r="J205"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c r="K205" s="62" t="str">
        <x:v>Rev B; characterize Rev A only within its approved bench limits</x:v>
      </x:c>
      <x:c r="L205" s="62" t="str">
        <x:v>E</x:v>
      </x:c>
      <x:c r="M205" s="62" t="str"/>
      <x:c r="N205" s="70" t="str">
        <x:v>OPEN</x:v>
      </x:c>
    </x:row>
    <x:row r="206" ht="195" customHeight="1">
      <x:c r="A206" s="62" t="str">
        <x:v>THERM-04</x:v>
      </x:c>
      <x:c r="B206" s="62" t="str">
        <x:v>Thermal and environmental reliability</x:v>
      </x:c>
      <x:c r="C206" s="65" t="str">
        <x:v>P1</x:v>
      </x:c>
      <x:c r="D206" s="62" t="str">
        <x:v>G4 Bench</x:v>
      </x:c>
      <x:c r="E206" s="62" t="str">
        <x:v>Does GPS/ADC performance remain acceptable across temperature, not only digital boot behavior?</x:v>
      </x:c>
      <x:c r="F206" s="62" t="str">
        <x:v>Accuracy/noise/RF tests at cold, nominal and hot operating conditions.</x:v>
      </x:c>
      <x:c r="G206" s="22" t="str">
        <x:v>CURRENT SOURCE OR MODEL WITH REMAINING CONDITIONS</x:v>
      </x:c>
      <x:c r="H206" s="22" t="str">
        <x:v>RVB22 coordinated engineering review</x:v>
      </x:c>
      <x:c r="I206"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accuracy/noise/RF temperature tests remain.</x:v>
      </x:c>
      <x:c r="J206" s="161" t="str">
        <x:v>lanes/firmware_oil/RECOVERED_FIRMWARE_TEST_RESULTS.json
lanes/firmware_oil/RECOVERY_CALIBRATION_GAIN_REDLINE.json
interfaces/OIL_HARNESS_ERROR_SWEEP.json
analyses/thermal_i18/face_15.0/RESULTS.json
current/THERMAL_REVIEW.md</x:v>
      </x:c>
      <x:c r="K206" s="62" t="str">
        <x:v>Rev B; characterize Rev A only within its approved bench limits</x:v>
      </x:c>
      <x:c r="L206" s="62" t="str">
        <x:v>E</x:v>
      </x:c>
      <x:c r="M206" s="62" t="str"/>
      <x:c r="N206" s="70" t="str">
        <x:v>OPEN</x:v>
      </x:c>
    </x:row>
    <x:row r="207" ht="195" customHeight="1">
      <x:c r="A207" s="62" t="str">
        <x:v>THERM-05</x:v>
      </x:c>
      <x:c r="B207" s="62" t="str">
        <x:v>Thermal and environmental reliability</x:v>
      </x:c>
      <x:c r="C207" s="65" t="str">
        <x:v>P1</x:v>
      </x:c>
      <x:c r="D207" s="62" t="str">
        <x:v>G4 Bench</x:v>
      </x:c>
      <x:c r="E207" s="62" t="str">
        <x:v>Do thermal cycling and PCB expansion threaten solder joints or module attachment?</x:v>
      </x:c>
      <x:c r="F207" s="62" t="str">
        <x:v>Material/assembly review and cycling test acceptance criteria.</x:v>
      </x:c>
      <x:c r="G207" s="22" t="str">
        <x:v>CURRENT SOURCE OR MODEL WITH REMAINING CONDITIONS</x:v>
      </x:c>
      <x:c r="H207" s="22" t="str">
        <x:v>RVB22 coordinated engineering review</x:v>
      </x:c>
      <x:c r="I207"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assembler/material and cycling applicability remain.</x:v>
      </x:c>
      <x:c r="J207" s="161" t="str">
        <x:v>analyses/installation/DASHBOARD_EXPOSURE_AND_SERVICE.md
lanes/mechanics/MECHANICAL_INSTALLATION_RVB22.md
analyses/thermal_i18/face_15.0/RESULTS.json
current/THERMAL_REVIEW.md</x:v>
      </x:c>
      <x:c r="K207" s="62" t="str">
        <x:v>Rev B; characterize Rev A only within its approved bench limits</x:v>
      </x:c>
      <x:c r="L207" s="62" t="str">
        <x:v>E</x:v>
      </x:c>
      <x:c r="M207" s="62" t="str"/>
      <x:c r="N207" s="70" t="str">
        <x:v>OPEN</x:v>
      </x:c>
    </x:row>
    <x:row r="208" ht="195" customHeight="1">
      <x:c r="A208" s="62" t="str">
        <x:v>THERM-06</x:v>
      </x:c>
      <x:c r="B208" s="62" t="str">
        <x:v>Thermal and environmental reliability</x:v>
      </x:c>
      <x:c r="C208" s="65" t="str">
        <x:v>P1</x:v>
      </x:c>
      <x:c r="D208" s="62" t="str">
        <x:v>G4 Bench</x:v>
      </x:c>
      <x:c r="E208" s="62" t="str">
        <x:v>Are vibration and shock profiles tied to installation and mounting method?</x:v>
      </x:c>
      <x:c r="F208" s="62" t="str">
        <x:v>Agreed mechanical test profile with pre/post functional checks.</x:v>
      </x:c>
      <x:c r="G208" s="22" t="str">
        <x:v>CURRENT SOURCE OR MODEL WITH REMAINING CONDITIONS</x:v>
      </x:c>
      <x:c r="H208" s="22" t="str">
        <x:v>RVB22 coordinated engineering review</x:v>
      </x:c>
      <x:c r="I208"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real mechanical qualification remains.</x:v>
      </x:c>
      <x:c r="J208" s="161" t="str">
        <x:v>analyses/installation/DASHBOARD_EXPOSURE_AND_SERVICE.md
lanes/mechanics/MECHANICAL_INSTALLATION_RVB22.md
analyses/thermal_i18/face_15.0/RESULTS.json
current/THERMAL_REVIEW.md</x:v>
      </x:c>
      <x:c r="K208" s="62" t="str">
        <x:v>Rev B; characterize Rev A only within its approved bench limits</x:v>
      </x:c>
      <x:c r="L208" s="62" t="str">
        <x:v>E</x:v>
      </x:c>
      <x:c r="M208" s="62" t="str"/>
      <x:c r="N208" s="70" t="str">
        <x:v>OPEN</x:v>
      </x:c>
    </x:row>
    <x:row r="209" ht="195" customHeight="1">
      <x:c r="A209" s="62" t="str">
        <x:v>THERM-07</x:v>
      </x:c>
      <x:c r="B209" s="62" t="str">
        <x:v>Thermal and environmental reliability</x:v>
      </x:c>
      <x:c r="C209" s="65" t="str">
        <x:v>P1</x:v>
      </x:c>
      <x:c r="D209" s="62" t="str">
        <x:v>G4 Bench</x:v>
      </x:c>
      <x:c r="E209" s="62" t="str">
        <x:v>Are moisture, condensation, dust and relevant automotive fluids addressed?</x:v>
      </x:c>
      <x:c r="F209" s="62" t="str">
        <x:v>Exposure matrix and selected enclosure/coating/material compatibility.</x:v>
      </x:c>
      <x:c r="G209" s="22" t="str">
        <x:v>CURRENT SOURCE OR MODEL WITH REMAINING CONDITIONS</x:v>
      </x:c>
      <x:c r="H209" s="22" t="str">
        <x:v>RVB22 coordinated engineering review</x:v>
      </x:c>
      <x:c r="I209"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COMPLETED CONDITIONAL MODEL
REMAINING: selected carrier,adhesive,jacket,hot-creep and material compatibility remain conditional and do not satisfy the full original F.</x:v>
      </x:c>
      <x:c r="J209" s="161" t="str">
        <x:v>analyses/installation/DASHBOARD_EXPOSURE_AND_SERVICE.md
lanes/mechanics/MECHANICAL_INSTALLATION_RVB22.md
analyses/thermal_i18/face_15.0/RESULTS.json
current/THERMAL_REVIEW.md</x:v>
      </x:c>
      <x:c r="K209" s="62" t="str">
        <x:v>Rev B; characterize Rev A only within its approved bench limits</x:v>
      </x:c>
      <x:c r="L209" s="62" t="str">
        <x:v>E</x:v>
      </x:c>
      <x:c r="M209" s="62" t="str"/>
      <x:c r="N209" s="70" t="str">
        <x:v>OPEN</x:v>
      </x:c>
    </x:row>
    <x:row r="210" ht="195" customHeight="1">
      <x:c r="A210" s="62" t="str">
        <x:v>THERM-08</x:v>
      </x:c>
      <x:c r="B210" s="62" t="str">
        <x:v>Thermal and environmental reliability</x:v>
      </x:c>
      <x:c r="C210" s="65" t="str">
        <x:v>P1</x:v>
      </x:c>
      <x:c r="D210" s="62" t="str">
        <x:v>G4 Bench</x:v>
      </x:c>
      <x:c r="E210" s="62" t="str">
        <x:v>Is any conformal coating compatible with RF, connectors, test pads and repair?</x:v>
      </x:c>
      <x:c r="F210" s="62" t="str">
        <x:v>Masking, process and inspection instructions; antennas/contact surfaces protected appropriately.</x:v>
      </x:c>
      <x:c r="G210" s="22" t="str">
        <x:v>CLOSED BY ORIGINAL SCOPE</x:v>
      </x:c>
      <x:c r="H210" s="22" t="str">
        <x:v>RVB22 coordinated engineering review</x:v>
      </x:c>
      <x:c r="I210"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
CRITERION: CLOSED
DESKTOP: CURRENT EVIDENCE REVIEWED
REMAINING: </x:v>
      </x:c>
      <x:c r="J210" s="161" t="str">
        <x:v>iterations/I06_harness_handoff/CANDIDATE_MANIFEST.json
analyses/thermal_i18/face_15.0/RESULTS.json
current/THERMAL_REVIEW.md</x:v>
      </x:c>
      <x:c r="K210" s="62" t="str">
        <x:v>Rev B; characterize Rev A only within its approved bench limits</x:v>
      </x:c>
      <x:c r="L210" s="62" t="str">
        <x:v>E</x:v>
      </x:c>
      <x:c r="M210" s="62" t="str"/>
      <x:c r="N210" s="70" t="str">
        <x:v>CLOSED</x:v>
      </x:c>
    </x:row>
    <x:row r="211" ht="195" customHeight="1">
      <x:c r="A211" s="62" t="str">
        <x:v>THERM-09</x:v>
      </x:c>
      <x:c r="B211" s="62" t="str">
        <x:v>Thermal and environmental reliability</x:v>
      </x:c>
      <x:c r="C211" s="65" t="str">
        <x:v>P1</x:v>
      </x:c>
      <x:c r="D211" s="62" t="str">
        <x:v>G4 Bench</x:v>
      </x:c>
      <x:c r="E211" s="62" t="str">
        <x:v>Are components, module solder joints and coax connectors protected from repeated service stress?</x:v>
      </x:c>
      <x:c r="F211" s="62" t="str">
        <x:v>Service-cycle/retention assessment and permitted mating procedure.</x:v>
      </x:c>
      <x:c r="G211" s="22" t="str">
        <x:v>CURRENT SOURCE OR MODEL WITH REMAINING CONDITIONS</x:v>
      </x:c>
      <x:c r="H211" s="22" t="str">
        <x:v>RVB22 coordinated engineering review</x:v>
      </x:c>
      <x:c r="I211"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cable/connector cycle/retention evidence remains.</x:v>
      </x:c>
      <x:c r="J211" s="161"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c r="K211" s="62" t="str">
        <x:v>Rev B; characterize Rev A only within its approved bench limits</x:v>
      </x:c>
      <x:c r="L211" s="62" t="str">
        <x:v>E</x:v>
      </x:c>
      <x:c r="M211" s="62" t="str"/>
      <x:c r="N211" s="70" t="str">
        <x:v>OPEN</x:v>
      </x:c>
    </x:row>
    <x:row r="212" ht="195" customHeight="1">
      <x:c r="A212" s="62" t="str">
        <x:v>THERM-10</x:v>
      </x:c>
      <x:c r="B212" s="62" t="str">
        <x:v>Thermal and environmental reliability</x:v>
      </x:c>
      <x:c r="C212" s="65" t="str">
        <x:v>P1</x:v>
      </x:c>
      <x:c r="D212" s="62" t="str">
        <x:v>G4 Bench</x:v>
      </x:c>
      <x:c r="E212" s="62" t="str">
        <x:v>Is long-duration stability demonstrated beyond the previously observed minutes-to-failure behavior?</x:v>
      </x:c>
      <x:c r="F212" s="62" t="str">
        <x:v>Soak duration justified by failure mechanism, with current, temperature, resets, loss and timing logged.</x:v>
      </x:c>
      <x:c r="G212" s="22" t="str">
        <x:v>CURRENT SOURCE OR MODEL WITH REMAINING CONDITIONS</x:v>
      </x:c>
      <x:c r="H212" s="22" t="str">
        <x:v>RVB22 coordinated engineering review</x:v>
      </x:c>
      <x:c r="I212" s="22"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
CRITERION: OPEN
DESKTOP: HARDWARE OR INSTALLATION ACCEPTANCE
REMAINING: actual elapsed soak and logs remain.</x:v>
      </x:c>
      <x:c r="J212" s="161" t="str">
        <x:v>analyses/installation/DASHBOARD_EXPOSURE_AND_SERVICE.md
lanes/mechanics/MECHANICAL_INSTALLATION_RVB22.md
analyses/thermal_i18/face_15.0/RESULTS.json
current/THERMAL_REVIEW.md</x:v>
      </x:c>
      <x:c r="K212" s="62" t="str">
        <x:v>Rev B; characterize Rev A only within its approved bench limits</x:v>
      </x:c>
      <x:c r="L212" s="62" t="str">
        <x:v>E</x:v>
      </x:c>
      <x:c r="M212" s="62" t="str"/>
      <x:c r="N212" s="70" t="str">
        <x:v>OPEN</x:v>
      </x:c>
    </x:row>
    <x:row r="213" ht="195" customHeight="1">
      <x:c r="A213" s="62" t="str">
        <x:v>EMC-01</x:v>
      </x:c>
      <x:c r="B213" s="62" t="str">
        <x:v>EMC, ESD and self-interference</x:v>
      </x:c>
      <x:c r="C213" s="65" t="str">
        <x:v>P0</x:v>
      </x:c>
      <x:c r="D213" s="62" t="str">
        <x:v>G4 Bench</x:v>
      </x:c>
      <x:c r="E213" s="62" t="str">
        <x:v>Which emissions, immunity and electrical-transient requirements actually apply to this installation and release goal?</x:v>
      </x:c>
      <x:c r="F213" s="62" t="str">
        <x:v>Applicability matrix records standards/editions, severity, configuration and pass/fail functional criteria.</x:v>
      </x:c>
      <x:c r="G213" s="22" t="str">
        <x:v>CURRENT SOURCE OR MODEL WITH REMAINING CONDITIONS</x:v>
      </x:c>
      <x:c r="H213" s="22" t="str">
        <x:v>RVB22 coordinated engineering review</x:v>
      </x:c>
      <x:c r="I213"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applicable market/standard edition,severity and qualified acceptance remain to be agreed.</x:v>
      </x:c>
      <x:c r="J213" s="161" t="str">
        <x:v>analyses/installation/DASHBOARD_EXPOSURE_AND_SERVICE.md
lanes/mechanics/MECHANICAL_INSTALLATION_RVB22.md
analyses/rf_i18/EXTENDED_NETWORK_RESULTS.json
control/SI11_COUPLING_PATH_REVIEW.json</x:v>
      </x:c>
      <x:c r="K213" s="62" t="str">
        <x:v>Rev B; characterize Rev A only within its approved bench limits</x:v>
      </x:c>
      <x:c r="L213" s="62" t="str">
        <x:v>S15</x:v>
      </x:c>
      <x:c r="M213" s="62" t="str">
        <x:v>https://webstore.iec.ch/en/publication/64645</x:v>
      </x:c>
      <x:c r="N213" s="70" t="str">
        <x:v>OPEN</x:v>
      </x:c>
    </x:row>
    <x:row r="214" ht="195" customHeight="1">
      <x:c r="A214" s="62" t="str">
        <x:v>EMC-02</x:v>
      </x:c>
      <x:c r="B214" s="62" t="str">
        <x:v>EMC, ESD and self-interference</x:v>
      </x:c>
      <x:c r="C214" s="65" t="str">
        <x:v>P1</x:v>
      </x:c>
      <x:c r="D214" s="62" t="str">
        <x:v>G4 Bench</x:v>
      </x:c>
      <x:c r="E214" s="62" t="str">
        <x:v>Are power-line conducted emissions assessed with a representative harness and appropriate setup?</x:v>
      </x:c>
      <x:c r="F214" s="62" t="str">
        <x:v>Pre-compliance/qualification report states fixture, bandwidth, detector and operating modes.</x:v>
      </x:c>
      <x:c r="G214" s="22" t="str">
        <x:v>CURRENT SOURCE OR MODEL WITH REMAINING CONDITIONS</x:v>
      </x:c>
      <x:c r="H214" s="22" t="str">
        <x:v>RVB22 coordinated engineering review</x:v>
      </x:c>
      <x:c r="I21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fixture/RBW/detector qualification report remains.</x:v>
      </x:c>
      <x:c r="J214" s="161" t="str">
        <x:v>lanes/emc/EMC_DESKTOP_REPORT.md
lanes/emc/REDLINE_DISPOSITIONS.json
lanes/emc/EMC_NUMERICAL_VERIFICATION.json
analyses/rf_i18/EXTENDED_NETWORK_RESULTS.json
control/SI11_COUPLING_PATH_REVIEW.json</x:v>
      </x:c>
      <x:c r="K214" s="62" t="str">
        <x:v>Rev B; characterize Rev A only within its approved bench limits</x:v>
      </x:c>
      <x:c r="L214" s="62" t="str">
        <x:v>S15</x:v>
      </x:c>
      <x:c r="M214" s="62" t="str">
        <x:v>https://webstore.iec.ch/en/publication/64645</x:v>
      </x:c>
      <x:c r="N214" s="70" t="str">
        <x:v>OPEN</x:v>
      </x:c>
    </x:row>
    <x:row r="215" ht="195" customHeight="1">
      <x:c r="A215" s="62" t="str">
        <x:v>EMC-03</x:v>
      </x:c>
      <x:c r="B215" s="62" t="str">
        <x:v>EMC, ESD and self-interference</x:v>
      </x:c>
      <x:c r="C215" s="65" t="str">
        <x:v>P1</x:v>
      </x:c>
      <x:c r="D215" s="62" t="str">
        <x:v>G4 Bench</x:v>
      </x:c>
      <x:c r="E215" s="62" t="str">
        <x:v>Are radiated emissions from the PCB and attached cables evaluated?</x:v>
      </x:c>
      <x:c r="F215" s="62" t="str">
        <x:v>Worst-mode measurements include switchers, BLE traffic, GPS acquisition and interface activity.</x:v>
      </x:c>
      <x:c r="G215" s="22" t="str">
        <x:v>CURRENT SOURCE OR MODEL WITH REMAINING CONDITIONS</x:v>
      </x:c>
      <x:c r="H215" s="22" t="str">
        <x:v>RVB22 coordinated engineering review</x:v>
      </x:c>
      <x:c r="I215"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worst-mode radiated measurements remain.</x:v>
      </x:c>
      <x:c r="J215" s="161" t="str">
        <x:v>lanes/emc/EMC_DESKTOP_REPORT.md
lanes/emc/REDLINE_DISPOSITIONS.json
lanes/emc/EMC_NUMERICAL_VERIFICATION.json
analyses/rf_i18/EXTENDED_NETWORK_RESULTS.json
control/SI11_COUPLING_PATH_REVIEW.json</x:v>
      </x:c>
      <x:c r="K215" s="62" t="str">
        <x:v>Rev B; characterize Rev A only within its approved bench limits</x:v>
      </x:c>
      <x:c r="L215" s="62" t="str">
        <x:v>S15</x:v>
      </x:c>
      <x:c r="M215" s="62" t="str">
        <x:v>https://webstore.iec.ch/en/publication/64645</x:v>
      </x:c>
      <x:c r="N215" s="70" t="str">
        <x:v>OPEN</x:v>
      </x:c>
    </x:row>
    <x:row r="216" ht="195" customHeight="1">
      <x:c r="A216" s="62" t="str">
        <x:v>EMC-04</x:v>
      </x:c>
      <x:c r="B216" s="62" t="str">
        <x:v>EMC, ESD and self-interference</x:v>
      </x:c>
      <x:c r="C216" s="65" t="str">
        <x:v>P1</x:v>
      </x:c>
      <x:c r="D216" s="62" t="str">
        <x:v>G4 Bench</x:v>
      </x:c>
      <x:c r="E216" s="62" t="str">
        <x:v>Does the board remain safe and recover as required during conducted or radiated susceptibility testing?</x:v>
      </x:c>
      <x:c r="F216" s="62" t="str">
        <x:v>Agreed immunity tests observe CAN non-interference as well as MCU operation.</x:v>
      </x:c>
      <x:c r="G216" s="22" t="str">
        <x:v>CURRENT SOURCE OR MODEL WITH REMAINING CONDITIONS</x:v>
      </x:c>
      <x:c r="H216" s="22" t="str">
        <x:v>RVB22 coordinated engineering review</x:v>
      </x:c>
      <x:c r="I21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agreed immunity tests remain.</x:v>
      </x:c>
      <x:c r="J216" s="161" t="str">
        <x:v>lanes/emc/EMC_DESKTOP_REPORT.md
lanes/emc/REDLINE_DISPOSITIONS.json
lanes/emc/EMC_NUMERICAL_VERIFICATION.json
analyses/rf_i18/EXTENDED_NETWORK_RESULTS.json
control/SI11_COUPLING_PATH_REVIEW.json</x:v>
      </x:c>
      <x:c r="K216" s="62" t="str">
        <x:v>Rev B; characterize Rev A only within its approved bench limits</x:v>
      </x:c>
      <x:c r="L216" s="62" t="str">
        <x:v>S15</x:v>
      </x:c>
      <x:c r="M216" s="62" t="str">
        <x:v>https://webstore.iec.ch/en/publication/64645</x:v>
      </x:c>
      <x:c r="N216" s="70" t="str">
        <x:v>OPEN</x:v>
      </x:c>
    </x:row>
    <x:row r="217" ht="195" customHeight="1">
      <x:c r="A217" s="62" t="str">
        <x:v>EMC-05</x:v>
      </x:c>
      <x:c r="B217" s="62" t="str">
        <x:v>EMC, ESD and self-interference</x:v>
      </x:c>
      <x:c r="C217" s="65" t="str">
        <x:v>P0</x:v>
      </x:c>
      <x:c r="D217" s="62" t="str">
        <x:v>G4 Bench</x:v>
      </x:c>
      <x:c r="E217" s="62" t="str">
        <x:v>Are accessible connectors, antenna and service points covered by the ESD test plan?</x:v>
      </x:c>
      <x:c r="F217" s="62" t="str">
        <x:v>Contact/air discharge locations and ground return configuration are documented.</x:v>
      </x:c>
      <x:c r="G217" s="22" t="str">
        <x:v>CLOSED BY ORIGINAL SCOPE</x:v>
      </x:c>
      <x:c r="H217" s="22" t="str">
        <x:v>RVB22 coordinated engineering review</x:v>
      </x:c>
      <x:c r="I21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17" s="161" t="str">
        <x:v>lanes/emc/EMC_DESKTOP_REPORT.md
lanes/emc/REDLINE_DISPOSITIONS.json
lanes/emc/EMC_NUMERICAL_VERIFICATION.json
analyses/rf_i18/EXTENDED_NETWORK_RESULTS.json
control/SI11_COUPLING_PATH_REVIEW.json</x:v>
      </x:c>
      <x:c r="K217" s="62" t="str">
        <x:v>Rev B; characterize Rev A only within its approved bench limits</x:v>
      </x:c>
      <x:c r="L217" s="62" t="str">
        <x:v>S15</x:v>
      </x:c>
      <x:c r="M217" s="62" t="str">
        <x:v>https://webstore.iec.ch/en/publication/64645</x:v>
      </x:c>
      <x:c r="N217" s="70" t="str">
        <x:v>CLOSED</x:v>
      </x:c>
    </x:row>
    <x:row r="218" ht="392" customHeight="1">
      <x:c r="A218" s="62" t="str">
        <x:v>EMC-06</x:v>
      </x:c>
      <x:c r="B218" s="62" t="str">
        <x:v>EMC, ESD and self-interference</x:v>
      </x:c>
      <x:c r="C218" s="65" t="str">
        <x:v>P1</x:v>
      </x:c>
      <x:c r="D218" s="62" t="str">
        <x:v>G4 Bench</x:v>
      </x:c>
      <x:c r="E218" s="62" t="str">
        <x:v>Are ESD parts placed so discharge current does not first traverse the protected circuit?</x:v>
      </x:c>
      <x:c r="F218" s="62" t="str">
        <x:v>PCB current-path inspection and measured robustness.</x:v>
      </x:c>
      <x:c r="G218" s="22" t="str">
        <x:v>CURRENT SOURCE OR MODEL WITH REMAINING CONDITIONS</x:v>
      </x:c>
      <x:c r="H218" s="22" t="str">
        <x:v>RVB22 coordinated engineering review</x:v>
      </x:c>
      <x:c r="I21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measured assembled robustness remains.</x:v>
      </x:c>
      <x:c r="J218" s="161" t="str">
        <x:v>lanes/emc/EMC_DESKTOP_REPORT.md
lanes/emc/REDLINE_DISPOSITIONS.json
lanes/emc/EMC_NUMERICAL_VERIFICATION.json
analyses/rf_i18/EXTENDED_NETWORK_RESULTS.json
control/SI11_COUPLING_PATH_REVIEW.json</x:v>
      </x:c>
      <x:c r="K218" s="62" t="str">
        <x:v>Rev B; characterize Rev A only within its approved bench limits</x:v>
      </x:c>
      <x:c r="L218" s="62" t="str">
        <x:v>S15</x:v>
      </x:c>
      <x:c r="M218" s="62" t="str">
        <x:v>https://webstore.iec.ch/en/publication/64645</x:v>
      </x:c>
      <x:c r="N218" s="70" t="str">
        <x:v>OPEN</x:v>
      </x:c>
    </x:row>
    <x:row r="219" ht="195" customHeight="1">
      <x:c r="A219" s="62" t="str">
        <x:v>EMC-07</x:v>
      </x:c>
      <x:c r="B219" s="62" t="str">
        <x:v>EMC, ESD and self-interference</x:v>
      </x:c>
      <x:c r="C219" s="65" t="str">
        <x:v>P1</x:v>
      </x:c>
      <x:c r="D219" s="62" t="str">
        <x:v>G4 Bench</x:v>
      </x:c>
      <x:c r="E219" s="62" t="str">
        <x:v>Can the board interfere with its own GPS or analog measurement even if external emissions limits are met?</x:v>
      </x:c>
      <x:c r="F219" s="62" t="str">
        <x:v>Controlled aggressor on/off test measures receiver and ADC degradation.</x:v>
      </x:c>
      <x:c r="G219" s="22" t="str">
        <x:v>CURRENT SOURCE OR MODEL WITH REMAINING CONDITIONS</x:v>
      </x:c>
      <x:c r="H219" s="22" t="str">
        <x:v>RVB22 coordinated engineering review</x:v>
      </x:c>
      <x:c r="I21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controlled degradation measurements remain.</x:v>
      </x:c>
      <x:c r="J219" s="161" t="str">
        <x:v>lanes/emc/EMC_DESKTOP_REPORT.md
lanes/emc/REDLINE_DISPOSITIONS.json
lanes/emc/EMC_NUMERICAL_VERIFICATION.json
analyses/rf_i18/EXTENDED_NETWORK_RESULTS.json
control/SI11_COUPLING_PATH_REVIEW.json</x:v>
      </x:c>
      <x:c r="K219" s="62" t="str">
        <x:v>Rev B; characterize Rev A only within its approved bench limits</x:v>
      </x:c>
      <x:c r="L219" s="62" t="str">
        <x:v>S15</x:v>
      </x:c>
      <x:c r="M219" s="62" t="str">
        <x:v>https://webstore.iec.ch/en/publication/64645</x:v>
      </x:c>
      <x:c r="N219" s="70" t="str">
        <x:v>OPEN</x:v>
      </x:c>
    </x:row>
    <x:row r="220" ht="195" customHeight="1">
      <x:c r="A220" s="62" t="str">
        <x:v>EMC-08</x:v>
      </x:c>
      <x:c r="B220" s="62" t="str">
        <x:v>EMC, ESD and self-interference</x:v>
      </x:c>
      <x:c r="C220" s="65" t="str">
        <x:v>P1</x:v>
      </x:c>
      <x:c r="D220" s="62" t="str">
        <x:v>G4 Bench</x:v>
      </x:c>
      <x:c r="E220" s="62" t="str">
        <x:v>Are changes in cable routing, enclosure, antenna and mounting reflected in the tested configuration?</x:v>
      </x:c>
      <x:c r="F220" s="62" t="str">
        <x:v>Qualification configuration matches installation constraints and approved variants.</x:v>
      </x:c>
      <x:c r="G220" s="22" t="str">
        <x:v>CURRENT SOURCE OR MODEL WITH REMAINING CONDITIONS</x:v>
      </x:c>
      <x:c r="H220" s="22" t="str">
        <x:v>RVB22 coordinated engineering review</x:v>
      </x:c>
      <x:c r="I22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tested configuration applicability remains.</x:v>
      </x:c>
      <x:c r="J220" s="161" t="str">
        <x:v>analyses/installation/DASHBOARD_EXPOSURE_AND_SERVICE.md
lanes/mechanics/MECHANICAL_INSTALLATION_RVB22.md
analyses/rf_i18/EXTENDED_NETWORK_RESULTS.json
control/SI11_COUPLING_PATH_REVIEW.json</x:v>
      </x:c>
      <x:c r="K220" s="62" t="str">
        <x:v>Rev B; characterize Rev A only within its approved bench limits</x:v>
      </x:c>
      <x:c r="L220" s="62" t="str">
        <x:v>S15</x:v>
      </x:c>
      <x:c r="M220" s="62" t="str">
        <x:v>https://webstore.iec.ch/en/publication/64645</x:v>
      </x:c>
      <x:c r="N220" s="70" t="str">
        <x:v>OPEN</x:v>
      </x:c>
    </x:row>
    <x:row r="221" ht="195" customHeight="1">
      <x:c r="A221" s="62" t="str">
        <x:v>EMC-09</x:v>
      </x:c>
      <x:c r="B221" s="62" t="str">
        <x:v>EMC, ESD and self-interference</x:v>
      </x:c>
      <x:c r="C221" s="65" t="str">
        <x:v>P1</x:v>
      </x:c>
      <x:c r="D221" s="62" t="str">
        <x:v>G4 Bench</x:v>
      </x:c>
      <x:c r="E221" s="62" t="str">
        <x:v>Are test failures differentiated into damage, upset, recoverable data loss and unsafe bus behavior?</x:v>
      </x:c>
      <x:c r="F221" s="62" t="str">
        <x:v>Functional status criteria and post-test inspection prevent a reboot from being counted as universal success.</x:v>
      </x:c>
      <x:c r="G221" s="22" t="str">
        <x:v>CLOSED BY ORIGINAL SCOPE</x:v>
      </x:c>
      <x:c r="H221" s="22" t="str">
        <x:v>RVB22 coordinated engineering review</x:v>
      </x:c>
      <x:c r="I22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21" s="161" t="str">
        <x:v>control/SI11_COUPLING_PATH_REVIEW.json
control/SI11_COUPLING_REVIEW_AND_TEST_PLAN.md
control/REG07_SOURCE_COPPER_ANNOTATIONS.json
analyses/rf_i18/EXTENDED_NETWORK_RESULTS.json</x:v>
      </x:c>
      <x:c r="K221" s="62" t="str">
        <x:v>Rev B; characterize Rev A only within its approved bench limits</x:v>
      </x:c>
      <x:c r="L221" s="62" t="str">
        <x:v>S15</x:v>
      </x:c>
      <x:c r="M221" s="62" t="str">
        <x:v>https://webstore.iec.ch/en/publication/64645</x:v>
      </x:c>
      <x:c r="N221" s="70" t="str">
        <x:v>CLOSED</x:v>
      </x:c>
    </x:row>
    <x:row r="222" ht="195" customHeight="1">
      <x:c r="A222" s="62" t="str">
        <x:v>EMC-10</x:v>
      </x:c>
      <x:c r="B222" s="62" t="str">
        <x:v>EMC, ESD and self-interference</x:v>
      </x:c>
      <x:c r="C222" s="65" t="str">
        <x:v>P1</x:v>
      </x:c>
      <x:c r="D222" s="62" t="str">
        <x:v>G4 Bench</x:v>
      </x:c>
      <x:c r="E222" s="62" t="str">
        <x:v>Are regulator frequency, drive strength, filtering or shielding mitigations verified without introducing new faults?</x:v>
      </x:c>
      <x:c r="F222" s="62" t="str">
        <x:v>Before/after evidence and regression tests for power stability, RF and measurement accuracy.</x:v>
      </x:c>
      <x:c r="G222" s="22" t="str">
        <x:v>CURRENT SOURCE OR MODEL WITH REMAINING CONDITIONS</x:v>
      </x:c>
      <x:c r="H222" s="22" t="str">
        <x:v>RVB22 coordinated engineering review</x:v>
      </x:c>
      <x:c r="I22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physical power/RF/measurement regression remains.</x:v>
      </x:c>
      <x:c r="J222" s="161" t="str">
        <x:v>lanes/emc/EMC_DESKTOP_REPORT.md
lanes/emc/REDLINE_DISPOSITIONS.json
lanes/emc/EMC_NUMERICAL_VERIFICATION.json
analyses/rf_i18/EXTENDED_NETWORK_RESULTS.json
control/SI11_COUPLING_PATH_REVIEW.json</x:v>
      </x:c>
      <x:c r="K222" s="62" t="str">
        <x:v>Rev B; characterize Rev A only within its approved bench limits</x:v>
      </x:c>
      <x:c r="L222" s="62" t="str">
        <x:v>S15</x:v>
      </x:c>
      <x:c r="M222" s="62" t="str">
        <x:v>https://webstore.iec.ch/en/publication/64645</x:v>
      </x:c>
      <x:c r="N222" s="70" t="str">
        <x:v>OPEN</x:v>
      </x:c>
    </x:row>
    <x:row r="223" ht="195" customHeight="1">
      <x:c r="A223" s="62" t="str">
        <x:v>LAY-01</x:v>
      </x:c>
      <x:c r="B223" s="62" t="str">
        <x:v>Placement and power-layout review</x:v>
      </x:c>
      <x:c r="C223" s="65" t="str">
        <x:v>P0</x:v>
      </x:c>
      <x:c r="D223" s="62" t="str">
        <x:v>G2 Layout</x:v>
      </x:c>
      <x:c r="E223" s="62" t="str">
        <x:v>Are input capacitor, switching devices and return arranged as the selected regulator's critical hot loop requires?</x:v>
      </x:c>
      <x:c r="F223" s="62" t="str">
        <x:v>Annotated high-di/dt loops compared with the exact manufacturer reference layout.</x:v>
      </x:c>
      <x:c r="G223" s="22" t="str">
        <x:v>CLOSED BY ORIGINAL SCOPE</x:v>
      </x:c>
      <x:c r="H223" s="22" t="str">
        <x:v>RVB22 coordinated engineering review</x:v>
      </x:c>
      <x:c r="I223"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3" s="161" t="str">
        <x:v>control/RVB22_BRING_UP_AND_MEASUREMENT_CONTRACT.md
control/BRINGUP_SCHEMATIC_TEXT_DELTA.json
control/BRINGUP_ACTUAL_NODE_INDEX.json
control/FINAL_I04_BRINGUP_BINDING.json
analyses/manufacturing_i20/RESULTS.json
analyses/service_i19/RESULTS.json
current/SOURCE_EFFECTIVITY.json</x:v>
      </x:c>
      <x:c r="K223" s="62" t="str">
        <x:v>Rev B; characterize Rev A only within its approved bench limits</x:v>
      </x:c>
      <x:c r="L223" s="62" t="str">
        <x:v>S8</x:v>
      </x:c>
      <x:c r="M223" s="62" t="str">
        <x:v>https://www.ti.com/lit/pdf/slyt614</x:v>
      </x:c>
      <x:c r="N223" s="70" t="str">
        <x:v>CLOSED</x:v>
      </x:c>
    </x:row>
    <x:row r="224" ht="195" customHeight="1">
      <x:c r="A224" s="62" t="str">
        <x:v>LAY-02</x:v>
      </x:c>
      <x:c r="B224" s="62" t="str">
        <x:v>Placement and power-layout review</x:v>
      </x:c>
      <x:c r="C224" s="65" t="str">
        <x:v>P1</x:v>
      </x:c>
      <x:c r="D224" s="62" t="str">
        <x:v>G2 Layout</x:v>
      </x:c>
      <x:c r="E224" s="62" t="str">
        <x:v>Is the switch node kept compact and away from ADC, GPS, antennas and feedback routing?</x:v>
      </x:c>
      <x:c r="F224" s="62" t="str">
        <x:v>Copper-area/adjacency inspection on all layers; no sensitive route crosses the switching field region.</x:v>
      </x:c>
      <x:c r="G224" s="22" t="str">
        <x:v>CLOSED BY ORIGINAL SCOPE</x:v>
      </x:c>
      <x:c r="H224" s="22" t="str">
        <x:v>RVB22 coordinated engineering review</x:v>
      </x:c>
      <x:c r="I224" s="22" t="str">
        <x:v>Actual filled layers and the source-bound switching/coupling review are reconciled with I20. No new native clearance or pad-net finding remains. Conditional field coupling and thermal qualification remain in their own criteria.
CRITERION: CLOSED
DESKTOP: COMPLETED CURRENT SOURCE VERIFICATION
REMAINING: Original documentary, design-inspection or execution scope satisfied. Related supplier and physical criteria retain their own dispositions.</x:v>
      </x:c>
      <x:c r="J224" s="161" t="str">
        <x:v>analyses/manufacturing_i20/RESULTS.json
current/SOURCE_EFFECTIVITY.json
control/SI11_COUPLING_PATH_REVIEW.json</x:v>
      </x:c>
      <x:c r="K224" s="62" t="str">
        <x:v>Rev B; characterize Rev A only within its approved bench limits</x:v>
      </x:c>
      <x:c r="L224" s="62" t="str">
        <x:v>S8</x:v>
      </x:c>
      <x:c r="M224" s="62" t="str">
        <x:v>https://www.ti.com/lit/pdf/slyt614</x:v>
      </x:c>
      <x:c r="N224" s="70" t="str">
        <x:v>CLOSED</x:v>
      </x:c>
    </x:row>
    <x:row r="225" ht="195" customHeight="1">
      <x:c r="A225" s="62" t="str">
        <x:v>LAY-03</x:v>
      </x:c>
      <x:c r="B225" s="62" t="str">
        <x:v>Placement and power-layout review</x:v>
      </x:c>
      <x:c r="C225" s="65" t="str">
        <x:v>P1</x:v>
      </x:c>
      <x:c r="D225" s="62" t="str">
        <x:v>G2 Layout</x:v>
      </x:c>
      <x:c r="E225" s="62" t="str">
        <x:v>Is feedback sensed from the intended output point with a quiet ground reference?</x:v>
      </x:c>
      <x:c r="F225" s="62" t="str">
        <x:v>Kelvin/feedback path review identifies any shared switching or load-return impedance.</x:v>
      </x:c>
      <x:c r="G225" s="22" t="str">
        <x:v>CLOSED BY ORIGINAL SCOPE</x:v>
      </x:c>
      <x:c r="H225" s="22" t="str">
        <x:v>RVB22 coordinated engineering review</x:v>
      </x:c>
      <x:c r="I225"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5" s="161" t="str">
        <x:v>lanes/power/POWER_GEOMETRY_REPORT.json
lanes/power/COUPLED_STARTUP_ENVELOPE.json
lanes/power_limits/POWER_LIMITS_SUMMARY.json
lanes/power/FINAL_I04_POWER_EFFECTIVITY.json
analyses/manufacturing_i20/RESULTS.json
analyses/service_i19/RESULTS.json
current/SOURCE_EFFECTIVITY.json</x:v>
      </x:c>
      <x:c r="K225" s="62" t="str">
        <x:v>Rev B; characterize Rev A only within its approved bench limits</x:v>
      </x:c>
      <x:c r="L225" s="62" t="str">
        <x:v>S8</x:v>
      </x:c>
      <x:c r="M225" s="62" t="str">
        <x:v>https://www.ti.com/lit/pdf/slyt614</x:v>
      </x:c>
      <x:c r="N225" s="70" t="str">
        <x:v>CLOSED</x:v>
      </x:c>
    </x:row>
    <x:row r="226" ht="195" customHeight="1">
      <x:c r="A226" s="62" t="str">
        <x:v>LAY-04</x:v>
      </x:c>
      <x:c r="B226" s="62" t="str">
        <x:v>Placement and power-layout review</x:v>
      </x:c>
      <x:c r="C226" s="65" t="str">
        <x:v>P1</x:v>
      </x:c>
      <x:c r="D226" s="62" t="str">
        <x:v>G2 Layout</x:v>
      </x:c>
      <x:c r="E226" s="62" t="str">
        <x:v>Are decoupling loops physically short at each supply pin, with effective ground connections?</x:v>
      </x:c>
      <x:c r="F226" s="62" t="str">
        <x:v>Pin-to-capacitor-to-return path marked in layout, not only decoupler quantity listed.</x:v>
      </x:c>
      <x:c r="G226" s="22" t="str">
        <x:v>CLOSED BY ORIGINAL SCOPE</x:v>
      </x:c>
      <x:c r="H226" s="22" t="str">
        <x:v>RVB22 coordinated engineering review</x:v>
      </x:c>
      <x:c r="I226"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6"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x:v>
      </x:c>
      <x:c r="K226" s="62" t="str">
        <x:v>Rev B; characterize Rev A only within its approved bench limits</x:v>
      </x:c>
      <x:c r="L226" s="62" t="str">
        <x:v>S8</x:v>
      </x:c>
      <x:c r="M226" s="62" t="str">
        <x:v>https://www.ti.com/lit/pdf/slyt614</x:v>
      </x:c>
      <x:c r="N226" s="70" t="str">
        <x:v>CLOSED</x:v>
      </x:c>
    </x:row>
    <x:row r="227" ht="326" customHeight="1">
      <x:c r="A227" s="62" t="str">
        <x:v>LAY-05</x:v>
      </x:c>
      <x:c r="B227" s="62" t="str">
        <x:v>Placement and power-layout review</x:v>
      </x:c>
      <x:c r="C227" s="65" t="str">
        <x:v>P1</x:v>
      </x:c>
      <x:c r="D227" s="62" t="str">
        <x:v>G2 Layout</x:v>
      </x:c>
      <x:c r="E227" s="62" t="str">
        <x:v>Are connector protection devices encountered before long sensitive signal runs?</x:v>
      </x:c>
      <x:c r="F227" s="62" t="str">
        <x:v>Connector-to-protection-to-circuit route and discharge return are directly inspected.</x:v>
      </x:c>
      <x:c r="G227" s="22" t="str">
        <x:v>CLOSED BY ORIGINAL SCOPE</x:v>
      </x:c>
      <x:c r="H227" s="22" t="str">
        <x:v>RVB22 coordinated engineering review</x:v>
      </x:c>
      <x:c r="I227"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27" s="161" t="str">
        <x:v>lanes/emc/EMC_DESKTOP_REPORT.md
lanes/emc/REDLINE_DISPOSITIONS.json
lanes/emc/EMC_NUMERICAL_VERIFICATION.json
analyses/manufacturing_i20/RESULTS.json
analyses/service_i19/RESULTS.json
current/SOURCE_EFFECTIVITY.json</x:v>
      </x:c>
      <x:c r="K227" s="62" t="str">
        <x:v>Rev B; characterize Rev A only within its approved bench limits</x:v>
      </x:c>
      <x:c r="L227" s="62" t="str">
        <x:v>S8</x:v>
      </x:c>
      <x:c r="M227" s="62" t="str">
        <x:v>https://www.ti.com/lit/pdf/slyt614</x:v>
      </x:c>
      <x:c r="N227" s="70" t="str">
        <x:v>CLOSED</x:v>
      </x:c>
    </x:row>
    <x:row r="228" ht="205" customHeight="1">
      <x:c r="A228" s="62" t="str">
        <x:v>LAY-06</x:v>
      </x:c>
      <x:c r="B228" s="62" t="str">
        <x:v>Placement and power-layout review</x:v>
      </x:c>
      <x:c r="C228" s="65" t="str">
        <x:v>P1</x:v>
      </x:c>
      <x:c r="D228" s="62" t="str">
        <x:v>G2 Layout</x:v>
      </x:c>
      <x:c r="E228" s="62" t="str">
        <x:v>Are trace width, copper neck-downs, thermal reliefs and via transitions adequate for power and fault current?</x:v>
      </x:c>
      <x:c r="F228" s="62" t="str">
        <x:v>Worst constriction analysis uses actual copper/plating and thermal-rise limits.</x:v>
      </x:c>
      <x:c r="G228" s="22" t="str">
        <x:v>CURRENT SOURCE OR MODEL WITH REMAINING CONDITIONS</x:v>
      </x:c>
      <x:c r="H228" s="22" t="str">
        <x:v>RVB22 coordinated engineering review</x:v>
      </x:c>
      <x:c r="I228" s="22" t="str">
        <x:v>Current source geometry, filled copper, 153 models, TranquilWorks logo and 37 test-probe approaches are verified within declared envelopes.
Original criterion disposition remains open. The prior detailed assessment is retained in previous_I06_disposition and the historical register; current evidence and remaining conditions govern this row.
CRITERION: OPEN
DESKTOP: COMPLETED CONDITIONAL MODEL
REMAINING: finished plating/thermal-rise applicability remains conditional.</x:v>
      </x:c>
      <x:c r="J228" s="161" t="str">
        <x:v>lanes/power/FINAL_I04_POWER_EFFECTIVITY.json
lanes/power/COUPLED_STARTUP_ENVELOPE.json
lanes/power_limits/POWER_LIMITS_SUMMARY.json
analyses/manufacturing_i20/RESULTS.json
analyses/service_i19/RESULTS.json
current/SOURCE_EFFECTIVITY.json</x:v>
      </x:c>
      <x:c r="K228" s="62" t="str">
        <x:v>Rev B; characterize Rev A only within its approved bench limits</x:v>
      </x:c>
      <x:c r="L228" s="62" t="str">
        <x:v>S8</x:v>
      </x:c>
      <x:c r="M228" s="62" t="str">
        <x:v>https://www.ti.com/lit/pdf/slyt614</x:v>
      </x:c>
      <x:c r="N228" s="70" t="str">
        <x:v>OPEN</x:v>
      </x:c>
    </x:row>
    <x:row r="229" ht="337" customHeight="1">
      <x:c r="A229" s="62" t="str">
        <x:v>LAY-07</x:v>
      </x:c>
      <x:c r="B229" s="62" t="str">
        <x:v>Placement and power-layout review</x:v>
      </x:c>
      <x:c r="C229" s="65" t="str">
        <x:v>P1</x:v>
      </x:c>
      <x:c r="D229" s="62" t="str">
        <x:v>G2 Layout</x:v>
      </x:c>
      <x:c r="E229" s="62" t="str">
        <x:v>Is analog input conditioning close to the ADC without creating an unprotected long connector trace?</x:v>
      </x:c>
      <x:c r="F229" s="62" t="str">
        <x:v>Deliberate partition of connector-side protection and ADC-side filtering.</x:v>
      </x:c>
      <x:c r="G229" s="22" t="str">
        <x:v>CLOSED BY ORIGINAL SCOPE</x:v>
      </x:c>
      <x:c r="H229" s="22" t="str">
        <x:v>RVB22 coordinated engineering review</x:v>
      </x:c>
      <x:c r="I229" s="22"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
CRITERION: CLOSED
DESKTOP: CURRENT EVIDENCE REVIEWED
REMAINING: </x:v>
      </x:c>
      <x:c r="J229" s="161"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x:v>
      </x:c>
      <x:c r="K229" s="62" t="str">
        <x:v>Rev B; characterize Rev A only within its approved bench limits</x:v>
      </x:c>
      <x:c r="L229" s="62" t="str">
        <x:v>S8</x:v>
      </x:c>
      <x:c r="M229" s="62" t="str">
        <x:v>https://www.ti.com/lit/pdf/slyt614</x:v>
      </x:c>
      <x:c r="N229" s="70" t="str">
        <x:v>CLOSED</x:v>
      </x:c>
    </x:row>
    <x:row r="230" ht="195" customHeight="1">
      <x:c r="A230" s="62" t="str">
        <x:v>LAY-08</x:v>
      </x:c>
      <x:c r="B230" s="62" t="str">
        <x:v>Placement and power-layout review</x:v>
      </x:c>
      <x:c r="C230" s="65" t="str">
        <x:v>P1</x:v>
      </x:c>
      <x:c r="D230" s="62" t="str">
        <x:v>G2 Layout</x:v>
      </x:c>
      <x:c r="E230" s="62" t="str">
        <x:v>Are GPS and BLE placements driven by RF/enclosure constraints rather than leftover board area?</x:v>
      </x:c>
      <x:c r="F230" s="62" t="str">
        <x:v>3D placement review and measurement plan for the final installation.</x:v>
      </x:c>
      <x:c r="G230" s="22" t="str">
        <x:v>CLOSED BY ORIGINAL SCOPE</x:v>
      </x:c>
      <x:c r="H230" s="22" t="str">
        <x:v>RVB22 coordinated engineering review</x:v>
      </x:c>
      <x:c r="I230" s="22" t="str">
        <x:v>Declared populated, mated and RF-accessory geometry has 776 checks with zero interference. The dashboard installation and RF correlation plan remains attached to the selected locations.
CRITERION: CLOSED
DESKTOP: COMPLETED CURRENT SOURCE VERIFICATION
REMAINING: Original documentary, design-inspection or execution scope satisfied. Related supplier and physical criteria retain their own dispositions.</x:v>
      </x:c>
      <x:c r="J230" s="161" t="str">
        <x:v>analyses/mated_i18/RESULTS.json
analyses/service_i19/RESULTS.json
analyses/installation/DASHBOARD_EXPOSURE_AND_SERVICE.md
current/SOURCE_EFFECTIVITY.json</x:v>
      </x:c>
      <x:c r="K230" s="62" t="str">
        <x:v>Rev B; characterize Rev A only within its approved bench limits</x:v>
      </x:c>
      <x:c r="L230" s="62" t="str">
        <x:v>S8</x:v>
      </x:c>
      <x:c r="M230" s="62" t="str">
        <x:v>https://www.ti.com/lit/pdf/slyt614</x:v>
      </x:c>
      <x:c r="N230" s="70" t="str">
        <x:v>CLOSED</x:v>
      </x:c>
    </x:row>
    <x:row r="231" ht="195" customHeight="1">
      <x:c r="A231" s="62" t="str">
        <x:v>LAY-09</x:v>
      </x:c>
      <x:c r="B231" s="62" t="str">
        <x:v>Placement and power-layout review</x:v>
      </x:c>
      <x:c r="C231" s="65" t="str">
        <x:v>P1</x:v>
      </x:c>
      <x:c r="D231" s="62" t="str">
        <x:v>G2 Layout</x:v>
      </x:c>
      <x:c r="E231" s="62" t="str">
        <x:v>Are silkscreen, test pads and component courtyards kept out of critical routing or assembly zones?</x:v>
      </x:c>
      <x:c r="F231" s="62" t="str">
        <x:v>Clearance, probe-access and assembly checks at actual scale.</x:v>
      </x:c>
      <x:c r="G231" s="22" t="str">
        <x:v>CLOSED BY ORIGINAL SCOPE</x:v>
      </x:c>
      <x:c r="H231" s="22" t="str">
        <x:v>RVB22 coordinated engineering review</x:v>
      </x:c>
      <x:c r="I231" s="22" t="str">
        <x:v>Actual native clearance/legend checks pass, including the compact TW logo and the Tag-Connect 0.508 mm rule. All 37 declared probe approaches pass. Bottom probing requires carrier removal.
CRITERION: CLOSED
DESKTOP: COMPLETED CURRENT SOURCE VERIFICATION
REMAINING: Original documentary, design-inspection or execution scope satisfied. Related supplier and physical criteria retain their own dispositions.</x:v>
      </x:c>
      <x:c r="J231" s="161" t="str">
        <x:v>iterations/I20_controlled_handoff/NATIVE_BINDING.json
analyses/service_i19/RESULTS.json
current/SOURCE_EFFECTIVITY.json</x:v>
      </x:c>
      <x:c r="K231" s="62" t="str">
        <x:v>Rev B; characterize Rev A only within its approved bench limits</x:v>
      </x:c>
      <x:c r="L231" s="62" t="str">
        <x:v>S8</x:v>
      </x:c>
      <x:c r="M231" s="62" t="str">
        <x:v>https://www.ti.com/lit/pdf/slyt614</x:v>
      </x:c>
      <x:c r="N231" s="70" t="str">
        <x:v>CLOSED</x:v>
      </x:c>
    </x:row>
    <x:row r="232" ht="195" customHeight="1">
      <x:c r="A232" s="62" t="str">
        <x:v>LAY-10</x:v>
      </x:c>
      <x:c r="B232" s="62" t="str">
        <x:v>Placement and power-layout review</x:v>
      </x:c>
      <x:c r="C232" s="65" t="str">
        <x:v>P0</x:v>
      </x:c>
      <x:c r="D232" s="62" t="str">
        <x:v>G2 Layout</x:v>
      </x:c>
      <x:c r="E232" s="62" t="str">
        <x:v>Are all routed nets, filled zones and exported layers identical to the reviewed candidate?</x:v>
      </x:c>
      <x:c r="F232" s="62" t="str">
        <x:v>Clean refill/DRC and generated-output checks tied to source hash.</x:v>
      </x:c>
      <x:c r="G232" s="22" t="str">
        <x:v>CLOSED BY ORIGINAL SCOPE</x:v>
      </x:c>
      <x:c r="H232" s="22" t="str">
        <x:v>RVB22 coordinated engineering review</x:v>
      </x:c>
      <x:c r="I232" s="22" t="str">
        <x:v>Current source hashes match the I20 native run. Independent comparison finds exact agreement for all four copper Gerbers, 338 plated drills, ten NPTH drills and every pad net.
CRITERION: CLOSED
DESKTOP: COMPLETED CURRENT SOURCE VERIFICATION
REMAINING: Original documentary, design-inspection or execution scope satisfied. Related supplier and physical criteria retain their own dispositions.</x:v>
      </x:c>
      <x:c r="J232" s="161" t="str">
        <x:v>iterations/I20_controlled_handoff/NATIVE_BINDING.json
current/I21_SOURCE_VERIFICATION.json
analyses/manufacturing_i20/RESULTS.json
current/SOURCE_EFFECTIVITY.json</x:v>
      </x:c>
      <x:c r="K232" s="62" t="str">
        <x:v>Rev B; characterize Rev A only within its approved bench limits</x:v>
      </x:c>
      <x:c r="L232" s="62" t="str">
        <x:v>S8</x:v>
      </x:c>
      <x:c r="M232" s="62" t="str">
        <x:v>https://www.ti.com/lit/pdf/slyt614</x:v>
      </x:c>
      <x:c r="N232" s="70" t="str">
        <x:v>CLOSED</x:v>
      </x:c>
    </x:row>
    <x:row r="233" ht="195" customHeight="1">
      <x:c r="A233" s="62" t="str">
        <x:v>DFM-01</x:v>
      </x:c>
      <x:c r="B233" s="62" t="str">
        <x:v>PCB fabrication and assembly</x:v>
      </x:c>
      <x:c r="C233" s="65" t="str">
        <x:v>P0</x:v>
      </x:c>
      <x:c r="D233" s="62" t="str">
        <x:v>G3 Fabrication</x:v>
      </x:c>
      <x:c r="E233" s="62" t="str">
        <x:v>Can the selected fabricator build the exact stackup, widths, clearances, drills and controlled impedances?</x:v>
      </x:c>
      <x:c r="F233" s="62" t="str">
        <x:v>Supplier capability review and approved stackup/impedance notes.</x:v>
      </x:c>
      <x:c r="G233" s="22" t="str">
        <x:v>CURRENT SOURCE OR MODEL WITH REMAINING CONDITIONS</x:v>
      </x:c>
      <x:c r="H233" s="22" t="str">
        <x:v>RVB22 coordinated engineering review</x:v>
      </x:c>
      <x:c r="I233"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current supplier capability/impedance agreement remains.</x:v>
      </x:c>
      <x:c r="J233"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33" s="62" t="str">
        <x:v>Rev B; characterize Rev A only within its approved bench limits</x:v>
      </x:c>
      <x:c r="L233" s="62" t="str">
        <x:v>S13</x:v>
      </x:c>
      <x:c r="M233" s="62" t="str">
        <x:v>https://www.ipc.org/ipc-certifications</x:v>
      </x:c>
      <x:c r="N233" s="70" t="str">
        <x:v>OPEN</x:v>
      </x:c>
    </x:row>
    <x:row r="234" ht="195" customHeight="1">
      <x:c r="A234" s="62" t="str">
        <x:v>DFM-02</x:v>
      </x:c>
      <x:c r="B234" s="62" t="str">
        <x:v>PCB fabrication and assembly</x:v>
      </x:c>
      <x:c r="C234" s="65" t="str">
        <x:v>P1</x:v>
      </x:c>
      <x:c r="D234" s="62" t="str">
        <x:v>G3 Fabrication</x:v>
      </x:c>
      <x:c r="E234" s="62" t="str">
        <x:v>Are finished hole sizes, plating, annular rings, aspect ratios and drill tolerances suitable?</x:v>
      </x:c>
      <x:c r="F234" s="62" t="str">
        <x:v>Fabrication drawing and DFM report agree with connector and mechanical requirements.</x:v>
      </x:c>
      <x:c r="G234" s="22" t="str">
        <x:v>CURRENT SOURCE OR MODEL WITH REMAINING CONDITIONS</x:v>
      </x:c>
      <x:c r="H234" s="22" t="str">
        <x:v>RVB22 coordinated engineering review</x:v>
      </x:c>
      <x:c r="I234"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Fabrication drawing and DFM report agree with connector and mechanical requirements.</x:v>
      </x:c>
      <x:c r="J234" s="161" t="str">
        <x:v>runtime/final_I06_actual_preflight/RESULT.json
runtime/run_native_candidate.py
iterations/I20_controlled_handoff/NATIVE_BINDING.json
current/SOURCE_EFFECTIVITY.json
current/MANUFACTURING_AND_ASSEMBLY.md</x:v>
      </x:c>
      <x:c r="K234" s="62" t="str">
        <x:v>Rev B; characterize Rev A only within its approved bench limits</x:v>
      </x:c>
      <x:c r="L234" s="62" t="str">
        <x:v>S13</x:v>
      </x:c>
      <x:c r="M234" s="62" t="str">
        <x:v>https://www.ipc.org/ipc-certifications</x:v>
      </x:c>
      <x:c r="N234" s="70" t="str">
        <x:v>OPEN</x:v>
      </x:c>
    </x:row>
    <x:row r="235" ht="195" customHeight="1">
      <x:c r="A235" s="62" t="str">
        <x:v>DFM-03</x:v>
      </x:c>
      <x:c r="B235" s="62" t="str">
        <x:v>PCB fabrication and assembly</x:v>
      </x:c>
      <x:c r="C235" s="65" t="str">
        <x:v>P1</x:v>
      </x:c>
      <x:c r="D235" s="62" t="str">
        <x:v>G3 Fabrication</x:v>
      </x:c>
      <x:c r="E235" s="62" t="str">
        <x:v>Are plated versus non-plated holes, slots, cutouts and routed edges unambiguous?</x:v>
      </x:c>
      <x:c r="F235" s="62" t="str">
        <x:v>Independent Gerber/drill/outline inspection and drawing callouts.</x:v>
      </x:c>
      <x:c r="G235" s="22" t="str">
        <x:v>CLOSED BY ORIGINAL SCOPE</x:v>
      </x:c>
      <x:c r="H235" s="22" t="str">
        <x:v>RVB22 coordinated engineering review</x:v>
      </x:c>
      <x:c r="I235" s="22" t="str">
        <x:v>Separate Gerber/drill reconstruction distinguishes 338 plated and ten non-plated drills, including the Tag-Connect locating holes. The controlled outline contains the C206 thermal tab.
CRITERION: CLOSED
DESKTOP: COMPLETED CURRENT SOURCE VERIFICATION
REMAINING: Original documentary, design-inspection or execution scope satisfied. Related supplier and physical criteria retain their own dispositions.</x:v>
      </x:c>
      <x:c r="J235" s="161" t="str">
        <x:v>analyses/manufacturing_i20/RESULTS.json
iterations/I18_capacitor_thermal_tab/CURRENT_OUTLINE_GEOMETRY.json
current/SOURCE_EFFECTIVITY.json</x:v>
      </x:c>
      <x:c r="K235" s="62" t="str">
        <x:v>Rev B; characterize Rev A only within its approved bench limits</x:v>
      </x:c>
      <x:c r="L235" s="62" t="str">
        <x:v>S13</x:v>
      </x:c>
      <x:c r="M235" s="62" t="str">
        <x:v>https://www.ipc.org/ipc-certifications</x:v>
      </x:c>
      <x:c r="N235" s="70" t="str">
        <x:v>CLOSED</x:v>
      </x:c>
    </x:row>
    <x:row r="236" ht="195" customHeight="1">
      <x:c r="A236" s="62" t="str">
        <x:v>DFM-04</x:v>
      </x:c>
      <x:c r="B236" s="62" t="str">
        <x:v>PCB fabrication and assembly</x:v>
      </x:c>
      <x:c r="C236" s="65" t="str">
        <x:v>P1</x:v>
      </x:c>
      <x:c r="D236" s="62" t="str">
        <x:v>G3 Fabrication</x:v>
      </x:c>
      <x:c r="E236" s="62" t="str">
        <x:v>Are copper-to-edge, solder-mask slivers, exposed copper and pad clearances manufacturable?</x:v>
      </x:c>
      <x:c r="F236" s="62" t="str">
        <x:v>Supplier design-rule check and disposition of every violation.</x:v>
      </x:c>
      <x:c r="G236" s="22" t="str">
        <x:v>OPEN ORIGINAL ACCEPTANCE</x:v>
      </x:c>
      <x:c r="H236" s="22" t="str">
        <x:v>RVB22 coordinated engineering review</x:v>
      </x:c>
      <x:c r="I236" s="22" t="str">
        <x:v>The current native JLC-targeted clearance, mask and edge rules report zero findings. This is not an executed supplier DFM review or a supplier guarantee of construction limits.
CRITERION: OPEN
DESKTOP: CURRENT EVIDENCE REVIEWED
REMAINING: Obtain a supplier result for the exact current files and minimum copper, plating, mask and edge conditions. Resolve any returned findings in a new coordinated iteration.</x:v>
      </x:c>
      <x:c r="J236" s="161" t="str">
        <x:v>runtime/run_native_candidate.py
runtime/final_I06_actual_preflight/RESULT.json
runtime/NATIVE_NEGATIVE_CONTROL_RECHECK.json
iterations/I06_harness_handoff/CANDIDATE_MANIFEST.json
iterations/I20_controlled_handoff/NATIVE_BINDING.json
current/SOURCE_EFFECTIVITY.json
current/MANUFACTURING_AND_ASSEMBLY.md</x:v>
      </x:c>
      <x:c r="K236" s="62" t="str">
        <x:v>Rev B; characterize Rev A only within its approved bench limits</x:v>
      </x:c>
      <x:c r="L236" s="62" t="str">
        <x:v>S13</x:v>
      </x:c>
      <x:c r="M236" s="62" t="str">
        <x:v>https://www.ipc.org/ipc-certifications</x:v>
      </x:c>
      <x:c r="N236" s="70" t="str">
        <x:v>OPEN</x:v>
      </x:c>
    </x:row>
    <x:row r="237" ht="195" customHeight="1">
      <x:c r="A237" s="62" t="str">
        <x:v>DFM-05</x:v>
      </x:c>
      <x:c r="B237" s="62" t="str">
        <x:v>PCB fabrication and assembly</x:v>
      </x:c>
      <x:c r="C237" s="65" t="str">
        <x:v>P1</x:v>
      </x:c>
      <x:c r="D237" s="62" t="str">
        <x:v>G3 Fabrication</x:v>
      </x:c>
      <x:c r="E237" s="62" t="str">
        <x:v>Are pad sizes, stencil apertures, paste coverage and thermal balance appropriate for each package?</x:v>
      </x:c>
      <x:c r="F237" s="62" t="str">
        <x:v>Land-pattern verification and assembler-approved stencil/reflow plan.</x:v>
      </x:c>
      <x:c r="G237" s="22" t="str">
        <x:v>CURRENT SOURCE OR MODEL WITH REMAINING CONDITIONS</x:v>
      </x:c>
      <x:c r="H237" s="22" t="str">
        <x:v>RVB22 coordinated engineering review</x:v>
      </x:c>
      <x:c r="I237"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assembler-approved stencil/reflow remains.</x:v>
      </x:c>
      <x:c r="J237"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37" s="62" t="str">
        <x:v>Rev B; characterize Rev A only within its approved bench limits</x:v>
      </x:c>
      <x:c r="L237" s="62" t="str">
        <x:v>S13</x:v>
      </x:c>
      <x:c r="M237" s="62" t="str">
        <x:v>https://www.ipc.org/ipc-certifications</x:v>
      </x:c>
      <x:c r="N237" s="70" t="str">
        <x:v>OPEN</x:v>
      </x:c>
    </x:row>
    <x:row r="238" ht="195" customHeight="1">
      <x:c r="A238" s="62" t="str">
        <x:v>DFM-06</x:v>
      </x:c>
      <x:c r="B238" s="62" t="str">
        <x:v>PCB fabrication and assembly</x:v>
      </x:c>
      <x:c r="C238" s="65" t="str">
        <x:v>P1</x:v>
      </x:c>
      <x:c r="D238" s="62" t="str">
        <x:v>G3 Fabrication</x:v>
      </x:c>
      <x:c r="E238" s="62" t="str">
        <x:v>Are fiducials, tooling access and panelization provisions sufficient for assembly?</x:v>
      </x:c>
      <x:c r="F238" s="62" t="str">
        <x:v>Assembly/panel drawing and production fixture review.</x:v>
      </x:c>
      <x:c r="G238" s="22" t="str">
        <x:v>CURRENT SOURCE OR MODEL WITH REMAINING CONDITIONS</x:v>
      </x:c>
      <x:c r="H238" s="22" t="str">
        <x:v>RVB22 coordinated engineering review</x:v>
      </x:c>
      <x:c r="I238"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production-fixture/panel supplier review remains.</x:v>
      </x:c>
      <x:c r="J238"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38" s="62" t="str">
        <x:v>Rev B; characterize Rev A only within its approved bench limits</x:v>
      </x:c>
      <x:c r="L238" s="62" t="str">
        <x:v>S13</x:v>
      </x:c>
      <x:c r="M238" s="62" t="str">
        <x:v>https://www.ipc.org/ipc-certifications</x:v>
      </x:c>
      <x:c r="N238" s="70" t="str">
        <x:v>OPEN</x:v>
      </x:c>
    </x:row>
    <x:row r="239" ht="195" customHeight="1">
      <x:c r="A239" s="62" t="str">
        <x:v>DFM-07</x:v>
      </x:c>
      <x:c r="B239" s="62" t="str">
        <x:v>PCB fabrication and assembly</x:v>
      </x:c>
      <x:c r="C239" s="65" t="str">
        <x:v>P1</x:v>
      </x:c>
      <x:c r="D239" s="62" t="str">
        <x:v>G3 Fabrication</x:v>
      </x:c>
      <x:c r="E239" s="62" t="str">
        <x:v>Are via-in-pad, filled/capped vias and thermal-pad soldering explicitly specified where used?</x:v>
      </x:c>
      <x:c r="F239" s="62" t="str">
        <x:v>Fabricator and assembler process agreement; no implicit special processing.</x:v>
      </x:c>
      <x:c r="G239" s="22" t="str">
        <x:v>CURRENT SOURCE OR MODEL WITH REMAINING CONDITIONS</x:v>
      </x:c>
      <x:c r="H239" s="22" t="str">
        <x:v>RVB22 coordinated engineering review</x:v>
      </x:c>
      <x:c r="I239"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fabricator/assembler process agreement remains.</x:v>
      </x:c>
      <x:c r="J239"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39" s="62" t="str">
        <x:v>Rev B; characterize Rev A only within its approved bench limits</x:v>
      </x:c>
      <x:c r="L239" s="62" t="str">
        <x:v>S13</x:v>
      </x:c>
      <x:c r="M239" s="62" t="str">
        <x:v>https://www.ipc.org/ipc-certifications</x:v>
      </x:c>
      <x:c r="N239" s="70" t="str">
        <x:v>OPEN</x:v>
      </x:c>
    </x:row>
    <x:row r="240" ht="195" customHeight="1">
      <x:c r="A240" s="62" t="str">
        <x:v>DFM-08</x:v>
      </x:c>
      <x:c r="B240" s="62" t="str">
        <x:v>PCB fabrication and assembly</x:v>
      </x:c>
      <x:c r="C240" s="65" t="str">
        <x:v>P1</x:v>
      </x:c>
      <x:c r="D240" s="62" t="str">
        <x:v>G3 Fabrication</x:v>
      </x:c>
      <x:c r="E240" s="62" t="str">
        <x:v>Does double-sided population have a valid reflow order and support strategy for heavy parts?</x:v>
      </x:c>
      <x:c r="F240" s="62" t="str">
        <x:v>Assembly sequence, temperature limits and inspection access approved.</x:v>
      </x:c>
      <x:c r="G240" s="22" t="str">
        <x:v>CURRENT SOURCE OR MODEL WITH REMAINING CONDITIONS</x:v>
      </x:c>
      <x:c r="H240" s="22" t="str">
        <x:v>RVB22 coordinated engineering review</x:v>
      </x:c>
      <x:c r="I240"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approval remains.</x:v>
      </x:c>
      <x:c r="J240"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40" s="62" t="str">
        <x:v>Rev B; characterize Rev A only within its approved bench limits</x:v>
      </x:c>
      <x:c r="L240" s="62" t="str">
        <x:v>S13</x:v>
      </x:c>
      <x:c r="M240" s="62" t="str">
        <x:v>https://www.ipc.org/ipc-certifications</x:v>
      </x:c>
      <x:c r="N240" s="70" t="str">
        <x:v>OPEN</x:v>
      </x:c>
    </x:row>
    <x:row r="241" ht="216" customHeight="1">
      <x:c r="A241" s="62" t="str">
        <x:v>DFM-09</x:v>
      </x:c>
      <x:c r="B241" s="62" t="str">
        <x:v>PCB fabrication and assembly</x:v>
      </x:c>
      <x:c r="C241" s="65" t="str">
        <x:v>P1</x:v>
      </x:c>
      <x:c r="D241" s="62" t="str">
        <x:v>G3 Fabrication</x:v>
      </x:c>
      <x:c r="E241" s="62" t="str">
        <x:v>Are cleanliness, flux residues, moisture sensitivity and component storage/reflow limits controlled?</x:v>
      </x:c>
      <x:c r="F241" s="62" t="str">
        <x:v>Work instructions identify sensitive modules and post-assembly cleaning/inspection.</x:v>
      </x:c>
      <x:c r="G241" s="22" t="str">
        <x:v>CURRENT SOURCE OR MODEL WITH REMAINING CONDITIONS</x:v>
      </x:c>
      <x:c r="H241" s="22" t="str">
        <x:v>RVB22 coordinated engineering review</x:v>
      </x:c>
      <x:c r="I241" s="22"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
CRITERION: OPEN
DESKTOP: SUPPLIER OR RESPONSIBLE ACCEPTANCE
REMAINING: remaining incoming declarations and actual build process remain supplier acceptance.</x:v>
      </x:c>
      <x:c r="J241" s="161" t="str">
        <x:v>analyses/assembly_handling/EXACT_MPN_HANDLING_REGISTER.json
analyses/assembly_handling/PROCESS_RECONCILIATION.md
lanes/mechanics/ASSEMBLY_PROCESS_RVB22.md
iterations/I20_controlled_handoff/NATIVE_BINDING.json
current/SOURCE_EFFECTIVITY.json
current/MANUFACTURING_AND_ASSEMBLY.md</x:v>
      </x:c>
      <x:c r="K241" s="62" t="str">
        <x:v>Rev B; characterize Rev A only within its approved bench limits</x:v>
      </x:c>
      <x:c r="L241" s="62" t="str">
        <x:v>S13</x:v>
      </x:c>
      <x:c r="M241" s="62" t="str">
        <x:v>https://www.ipc.org/ipc-certifications</x:v>
      </x:c>
      <x:c r="N241" s="70" t="str">
        <x:v>OPEN</x:v>
      </x:c>
    </x:row>
    <x:row r="242" ht="195" customHeight="1">
      <x:c r="A242" s="62" t="str">
        <x:v>DFM-10</x:v>
      </x:c>
      <x:c r="B242" s="62" t="str">
        <x:v>PCB fabrication and assembly</x:v>
      </x:c>
      <x:c r="C242" s="65" t="str">
        <x:v>P0</x:v>
      </x:c>
      <x:c r="D242" s="62" t="str">
        <x:v>G3 Fabrication</x:v>
      </x:c>
      <x:c r="E242" s="62" t="str">
        <x:v>Are DNP options, bench-only termination and test footprints excluded correctly from normal population?</x:v>
      </x:c>
      <x:c r="F242" s="62" t="str">
        <x:v>BOM, placement and assembly drawing parity with variant-specific inspection.</x:v>
      </x:c>
      <x:c r="G242" s="22" t="str">
        <x:v>CLOSED BY ORIGINAL SCOPE</x:v>
      </x:c>
      <x:c r="H242" s="22" t="str">
        <x:v>RVB22 coordinated engineering review</x:v>
      </x:c>
      <x:c r="I242" s="22" t="str">
        <x:v>All 153 fitted BOM references match their exact source properties. The 151 placement rows match position/side/rotation. F101 and U401 are explicit manual-assembly exceptions; DNP/test configuration is retained.
CRITERION: CLOSED
DESKTOP: COMPLETED CURRENT SOURCE VERIFICATION
REMAINING: Original documentary, design-inspection or execution scope satisfied. Related supplier and physical criteria retain their own dispositions.</x:v>
      </x:c>
      <x:c r="J242" s="161" t="str">
        <x:v>current/SOURCE_EFFECTIVITY.json
iterations/I20_controlled_handoff/NATIVE_BINDING.json</x:v>
      </x:c>
      <x:c r="K242" s="62" t="str">
        <x:v>Rev B; characterize Rev A only within its approved bench limits</x:v>
      </x:c>
      <x:c r="L242" s="62" t="str">
        <x:v>S13</x:v>
      </x:c>
      <x:c r="M242" s="62" t="str">
        <x:v>https://www.ipc.org/ipc-certifications</x:v>
      </x:c>
      <x:c r="N242" s="70" t="str">
        <x:v>CLOSED</x:v>
      </x:c>
    </x:row>
    <x:row r="243" ht="195" customHeight="1">
      <x:c r="A243" s="62" t="str">
        <x:v>DRW-01</x:v>
      </x:c>
      <x:c r="B243" s="62" t="str">
        <x:v>Drawings, BOM and release outputs</x:v>
      </x:c>
      <x:c r="C243" s="65" t="str">
        <x:v>P0</x:v>
      </x:c>
      <x:c r="D243" s="62" t="str">
        <x:v>G3 Fabrication</x:v>
      </x:c>
      <x:c r="E243" s="62" t="str">
        <x:v>Do schematic, PCB, BOM, placement, Gerbers, drills and drawings carry consistent part/revision identity?</x:v>
      </x:c>
      <x:c r="F243" s="62" t="str">
        <x:v>Release manifest with checksums and source/build identifiers.</x:v>
      </x:c>
      <x:c r="G243" s="22" t="str">
        <x:v>CLOSED BY ORIGINAL SCOPE</x:v>
      </x:c>
      <x:c r="H243" s="22" t="str">
        <x:v>RVB22 coordinated engineering review</x:v>
      </x:c>
      <x:c r="I243" s="22" t="str">
        <x:v>The current manifest binds source CAD, native filled PCB, BOM, placement, Gerber, drill, STEP, schematic PDF and firmware image. C05/W02/T03 and the 49 filled/capped locations are the controlling mechanical/process construction.
CRITERION: CLOSED
DESKTOP: COMPLETED CURRENT SOURCE VERIFICATION
REMAINING: Original documentary, design-inspection or execution scope satisfied. Related supplier and physical criteria retain their own dispositions.</x:v>
      </x:c>
      <x:c r="J243" s="161" t="str">
        <x:v>iterations/I20_controlled_handoff/NATIVE_BINDING.json
current/I21_SOURCE_VERIFICATION.json
current/SOURCE_EFFECTIVITY.json
current/MANUFACTURING_AND_ASSEMBLY.md</x:v>
      </x:c>
      <x:c r="K243" s="62" t="str">
        <x:v>Rev B; characterize Rev A only within its approved bench limits</x:v>
      </x:c>
      <x:c r="L243" s="62" t="str">
        <x:v>R1</x:v>
      </x:c>
      <x:c r="M243" s="62" t="str"/>
      <x:c r="N243" s="70" t="str">
        <x:v>CLOSED</x:v>
      </x:c>
    </x:row>
    <x:row r="244" ht="195" customHeight="1">
      <x:c r="A244" s="62" t="str">
        <x:v>DRW-02</x:v>
      </x:c>
      <x:c r="B244" s="62" t="str">
        <x:v>Drawings, BOM and release outputs</x:v>
      </x:c>
      <x:c r="C244" s="65" t="str">
        <x:v>P0</x:v>
      </x:c>
      <x:c r="D244" s="62" t="str">
        <x:v>G3 Fabrication</x:v>
      </x:c>
      <x:c r="E244" s="62" t="str">
        <x:v>Does every populated reference designator have an exact authorized part and valid placement?</x:v>
      </x:c>
      <x:c r="F244" s="62" t="str">
        <x:v>Automated BOM/PCB/PnP comparison with explicit through-hole/manual-assembly exceptions.</x:v>
      </x:c>
      <x:c r="G244" s="22" t="str">
        <x:v>CLOSED BY ORIGINAL SCOPE</x:v>
      </x:c>
      <x:c r="H244" s="22" t="str">
        <x:v>RVB22 coordinated engineering review</x:v>
      </x:c>
      <x:c r="I244" s="22" t="str">
        <x:v>BOM/PCB comparison covers all 153 fitted references, exact manufacturer part fields and footprint identity. PnP matches all 151 automated placements with explicit manual exceptions F101 and U401.
CRITERION: CLOSED
DESKTOP: COMPLETED CURRENT SOURCE VERIFICATION
REMAINING: Original documentary, design-inspection or execution scope satisfied. Related supplier and physical criteria retain their own dispositions.</x:v>
      </x:c>
      <x:c r="J244" s="161" t="str">
        <x:v>current/SOURCE_EFFECTIVITY.json
iterations/I20_controlled_handoff/NATIVE_BINDING.json</x:v>
      </x:c>
      <x:c r="K244" s="62" t="str">
        <x:v>Rev B; characterize Rev A only within its approved bench limits</x:v>
      </x:c>
      <x:c r="L244" s="62" t="str">
        <x:v>R1</x:v>
      </x:c>
      <x:c r="M244" s="62" t="str"/>
      <x:c r="N244" s="70" t="str">
        <x:v>CLOSED</x:v>
      </x:c>
    </x:row>
    <x:row r="245" ht="195" customHeight="1">
      <x:c r="A245" s="62" t="str">
        <x:v>DRW-03</x:v>
      </x:c>
      <x:c r="B245" s="62" t="str">
        <x:v>Drawings, BOM and release outputs</x:v>
      </x:c>
      <x:c r="C245" s="65" t="str">
        <x:v>P0</x:v>
      </x:c>
      <x:c r="D245" s="62" t="str">
        <x:v>G3 Fabrication</x:v>
      </x:c>
      <x:c r="E245" s="62" t="str">
        <x:v>Are top/bottom side and rotation conventions independently checked in placement output?</x:v>
      </x:c>
      <x:c r="F245" s="62" t="str">
        <x:v>Pin-1/polarity overlay against manufacturer drawings and an independent reviewer.</x:v>
      </x:c>
      <x:c r="G245" s="22" t="str">
        <x:v>CURRENT SOURCE OR MODEL WITH REMAINING CONDITIONS</x:v>
      </x:c>
      <x:c r="H245" s="22" t="str">
        <x:v>RVB22 coordinated engineering review</x:v>
      </x:c>
      <x:c r="I245" s="22"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Pin-1/polarity overlay against manufacturer drawings and an independent reviewer.</x:v>
      </x:c>
      <x:c r="J245" s="161" t="str">
        <x:v>runtime/final_I06_actual_preflight/RESULT.json
runtime/run_native_candidate.py
iterations/I20_controlled_handoff/NATIVE_BINDING.json
current/I21_SOURCE_VERIFICATION.json
current/SOURCE_EFFECTIVITY.json
current/MANUFACTURING_AND_ASSEMBLY.md</x:v>
      </x:c>
      <x:c r="K245" s="62" t="str">
        <x:v>Rev B; characterize Rev A only within its approved bench limits</x:v>
      </x:c>
      <x:c r="L245" s="62" t="str">
        <x:v>R1</x:v>
      </x:c>
      <x:c r="M245" s="62" t="str"/>
      <x:c r="N245" s="70" t="str">
        <x:v>OPEN</x:v>
      </x:c>
    </x:row>
    <x:row r="246" ht="195" customHeight="1">
      <x:c r="A246" s="62" t="str">
        <x:v>DRW-04</x:v>
      </x:c>
      <x:c r="B246" s="62" t="str">
        <x:v>Drawings, BOM and release outputs</x:v>
      </x:c>
      <x:c r="C246" s="65" t="str">
        <x:v>P1</x:v>
      </x:c>
      <x:c r="D246" s="62" t="str">
        <x:v>G3 Fabrication</x:v>
      </x:c>
      <x:c r="E246" s="62" t="str">
        <x:v>Does the fabrication drawing specify units, stackup, material, copper, finish, dimensions, tolerances and hole details?</x:v>
      </x:c>
      <x:c r="F246" s="62" t="str">
        <x:v>Complete controlled fabrication drawing reviewed by the actual supplier.</x:v>
      </x:c>
      <x:c r="G246" s="22" t="str">
        <x:v>CURRENT SOURCE OR MODEL WITH REMAINING CONDITIONS</x:v>
      </x:c>
      <x:c r="H246" s="22" t="str">
        <x:v>RVB22 coordinated engineering review</x:v>
      </x:c>
      <x:c r="I246" s="22"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
CRITERION: OPEN
DESKTOP: SUPPLIER OR RESPONSIBLE ACCEPTANCE
REMAINING: actual supplier review is not simulated.</x:v>
      </x:c>
      <x:c r="J246" s="161"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x:v>
      </x:c>
      <x:c r="K246" s="62" t="str">
        <x:v>Rev B; characterize Rev A only within its approved bench limits</x:v>
      </x:c>
      <x:c r="L246" s="62" t="str">
        <x:v>R1</x:v>
      </x:c>
      <x:c r="M246" s="62" t="str"/>
      <x:c r="N246" s="70" t="str">
        <x:v>OPEN</x:v>
      </x:c>
    </x:row>
    <x:row r="247" ht="205" customHeight="1">
      <x:c r="A247" s="62" t="str">
        <x:v>DRW-05</x:v>
      </x:c>
      <x:c r="B247" s="62" t="str">
        <x:v>Drawings, BOM and release outputs</x:v>
      </x:c>
      <x:c r="C247" s="65" t="str">
        <x:v>P1</x:v>
      </x:c>
      <x:c r="D247" s="62" t="str">
        <x:v>G3 Fabrication</x:v>
      </x:c>
      <x:c r="E247" s="62" t="str">
        <x:v>Does the assembly drawing show polarity, pin 1, DNP, variant details and special process requirements?</x:v>
      </x:c>
      <x:c r="F247" s="62" t="str">
        <x:v>Assembler review demonstrates build without verbal interpretation.</x:v>
      </x:c>
      <x:c r="G247" s="22" t="str">
        <x:v>CURRENT SOURCE OR MODEL WITH REMAINING CONDITIONS</x:v>
      </x:c>
      <x:c r="H247" s="22" t="str">
        <x:v>RVB22 coordinated engineering review</x:v>
      </x:c>
      <x:c r="I247" s="22"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
CRITERION: OPEN
DESKTOP: SUPPLIER OR RESPONSIBLE ACCEPTANCE
REMAINING: actual assembler buildability review remains.</x:v>
      </x:c>
      <x:c r="J247" s="161"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x:v>
      </x:c>
      <x:c r="K247" s="62" t="str">
        <x:v>Rev B; characterize Rev A only within its approved bench limits</x:v>
      </x:c>
      <x:c r="L247" s="62" t="str">
        <x:v>R1</x:v>
      </x:c>
      <x:c r="M247" s="62" t="str"/>
      <x:c r="N247" s="70" t="str">
        <x:v>OPEN</x:v>
      </x:c>
    </x:row>
    <x:row r="248" ht="195" customHeight="1">
      <x:c r="A248" s="62" t="str">
        <x:v>DRW-06</x:v>
      </x:c>
      <x:c r="B248" s="62" t="str">
        <x:v>Drawings, BOM and release outputs</x:v>
      </x:c>
      <x:c r="C248" s="65" t="str">
        <x:v>P0</x:v>
      </x:c>
      <x:c r="D248" s="62" t="str">
        <x:v>G3 Fabrication</x:v>
      </x:c>
      <x:c r="E248" s="62" t="str">
        <x:v>Are connector mating-view drawings and programming-cable drawings part of the release?</x:v>
      </x:c>
      <x:c r="F248" s="62" t="str">
        <x:v>Controlled harness and debug interface documents match actual continuity.</x:v>
      </x:c>
      <x:c r="G248" s="22" t="str">
        <x:v>CLOSED BY ORIGINAL SCOPE</x:v>
      </x:c>
      <x:c r="H248" s="22" t="str">
        <x:v>RVB22 coordinated engineering review</x:v>
      </x:c>
      <x:c r="I248"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48"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current/I21_SOURCE_VERIFICATION.json
current/SOURCE_EFFECTIVITY.json
current/MANUFACTURING_AND_ASSEMBLY.md</x:v>
      </x:c>
      <x:c r="K248" s="62" t="str">
        <x:v>Rev B; characterize Rev A only within its approved bench limits</x:v>
      </x:c>
      <x:c r="L248" s="62" t="str">
        <x:v>R1</x:v>
      </x:c>
      <x:c r="M248" s="62" t="str"/>
      <x:c r="N248" s="70" t="str">
        <x:v>CLOSED</x:v>
      </x:c>
    </x:row>
    <x:row r="249" ht="195" customHeight="1">
      <x:c r="A249" s="62" t="str">
        <x:v>DRW-07</x:v>
      </x:c>
      <x:c r="B249" s="62" t="str">
        <x:v>Drawings, BOM and release outputs</x:v>
      </x:c>
      <x:c r="C249" s="65" t="str">
        <x:v>P1</x:v>
      </x:c>
      <x:c r="D249" s="62" t="str">
        <x:v>G3 Fabrication</x:v>
      </x:c>
      <x:c r="E249" s="62" t="str">
        <x:v>Are bare pads identified as DNP components, test contacts, Tag-Connect contacts or a documented defect?</x:v>
      </x:c>
      <x:c r="F249" s="62" t="str">
        <x:v>No ambiguous unpopulated critical circuit; each intentional pad set has a stated purpose.</x:v>
      </x:c>
      <x:c r="G249" s="22" t="str">
        <x:v>CLOSED BY ORIGINAL SCOPE</x:v>
      </x:c>
      <x:c r="H249" s="22" t="str">
        <x:v>RVB22 coordinated engineering review</x:v>
      </x:c>
      <x:c r="I249"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49" s="161" t="str">
        <x:v>iterations/I06_harness_handoff/CANDIDATE_MANIFEST.json
iterations/I20_controlled_handoff/NATIVE_BINDING.json
current/I21_SOURCE_VERIFICATION.json
current/SOURCE_EFFECTIVITY.json
current/MANUFACTURING_AND_ASSEMBLY.md</x:v>
      </x:c>
      <x:c r="K249" s="62" t="str">
        <x:v>Rev B; characterize Rev A only within its approved bench limits</x:v>
      </x:c>
      <x:c r="L249" s="62" t="str">
        <x:v>R1</x:v>
      </x:c>
      <x:c r="M249" s="62" t="str"/>
      <x:c r="N249" s="70" t="str">
        <x:v>CLOSED</x:v>
      </x:c>
    </x:row>
    <x:row r="250" ht="195" customHeight="1">
      <x:c r="A250" s="62" t="str">
        <x:v>DRW-08</x:v>
      </x:c>
      <x:c r="B250" s="62" t="str">
        <x:v>Drawings, BOM and release outputs</x:v>
      </x:c>
      <x:c r="C250" s="65" t="str">
        <x:v>P0</x:v>
      </x:c>
      <x:c r="D250" s="62" t="str">
        <x:v>G3 Fabrication</x:v>
      </x:c>
      <x:c r="E250" s="62" t="str">
        <x:v>Are ERC/DRC warnings and errors individually resolved or technically waived?</x:v>
      </x:c>
      <x:c r="F250" s="62" t="str">
        <x:v>Reports include rule configuration, each waiver reason, scope, owner and approval.</x:v>
      </x:c>
      <x:c r="G250" s="22" t="str">
        <x:v>CLOSED BY ORIGINAL SCOPE</x:v>
      </x:c>
      <x:c r="H250" s="22" t="str">
        <x:v>RVB22 coordinated engineering review</x:v>
      </x:c>
      <x:c r="I250" s="22" t="str">
        <x:v>I20 native ERC, DRC, warnings, unconnected and schematic/PCB parity findings are all zero. The former ESP32 footprint warning is resolved. No finding waiver is needed.
CRITERION: CLOSED
DESKTOP: COMPLETED CURRENT SOURCE VERIFICATION
REMAINING: Original documentary, design-inspection or execution scope satisfied. Related supplier and physical criteria retain their own dispositions.</x:v>
      </x:c>
      <x:c r="J250" s="161" t="str">
        <x:v>iterations/I20_controlled_handoff/NATIVE_BINDING.json
current/I21_SOURCE_VERIFICATION.json
analyses/manufacturing_i20/RESULTS.json
current/SOURCE_EFFECTIVITY.json</x:v>
      </x:c>
      <x:c r="K250" s="62" t="str">
        <x:v>Rev B; characterize Rev A only within its approved bench limits</x:v>
      </x:c>
      <x:c r="L250" s="62" t="str">
        <x:v>R1</x:v>
      </x:c>
      <x:c r="M250" s="62" t="str"/>
      <x:c r="N250" s="70" t="str">
        <x:v>CLOSED</x:v>
      </x:c>
    </x:row>
    <x:row r="251" ht="195" customHeight="1">
      <x:c r="A251" s="62" t="str">
        <x:v>DRW-09</x:v>
      </x:c>
      <x:c r="B251" s="62" t="str">
        <x:v>Drawings, BOM and release outputs</x:v>
      </x:c>
      <x:c r="C251" s="65" t="str">
        <x:v>P0</x:v>
      </x:c>
      <x:c r="D251" s="62" t="str">
        <x:v>G3 Fabrication</x:v>
      </x:c>
      <x:c r="E251" s="62" t="str">
        <x:v>Are manufacturing files inspected independently of the authoring CAD tool?</x:v>
      </x:c>
      <x:c r="F251" s="62" t="str">
        <x:v>Separate Gerber/drill viewer and netlist/layer/polarity/outline checks.</x:v>
      </x:c>
      <x:c r="G251" s="22" t="str">
        <x:v>CLOSED BY ORIGINAL SCOPE</x:v>
      </x:c>
      <x:c r="H251" s="22" t="str">
        <x:v>RVB22 coordinated engineering review</x:v>
      </x:c>
      <x:c r="I251" s="22" t="str">
        <x:v>The rerun uses a separate geometric/Gerber parser, not a native CAD pass alone. All four copper exports and every plated/non-plated drill match intended source geometry.
CRITERION: CLOSED
DESKTOP: COMPLETED CURRENT SOURCE VERIFICATION
REMAINING: Original documentary, design-inspection or execution scope satisfied. Related supplier and physical criteria retain their own dispositions.</x:v>
      </x:c>
      <x:c r="J251" s="161" t="str">
        <x:v>analyses/manufacturing_i20/RESULTS.json
current/I21_SOURCE_VERIFICATION.json
current/SOURCE_EFFECTIVITY.json</x:v>
      </x:c>
      <x:c r="K251" s="62" t="str">
        <x:v>Rev B; characterize Rev A only within its approved bench limits</x:v>
      </x:c>
      <x:c r="L251" s="62" t="str">
        <x:v>R1</x:v>
      </x:c>
      <x:c r="M251" s="62" t="str"/>
      <x:c r="N251" s="70" t="str">
        <x:v>CLOSED</x:v>
      </x:c>
    </x:row>
    <x:row r="252" ht="195" customHeight="1">
      <x:c r="A252" s="62" t="str">
        <x:v>DRW-10</x:v>
      </x:c>
      <x:c r="B252" s="62" t="str">
        <x:v>Drawings, BOM and release outputs</x:v>
      </x:c>
      <x:c r="C252" s="65" t="str">
        <x:v>P0</x:v>
      </x:c>
      <x:c r="D252" s="62" t="str">
        <x:v>G3 Fabrication</x:v>
      </x:c>
      <x:c r="E252" s="62" t="str">
        <x:v>Does the release package preserve open issues and prevent an old or blocked candidate being ordered by mistake?</x:v>
      </x:c>
      <x:c r="F252" s="62" t="str">
        <x:v>Unique release folder, manifest, status and authorization; superseded exports segregated.</x:v>
      </x:c>
      <x:c r="G252" s="22" t="str">
        <x:v>CLOSED BY ORIGINAL SCOPE</x:v>
      </x:c>
      <x:c r="H252" s="22" t="str">
        <x:v>RVB22 coordinated engineering review</x:v>
      </x:c>
      <x:c r="I252" s="22"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
CRITERION: CLOSED
DESKTOP: CURRENT EVIDENCE REVIEWED
REMAINING: </x:v>
      </x:c>
      <x:c r="J252" s="161" t="str">
        <x:v>control/EXECUTION_PLAN_CURRENT.md
control/RECOVERY_LEDGER.md
control/DESKTOP_ACTION_DISPOSITIONS_CURRENT.json
iterations/I06_harness_handoff/CANDIDATE_MANIFEST.json
control/FINAL_GATES.json
iterations/I20_controlled_handoff/NATIVE_BINDING.json
current/I21_SOURCE_VERIFICATION.json
current/SOURCE_EFFECTIVITY.json
current/MANUFACTURING_AND_ASSEMBLY.md</x:v>
      </x:c>
      <x:c r="K252" s="62" t="str">
        <x:v>Rev B; characterize Rev A only within its approved bench limits</x:v>
      </x:c>
      <x:c r="L252" s="62" t="str">
        <x:v>R1</x:v>
      </x:c>
      <x:c r="M252" s="62" t="str"/>
      <x:c r="N252" s="70" t="str">
        <x:v>CLOSED</x:v>
      </x:c>
    </x:row>
    <x:row r="253" ht="195" customHeight="1">
      <x:c r="A253" s="62" t="str">
        <x:v>DFT-01</x:v>
      </x:c>
      <x:c r="B253" s="62" t="str">
        <x:v>Test access and bring-up design</x:v>
      </x:c>
      <x:c r="C253" s="65" t="str">
        <x:v>P0</x:v>
      </x:c>
      <x:c r="D253" s="62" t="str">
        <x:v>G3 Fabrication</x:v>
      </x:c>
      <x:c r="E253" s="62" t="str">
        <x:v>Can power protection, 5 V, 3.3 V, GPS rail and loads be brought up independently without cutting copper?</x:v>
      </x:c>
      <x:c r="F253" s="62" t="str">
        <x:v>Labeled isolation links/injection points and allowed configurations.</x:v>
      </x:c>
      <x:c r="G253" s="22" t="str">
        <x:v>CLOSED BY ORIGINAL SCOPE</x:v>
      </x:c>
      <x:c r="H253" s="22" t="str">
        <x:v>RVB22 coordinated engineering review</x:v>
      </x:c>
      <x:c r="I25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3" s="161" t="str">
        <x:v>control/RVB22_BRING_UP_AND_MEASUREMENT_CONTRACT.md
control/BRINGUP_SCHEMATIC_TEXT_DELTA.json
control/BRINGUP_ACTUAL_NODE_INDEX.json
control/FINAL_I04_BRINGUP_BINDING.json
analyses/service_i19/RESULTS.json
current/SOURCE_EFFECTIVITY.json</x:v>
      </x:c>
      <x:c r="K253" s="62" t="str">
        <x:v>Rev B; characterize Rev A only within its approved bench limits</x:v>
      </x:c>
      <x:c r="L253" s="62" t="str">
        <x:v>R1</x:v>
      </x:c>
      <x:c r="M253" s="62" t="str"/>
      <x:c r="N253" s="70" t="str">
        <x:v>CLOSED</x:v>
      </x:c>
    </x:row>
    <x:row r="254" ht="195" customHeight="1">
      <x:c r="A254" s="62" t="str">
        <x:v>DFT-02</x:v>
      </x:c>
      <x:c r="B254" s="62" t="str">
        <x:v>Test access and bring-up design</x:v>
      </x:c>
      <x:c r="C254" s="65" t="str">
        <x:v>P1</x:v>
      </x:c>
      <x:c r="D254" s="62" t="str">
        <x:v>G3 Fabrication</x:v>
      </x:c>
      <x:c r="E254" s="62" t="str">
        <x:v>Are rails, EN, GPIO0, UART, PPS, CANH/L/TXD/RXD and ADC nodes probe-accessible after assembly?</x:v>
      </x:c>
      <x:c r="F254" s="62" t="str">
        <x:v>Test-point map includes nearby ground contacts and fixture/probe clearances.</x:v>
      </x:c>
      <x:c r="G254" s="22" t="str">
        <x:v>CLOSED BY ORIGINAL SCOPE</x:v>
      </x:c>
      <x:c r="H254" s="22" t="str">
        <x:v>RVB22 coordinated engineering review</x:v>
      </x:c>
      <x:c r="I254" s="22" t="str">
        <x:v>The current test-point map checks 37 normal probe approaches and nearest ground contacts. Minimum radial clearance is 0.700 mm with a 0.30 mm needle plus 0.10 mm positioning allowance and at least 5 mm slender shaft. Fast signals require a differential or short return probe, not the distant DC ground contacts.
CRITERION: CLOSED
DESKTOP: COMPLETED CURRENT SOURCE VERIFICATION
REMAINING: Original documentary, design-inspection or execution scope satisfied. Related supplier and physical criteria retain their own dispositions.</x:v>
      </x:c>
      <x:c r="J254" s="161" t="str">
        <x:v>analyses/service_i19/RESULTS.json
current/SOURCE_EFFECTIVITY.json</x:v>
      </x:c>
      <x:c r="K254" s="62" t="str">
        <x:v>Rev B; characterize Rev A only within its approved bench limits</x:v>
      </x:c>
      <x:c r="L254" s="62" t="str">
        <x:v>R1</x:v>
      </x:c>
      <x:c r="M254" s="62" t="str"/>
      <x:c r="N254" s="70" t="str">
        <x:v>CLOSED</x:v>
      </x:c>
    </x:row>
    <x:row r="255" ht="195" customHeight="1">
      <x:c r="A255" s="62" t="str">
        <x:v>DFT-03</x:v>
      </x:c>
      <x:c r="B255" s="62" t="str">
        <x:v>Test access and bring-up design</x:v>
      </x:c>
      <x:c r="C255" s="65" t="str">
        <x:v>P1</x:v>
      </x:c>
      <x:c r="D255" s="62" t="str">
        <x:v>G3 Fabrication</x:v>
      </x:c>
      <x:c r="E255" s="62" t="str">
        <x:v>Are probe connections short enough not to manufacture apparent ringing or noise?</x:v>
      </x:c>
      <x:c r="F255" s="62" t="str">
        <x:v>Defined ground-spring/differential/RF measurement setups and bandwidth limits.</x:v>
      </x:c>
      <x:c r="G255" s="22" t="str">
        <x:v>CLOSED BY ORIGINAL SCOPE</x:v>
      </x:c>
      <x:c r="H255" s="22" t="str">
        <x:v>RVB22 coordinated engineering review</x:v>
      </x:c>
      <x:c r="I25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5" s="161" t="str">
        <x:v>control/RVB22_BRING_UP_AND_MEASUREMENT_CONTRACT.md
control/BRINGUP_SCHEMATIC_TEXT_DELTA.json
control/BRINGUP_ACTUAL_NODE_INDEX.json
control/FINAL_I04_BRINGUP_BINDING.json
analyses/service_i19/RESULTS.json
current/SOURCE_EFFECTIVITY.json</x:v>
      </x:c>
      <x:c r="K255" s="62" t="str">
        <x:v>Rev B; characterize Rev A only within its approved bench limits</x:v>
      </x:c>
      <x:c r="L255" s="62" t="str">
        <x:v>R1</x:v>
      </x:c>
      <x:c r="M255" s="62" t="str"/>
      <x:c r="N255" s="70" t="str">
        <x:v>CLOSED</x:v>
      </x:c>
    </x:row>
    <x:row r="256" ht="195" customHeight="1">
      <x:c r="A256" s="62" t="str">
        <x:v>DFT-04</x:v>
      </x:c>
      <x:c r="B256" s="62" t="str">
        <x:v>Test access and bring-up design</x:v>
      </x:c>
      <x:c r="C256" s="65" t="str">
        <x:v>P0</x:v>
      </x:c>
      <x:c r="D256" s="62" t="str">
        <x:v>G3 Fabrication</x:v>
      </x:c>
      <x:c r="E256" s="62" t="str">
        <x:v>Is the initial power-on procedure current-limited with stop thresholds for each stage?</x:v>
      </x:c>
      <x:c r="F256" s="62" t="str">
        <x:v>Approved sequence specifies voltage, current limit, expected consumption and abort conditions.</x:v>
      </x:c>
      <x:c r="G256" s="22" t="str">
        <x:v>CLOSED BY ORIGINAL SCOPE</x:v>
      </x:c>
      <x:c r="H256" s="22" t="str">
        <x:v>RVB22 coordinated engineering review</x:v>
      </x:c>
      <x:c r="I25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6" s="161" t="str">
        <x:v>control/RVB22_BRING_UP_AND_MEASUREMENT_CONTRACT.md
control/BRINGUP_SCHEMATIC_TEXT_DELTA.json
control/BRINGUP_ACTUAL_NODE_INDEX.json
control/FINAL_I04_BRINGUP_BINDING.json
analyses/service_i19/RESULTS.json
current/SOURCE_EFFECTIVITY.json</x:v>
      </x:c>
      <x:c r="K256" s="62" t="str">
        <x:v>Rev B; characterize Rev A only within its approved bench limits</x:v>
      </x:c>
      <x:c r="L256" s="62" t="str">
        <x:v>R1</x:v>
      </x:c>
      <x:c r="M256" s="62" t="str"/>
      <x:c r="N256" s="70" t="str">
        <x:v>CLOSED</x:v>
      </x:c>
    </x:row>
    <x:row r="257" ht="195" customHeight="1">
      <x:c r="A257" s="62" t="str">
        <x:v>DFT-05</x:v>
      </x:c>
      <x:c r="B257" s="62" t="str">
        <x:v>Test access and bring-up design</x:v>
      </x:c>
      <x:c r="C257" s="65" t="str">
        <x:v>P1</x:v>
      </x:c>
      <x:c r="D257" s="62" t="str">
        <x:v>G3 Fabrication</x:v>
      </x:c>
      <x:c r="E257" s="62" t="str">
        <x:v>Does a fixture verify all harness pins and critical supply shorts before power is applied?</x:v>
      </x:c>
      <x:c r="F257" s="62" t="str">
        <x:v>Reproducible continuity/isolation test with known-good reference.</x:v>
      </x:c>
      <x:c r="G257" s="22" t="str">
        <x:v>CURRENT SOURCE OR MODEL WITH REMAINING CONDITIONS</x:v>
      </x:c>
      <x:c r="H257" s="22" t="str">
        <x:v>RVB22 coordinated engineering review</x:v>
      </x:c>
      <x:c r="I25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known-good assembled reference test remains.</x:v>
      </x:c>
      <x:c r="J257" s="161" t="str">
        <x:v>interfaces/HARNESS_INTERFACE_CONTRACT.json
interfaces/HARNESS_CHECKS.json
analyses/harness_wire/HARNESS_WIRE_DELTA.json
analyses/service_i19/RESULTS.json
current/SOURCE_EFFECTIVITY.json</x:v>
      </x:c>
      <x:c r="K257" s="62" t="str">
        <x:v>Rev B; characterize Rev A only within its approved bench limits</x:v>
      </x:c>
      <x:c r="L257" s="62" t="str">
        <x:v>R1</x:v>
      </x:c>
      <x:c r="M257" s="62" t="str"/>
      <x:c r="N257" s="70" t="str">
        <x:v>OPEN</x:v>
      </x:c>
    </x:row>
    <x:row r="258" ht="195" customHeight="1">
      <x:c r="A258" s="62" t="str">
        <x:v>DFT-06</x:v>
      </x:c>
      <x:c r="B258" s="62" t="str">
        <x:v>Test access and bring-up design</x:v>
      </x:c>
      <x:c r="C258" s="65" t="str">
        <x:v>P1</x:v>
      </x:c>
      <x:c r="D258" s="62" t="str">
        <x:v>G3 Fabrication</x:v>
      </x:c>
      <x:c r="E258" s="62" t="str">
        <x:v>Are noisy or sensitive test points designed without excessive signal stubs or exposed fault hazards?</x:v>
      </x:c>
      <x:c r="F258" s="62" t="str">
        <x:v>Measurement access versus loading/safety trade recorded.</x:v>
      </x:c>
      <x:c r="G258" s="22" t="str">
        <x:v>CLOSED BY ORIGINAL SCOPE</x:v>
      </x:c>
      <x:c r="H258" s="22" t="str">
        <x:v>RVB22 coordinated engineering review</x:v>
      </x:c>
      <x:c r="I258"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8" s="161" t="str">
        <x:v>control/RVB22_BRING_UP_AND_MEASUREMENT_CONTRACT.md
control/BRINGUP_SCHEMATIC_TEXT_DELTA.json
control/BRINGUP_ACTUAL_NODE_INDEX.json
control/FINAL_I04_BRINGUP_BINDING.json
analyses/service_i19/RESULTS.json
current/SOURCE_EFFECTIVITY.json</x:v>
      </x:c>
      <x:c r="K258" s="62" t="str">
        <x:v>Rev B; characterize Rev A only within its approved bench limits</x:v>
      </x:c>
      <x:c r="L258" s="62" t="str">
        <x:v>R1</x:v>
      </x:c>
      <x:c r="M258" s="62" t="str"/>
      <x:c r="N258" s="70" t="str">
        <x:v>CLOSED</x:v>
      </x:c>
    </x:row>
    <x:row r="259" ht="195" customHeight="1">
      <x:c r="A259" s="62" t="str">
        <x:v>DFT-07</x:v>
      </x:c>
      <x:c r="B259" s="62" t="str">
        <x:v>Test access and bring-up design</x:v>
      </x:c>
      <x:c r="C259" s="65" t="str">
        <x:v>P1</x:v>
      </x:c>
      <x:c r="D259" s="62" t="str">
        <x:v>G3 Fabrication</x:v>
      </x:c>
      <x:c r="E259" s="62" t="str">
        <x:v>Are test-mode jumpers and normal-use defaults obvious and recoverable?</x:v>
      </x:c>
      <x:c r="F259" s="62" t="str">
        <x:v>Labeling and final-configuration checklist prevent bench termination or supply links being left incorrectly.</x:v>
      </x:c>
      <x:c r="G259" s="22" t="str">
        <x:v>CLOSED BY ORIGINAL SCOPE</x:v>
      </x:c>
      <x:c r="H259" s="22" t="str">
        <x:v>RVB22 coordinated engineering review</x:v>
      </x:c>
      <x:c r="I25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59" s="161"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analyses/service_i19/RESULTS.json
current/SOURCE_EFFECTIVITY.json</x:v>
      </x:c>
      <x:c r="K259" s="62" t="str">
        <x:v>Rev B; characterize Rev A only within its approved bench limits</x:v>
      </x:c>
      <x:c r="L259" s="62" t="str">
        <x:v>R1</x:v>
      </x:c>
      <x:c r="M259" s="62" t="str"/>
      <x:c r="N259" s="70" t="str">
        <x:v>CLOSED</x:v>
      </x:c>
    </x:row>
    <x:row r="260" ht="195" customHeight="1">
      <x:c r="A260" s="62" t="str">
        <x:v>DFT-08</x:v>
      </x:c>
      <x:c r="B260" s="62" t="str">
        <x:v>Test access and bring-up design</x:v>
      </x:c>
      <x:c r="C260" s="65" t="str">
        <x:v>P1</x:v>
      </x:c>
      <x:c r="D260" s="62" t="str">
        <x:v>G3 Fabrication</x:v>
      </x:c>
      <x:c r="E260" s="62" t="str">
        <x:v>Can ADC connector-side, GPS antenna-side and CAN physical-layer behavior be isolated from firmware?</x:v>
      </x:c>
      <x:c r="F260" s="62" t="str">
        <x:v>Independent instrument/fixture tests distinguish circuit failure from parsing or transport failure.</x:v>
      </x:c>
      <x:c r="G260" s="22" t="str">
        <x:v>CURRENT SOURCE OR MODEL WITH REMAINING CONDITIONS</x:v>
      </x:c>
      <x:c r="H260" s="22" t="str">
        <x:v>RVB22 coordinated engineering review</x:v>
      </x:c>
      <x:c r="I26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instrument/fixture results remain.</x:v>
      </x:c>
      <x:c r="J260" s="161" t="str">
        <x:v>control/FINAL_I04_BRINGUP_BINDING.json
control/RVB22_BRING_UP_AND_MEASUREMENT_CONTRACT.md
control/BRINGUP_ACTUAL_NODE_INDEX.json
analyses/service_i19/RESULTS.json
current/SOURCE_EFFECTIVITY.json</x:v>
      </x:c>
      <x:c r="K260" s="62" t="str">
        <x:v>Rev B; characterize Rev A only within its approved bench limits</x:v>
      </x:c>
      <x:c r="L260" s="62" t="str">
        <x:v>R1</x:v>
      </x:c>
      <x:c r="M260" s="62" t="str"/>
      <x:c r="N260" s="70" t="str">
        <x:v>OPEN</x:v>
      </x:c>
    </x:row>
    <x:row r="261" ht="195" customHeight="1">
      <x:c r="A261" s="62" t="str">
        <x:v>DFT-09</x:v>
      </x:c>
      <x:c r="B261" s="62" t="str">
        <x:v>Test access and bring-up design</x:v>
      </x:c>
      <x:c r="C261" s="65" t="str">
        <x:v>P1</x:v>
      </x:c>
      <x:c r="D261" s="62" t="str">
        <x:v>G3 Fabrication</x:v>
      </x:c>
      <x:c r="E261" s="62" t="str">
        <x:v>Is factory or repeated bench acceptance possible without relying on manual interpretation of LEDs?</x:v>
      </x:c>
      <x:c r="F261" s="62" t="str">
        <x:v>Automated/recorded measurements with numerical limits and per-unit identification.</x:v>
      </x:c>
      <x:c r="G261" s="22" t="str">
        <x:v>CURRENT SOURCE OR MODEL WITH REMAINING CONDITIONS</x:v>
      </x:c>
      <x:c r="H261" s="22" t="str">
        <x:v>RVB22 coordinated engineering review</x:v>
      </x:c>
      <x:c r="I26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unit measurements/serial identity remain.</x:v>
      </x:c>
      <x:c r="J261" s="161" t="str">
        <x:v>control/FINAL_I04_BRINGUP_BINDING.json
control/RVB22_BRING_UP_AND_MEASUREMENT_CONTRACT.md
control/BRINGUP_ACTUAL_NODE_INDEX.json
analyses/service_i19/RESULTS.json
current/SOURCE_EFFECTIVITY.json</x:v>
      </x:c>
      <x:c r="K261" s="62" t="str">
        <x:v>Rev B; characterize Rev A only within its approved bench limits</x:v>
      </x:c>
      <x:c r="L261" s="62" t="str">
        <x:v>R1</x:v>
      </x:c>
      <x:c r="M261" s="62" t="str"/>
      <x:c r="N261" s="70" t="str">
        <x:v>OPEN</x:v>
      </x:c>
    </x:row>
    <x:row r="262" ht="195" customHeight="1">
      <x:c r="A262" s="62" t="str">
        <x:v>DFT-10</x:v>
      </x:c>
      <x:c r="B262" s="62" t="str">
        <x:v>Test access and bring-up design</x:v>
      </x:c>
      <x:c r="C262" s="65" t="str">
        <x:v>P0</x:v>
      </x:c>
      <x:c r="D262" s="62" t="str">
        <x:v>G3 Fabrication</x:v>
      </x:c>
      <x:c r="E262" s="62" t="str">
        <x:v>Does final test include restoring normal firmware/configuration and checking vehicle-safe defaults?</x:v>
      </x:c>
      <x:c r="F262" s="62" t="str">
        <x:v>Post-test configuration readback and sign-off.</x:v>
      </x:c>
      <x:c r="G262" s="22" t="str">
        <x:v>CURRENT SOURCE OR MODEL WITH REMAINING CONDITIONS</x:v>
      </x:c>
      <x:c r="H262" s="22" t="str">
        <x:v>RVB22 coordinated engineering review</x:v>
      </x:c>
      <x:c r="I26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post-test sign-off remains.</x:v>
      </x:c>
      <x:c r="J262" s="161" t="str">
        <x:v>interfaces/HARNESS_INTERFACE_CONTRACT.json
interfaces/HARNESS_CHECKS.json
analyses/harness_wire/HARNESS_WIRE_DELTA.json
analyses/service_i19/RESULTS.json
current/SOURCE_EFFECTIVITY.json</x:v>
      </x:c>
      <x:c r="K262" s="62" t="str">
        <x:v>Rev B; characterize Rev A only within its approved bench limits</x:v>
      </x:c>
      <x:c r="L262" s="62" t="str">
        <x:v>R1</x:v>
      </x:c>
      <x:c r="M262" s="62" t="str"/>
      <x:c r="N262" s="70" t="str">
        <x:v>OPEN</x:v>
      </x:c>
    </x:row>
    <x:row r="263" ht="195" customHeight="1">
      <x:c r="A263" s="62" t="str">
        <x:v>VNV-01</x:v>
      </x:c>
      <x:c r="B263" s="62" t="str">
        <x:v>Verification evidence and acceptance</x:v>
      </x:c>
      <x:c r="C263" s="65" t="str">
        <x:v>P0</x:v>
      </x:c>
      <x:c r="D263" s="62" t="str">
        <x:v>G4 Bench</x:v>
      </x:c>
      <x:c r="E263" s="62" t="str">
        <x:v>Does every requirement have a verification method, numeric limit and evidence owner?</x:v>
      </x:c>
      <x:c r="F263" s="62" t="str">
        <x:v>Traceability matrix assigns analysis, inspection, demonstration or test with a defined acceptance gate.</x:v>
      </x:c>
      <x:c r="G263" s="22" t="str">
        <x:v>CLOSED BY ORIGINAL SCOPE</x:v>
      </x:c>
      <x:c r="H263" s="22" t="str">
        <x:v>RVB22 coordinated engineering review</x:v>
      </x:c>
      <x:c r="I26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63" s="161" t="str">
        <x:v>control/EXECUTION_PLAN_CURRENT.md
control/CLOSED_CRITERIA_ADJUDICATION.json
current/EXECUTION_PLAN.md
current/I21_SOURCE_VERIFICATION.json</x:v>
      </x:c>
      <x:c r="K263" s="62" t="str">
        <x:v>Rev B; characterize Rev A only within its approved bench limits</x:v>
      </x:c>
      <x:c r="L263" s="62" t="str">
        <x:v>E</x:v>
      </x:c>
      <x:c r="M263" s="62" t="str"/>
      <x:c r="N263" s="70" t="str">
        <x:v>CLOSED</x:v>
      </x:c>
    </x:row>
    <x:row r="264" ht="195" customHeight="1">
      <x:c r="A264" s="62" t="str">
        <x:v>VNV-02</x:v>
      </x:c>
      <x:c r="B264" s="62" t="str">
        <x:v>Verification evidence and acceptance</x:v>
      </x:c>
      <x:c r="C264" s="65" t="str">
        <x:v>P1</x:v>
      </x:c>
      <x:c r="D264" s="62" t="str">
        <x:v>G4 Bench</x:v>
      </x:c>
      <x:c r="E264" s="62" t="str">
        <x:v>Are analyses based on the actual selected parts and tolerances, not only typical circuits?</x:v>
      </x:c>
      <x:c r="F264" s="62" t="str">
        <x:v>Model inputs, datasheet revisions, assumptions and worst-case outputs archived.</x:v>
      </x:c>
      <x:c r="G264" s="22" t="str">
        <x:v>CLOSED BY ORIGINAL SCOPE</x:v>
      </x:c>
      <x:c r="H264" s="22" t="str">
        <x:v>RVB22 coordinated engineering review</x:v>
      </x:c>
      <x:c r="I26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64" s="161" t="str">
        <x:v>lanes/power/POWER_GEOMETRY_REPORT.json
lanes/power/COUPLED_STARTUP_ENVELOPE.json
lanes/power_limits/POWER_LIMITS_SUMMARY.json
lanes/power/FINAL_I04_POWER_EFFECTIVITY.json
current/EXECUTION_PLAN.md
current/I21_SOURCE_VERIFICATION.json</x:v>
      </x:c>
      <x:c r="K264" s="62" t="str">
        <x:v>Rev B; characterize Rev A only within its approved bench limits</x:v>
      </x:c>
      <x:c r="L264" s="62" t="str">
        <x:v>E</x:v>
      </x:c>
      <x:c r="M264" s="62" t="str"/>
      <x:c r="N264" s="70" t="str">
        <x:v>CLOSED</x:v>
      </x:c>
    </x:row>
    <x:row r="265" ht="195" customHeight="1">
      <x:c r="A265" s="62" t="str">
        <x:v>VNV-03</x:v>
      </x:c>
      <x:c r="B265" s="62" t="str">
        <x:v>Verification evidence and acceptance</x:v>
      </x:c>
      <x:c r="C265" s="65" t="str">
        <x:v>P1</x:v>
      </x:c>
      <x:c r="D265" s="62" t="str">
        <x:v>G4 Bench</x:v>
      </x:c>
      <x:c r="E265" s="62" t="str">
        <x:v>Are simulation models valid for the fault, startup or RF behavior being claimed?</x:v>
      </x:c>
      <x:c r="F265" s="62" t="str">
        <x:v>Model scope and unmodeled parasitics/limits explicitly stated; simulation is not hardware evidence.</x:v>
      </x:c>
      <x:c r="G265" s="22" t="str">
        <x:v>CLOSED BY ORIGINAL SCOPE</x:v>
      </x:c>
      <x:c r="H265" s="22" t="str">
        <x:v>RVB22 coordinated engineering review</x:v>
      </x:c>
      <x:c r="I26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65" s="161" t="str">
        <x:v>control/EXECUTION_PLAN_CURRENT.md
control/RECOVERY_LEDGER.md
control/DESKTOP_ACTION_DISPOSITIONS_CURRENT.json
iterations/I06_harness_handoff/CANDIDATE_MANIFEST.json
control/FINAL_GATES.json
current/EXECUTION_PLAN.md
current/I21_SOURCE_VERIFICATION.json</x:v>
      </x:c>
      <x:c r="K265" s="62" t="str">
        <x:v>Rev B; characterize Rev A only within its approved bench limits</x:v>
      </x:c>
      <x:c r="L265" s="62" t="str">
        <x:v>E</x:v>
      </x:c>
      <x:c r="M265" s="62" t="str"/>
      <x:c r="N265" s="70" t="str">
        <x:v>CLOSED</x:v>
      </x:c>
    </x:row>
    <x:row r="266" ht="195" customHeight="1">
      <x:c r="A266" s="62" t="str">
        <x:v>VNV-04</x:v>
      </x:c>
      <x:c r="B266" s="62" t="str">
        <x:v>Verification evidence and acceptance</x:v>
      </x:c>
      <x:c r="C266" s="65" t="str">
        <x:v>P1</x:v>
      </x:c>
      <x:c r="D266" s="62" t="str">
        <x:v>G4 Bench</x:v>
      </x:c>
      <x:c r="E266" s="62" t="str">
        <x:v>Are supply startup, shutdown, load steps, ripple and temperature tested across defined corners?</x:v>
      </x:c>
      <x:c r="F266" s="62" t="str">
        <x:v>Raw waveforms with setup details, calibration and quantitative limits.</x:v>
      </x:c>
      <x:c r="G266" s="22" t="str">
        <x:v>CURRENT SOURCE OR MODEL WITH REMAINING CONDITIONS</x:v>
      </x:c>
      <x:c r="H266" s="22" t="str">
        <x:v>RVB22 coordinated engineering review</x:v>
      </x:c>
      <x:c r="I26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requests raw measured waveforms and calibration.</x:v>
      </x:c>
      <x:c r="J266" s="161" t="str">
        <x:v>lanes/power/FINAL_I04_POWER_EFFECTIVITY.json
lanes/power/COUPLED_STARTUP_ENVELOPE.json
lanes/power_limits/POWER_LIMITS_SUMMARY.json
current/EXECUTION_PLAN.md
current/I21_SOURCE_VERIFICATION.json</x:v>
      </x:c>
      <x:c r="K266" s="62" t="str">
        <x:v>Rev B; characterize Rev A only within its approved bench limits</x:v>
      </x:c>
      <x:c r="L266" s="62" t="str">
        <x:v>E</x:v>
      </x:c>
      <x:c r="M266" s="62" t="str"/>
      <x:c r="N266" s="70" t="str">
        <x:v>OPEN</x:v>
      </x:c>
    </x:row>
    <x:row r="267" ht="195" customHeight="1">
      <x:c r="A267" s="62" t="str">
        <x:v>VNV-05</x:v>
      </x:c>
      <x:c r="B267" s="62" t="str">
        <x:v>Verification evidence and acceptance</x:v>
      </x:c>
      <x:c r="C267" s="65" t="str">
        <x:v>P1</x:v>
      </x:c>
      <x:c r="D267" s="62" t="str">
        <x:v>G4 Bench</x:v>
      </x:c>
      <x:c r="E267" s="62" t="str">
        <x:v>Is CAN verified for signal integrity, load, loss, recovery and non-interference independently?</x:v>
      </x:c>
      <x:c r="F267" s="62" t="str">
        <x:v>Analyzer data, waveforms and source/receiver counts on a safe bench fixture.</x:v>
      </x:c>
      <x:c r="G267" s="22" t="str">
        <x:v>CURRENT SOURCE OR MODEL WITH REMAINING CONDITIONS</x:v>
      </x:c>
      <x:c r="H267" s="22" t="str">
        <x:v>RVB22 coordinated engineering review</x:v>
      </x:c>
      <x:c r="I267"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analyzer counts and physical bench waveforms remain.</x:v>
      </x:c>
      <x:c r="J267" s="161" t="str">
        <x:v>analyses/can_branch/COMPLETE_CAN_BRANCH_RESULTS.json
analyses/can_branch/FINAL_CAN_SOURCE_BINDING.json
analyses/can_branch/CAN22-02_NUMERICAL_CHECKS.json
current/EXECUTION_PLAN.md
current/I21_SOURCE_VERIFICATION.json</x:v>
      </x:c>
      <x:c r="K267" s="62" t="str">
        <x:v>Rev B; characterize Rev A only within its approved bench limits</x:v>
      </x:c>
      <x:c r="L267" s="62" t="str">
        <x:v>E</x:v>
      </x:c>
      <x:c r="M267" s="62" t="str"/>
      <x:c r="N267" s="70" t="str">
        <x:v>OPEN</x:v>
      </x:c>
    </x:row>
    <x:row r="268" ht="205" customHeight="1">
      <x:c r="A268" s="62" t="str">
        <x:v>VNV-06</x:v>
      </x:c>
      <x:c r="B268" s="62" t="str">
        <x:v>Verification evidence and acceptance</x:v>
      </x:c>
      <x:c r="C268" s="65" t="str">
        <x:v>P1</x:v>
      </x:c>
      <x:c r="D268" s="62" t="str">
        <x:v>G4 Bench</x:v>
      </x:c>
      <x:c r="E268" s="62" t="str">
        <x:v>Is the entire oil channel verified for gain, offset, nonlinearity, noise, dynamic response and faults?</x:v>
      </x:c>
      <x:c r="F268" s="62" t="str">
        <x:v>Traceable voltage/pressure references and uncertainty budget.</x:v>
      </x:c>
      <x:c r="G268" s="22" t="str">
        <x:v>CURRENT SOURCE OR MODEL WITH REMAINING CONDITIONS</x:v>
      </x:c>
      <x:c r="H268" s="22" t="str">
        <x:v>RVB22 coordinated engineering review</x:v>
      </x:c>
      <x:c r="I26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traceable voltage/pressure standards and calibration remain.</x:v>
      </x:c>
      <x:c r="J268" s="161" t="str">
        <x:v>lanes/firmware_oil/RECOVERED_FIRMWARE_TEST_RESULTS.json
lanes/firmware_oil/RECOVERY_CALIBRATION_GAIN_REDLINE.json
interfaces/OIL_HARNESS_ERROR_SWEEP.json
current/EXECUTION_PLAN.md
current/I21_SOURCE_VERIFICATION.json</x:v>
      </x:c>
      <x:c r="K268" s="62" t="str">
        <x:v>Rev B; characterize Rev A only within its approved bench limits</x:v>
      </x:c>
      <x:c r="L268" s="62" t="str">
        <x:v>E</x:v>
      </x:c>
      <x:c r="M268" s="62" t="str"/>
      <x:c r="N268" s="70" t="str">
        <x:v>OPEN</x:v>
      </x:c>
    </x:row>
    <x:row r="269" ht="195" customHeight="1">
      <x:c r="A269" s="62" t="str">
        <x:v>VNV-07</x:v>
      </x:c>
      <x:c r="B269" s="62" t="str">
        <x:v>Verification evidence and acceptance</x:v>
      </x:c>
      <x:c r="C269" s="65" t="str">
        <x:v>P1</x:v>
      </x:c>
      <x:c r="D269" s="62" t="str">
        <x:v>G4 Bench</x:v>
      </x:c>
      <x:c r="E269" s="62" t="str">
        <x:v>Are internal/external GPS antenna performance and PPS association verified with representative conditions?</x:v>
      </x:c>
      <x:c r="F269" s="62" t="str">
        <x:v>Outdoor comparison, configuration records, timing captures and fix-quality metrics.</x:v>
      </x:c>
      <x:c r="G269" s="22" t="str">
        <x:v>CURRENT SOURCE OR MODEL WITH REMAINING CONDITIONS</x:v>
      </x:c>
      <x:c r="H269" s="22" t="str">
        <x:v>RVB22 coordinated engineering review</x:v>
      </x:c>
      <x:c r="I26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outdoor/timing/fix-quality comparison remains.</x:v>
      </x:c>
      <x:c r="J269" s="161" t="str">
        <x:v>lanes/rf/RF_FINAL_REPORT.md
lanes/rf/RF_FINAL_SUMMARY.json
lanes/rf/RF_I04_ADDENDUM.md
lanes/rf/RF_I04_SUMMARY.json
lanes/emc/RF_STRIP_NETWORK.json
current/EXECUTION_PLAN.md
current/I21_SOURCE_VERIFICATION.json</x:v>
      </x:c>
      <x:c r="K269" s="62" t="str">
        <x:v>Rev B; characterize Rev A only within its approved bench limits</x:v>
      </x:c>
      <x:c r="L269" s="62" t="str">
        <x:v>E</x:v>
      </x:c>
      <x:c r="M269" s="62" t="str"/>
      <x:c r="N269" s="70" t="str">
        <x:v>OPEN</x:v>
      </x:c>
    </x:row>
    <x:row r="270" ht="293" customHeight="1">
      <x:c r="A270" s="62" t="str">
        <x:v>VNV-08</x:v>
      </x:c>
      <x:c r="B270" s="62" t="str">
        <x:v>Verification evidence and acceptance</x:v>
      </x:c>
      <x:c r="C270" s="65" t="str">
        <x:v>P1</x:v>
      </x:c>
      <x:c r="D270" s="62" t="str">
        <x:v>G4 Bench</x:v>
      </x:c>
      <x:c r="E270" s="62" t="str">
        <x:v>Is simultaneous CAN/GPS/oil/BLE performance tested rather than combining isolated passes?</x:v>
      </x:c>
      <x:c r="F270" s="62" t="str">
        <x:v>Integrated traffic/acquisition test with bounded latency, error, loss and current.</x:v>
      </x:c>
      <x:c r="G270" s="22" t="str">
        <x:v>CURRENT SOURCE OR MODEL WITH REMAINING CONDITIONS</x:v>
      </x:c>
      <x:c r="H270" s="22" t="str">
        <x:v>RVB22 coordinated engineering review</x:v>
      </x:c>
      <x:c r="I270"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real integrated traffic/acquisition/current test remains.</x:v>
      </x:c>
      <x:c r="J270" s="161" t="str">
        <x:v>lanes/firmware_oil/RECOVERED_RELEASE_CHECKS.json
lanes/firmware_oil/RECOVERED_FIRMWARE_TEST_RESULTS.json
current/EXECUTION_PLAN.md
current/I21_SOURCE_VERIFICATION.json</x:v>
      </x:c>
      <x:c r="K270" s="62" t="str">
        <x:v>Rev B; characterize Rev A only within its approved bench limits</x:v>
      </x:c>
      <x:c r="L270" s="62" t="str">
        <x:v>E</x:v>
      </x:c>
      <x:c r="M270" s="62" t="str"/>
      <x:c r="N270" s="70" t="str">
        <x:v>OPEN</x:v>
      </x:c>
    </x:row>
    <x:row r="271" ht="227" customHeight="1">
      <x:c r="A271" s="62" t="str">
        <x:v>VNV-09</x:v>
      </x:c>
      <x:c r="B271" s="62" t="str">
        <x:v>Verification evidence and acceptance</x:v>
      </x:c>
      <x:c r="C271" s="65" t="str">
        <x:v>P1</x:v>
      </x:c>
      <x:c r="D271" s="62" t="str">
        <x:v>G4 Bench</x:v>
      </x:c>
      <x:c r="E271" s="62" t="str">
        <x:v>Does soak testing record evidence continuously enough to diagnose rare resets or gradual degradation?</x:v>
      </x:c>
      <x:c r="F271" s="62" t="str">
        <x:v>Timestamped voltage/current/temperature/reset/queue/error data and defined duration.</x:v>
      </x:c>
      <x:c r="G271" s="22" t="str">
        <x:v>CURRENT SOURCE OR MODEL WITH REMAINING CONDITIONS</x:v>
      </x:c>
      <x:c r="H271" s="22" t="str">
        <x:v>RVB22 coordinated engineering review</x:v>
      </x:c>
      <x:c r="I271"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no elapsed soak data is fabricated.</x:v>
      </x:c>
      <x:c r="J271" s="161" t="str">
        <x:v>analyses/installation/DASHBOARD_EXPOSURE_AND_SERVICE.md
lanes/mechanics/MECHANICAL_INSTALLATION_RVB22.md
current/EXECUTION_PLAN.md
current/I21_SOURCE_VERIFICATION.json</x:v>
      </x:c>
      <x:c r="K271" s="62" t="str">
        <x:v>Rev B; characterize Rev A only within its approved bench limits</x:v>
      </x:c>
      <x:c r="L271" s="62" t="str">
        <x:v>E</x:v>
      </x:c>
      <x:c r="M271" s="62" t="str"/>
      <x:c r="N271" s="70" t="str">
        <x:v>OPEN</x:v>
      </x:c>
    </x:row>
    <x:row r="272" ht="195" customHeight="1">
      <x:c r="A272" s="62" t="str">
        <x:v>VNV-10</x:v>
      </x:c>
      <x:c r="B272" s="62" t="str">
        <x:v>Verification evidence and acceptance</x:v>
      </x:c>
      <x:c r="C272" s="65" t="str">
        <x:v>P0</x:v>
      </x:c>
      <x:c r="D272" s="62" t="str">
        <x:v>G4 Bench</x:v>
      </x:c>
      <x:c r="E272" s="62" t="str">
        <x:v>Are destructive or high-energy tests separated from ordinary bring-up and performed in an appropriate controlled setup?</x:v>
      </x:c>
      <x:c r="F272" s="62" t="str">
        <x:v>Authorized test method, suitable equipment/fixture, containment and stop rules.</x:v>
      </x:c>
      <x:c r="G272" s="22" t="str">
        <x:v>CLOSED BY ORIGINAL SCOPE</x:v>
      </x:c>
      <x:c r="H272" s="22" t="str">
        <x:v>RVB22 coordinated engineering review</x:v>
      </x:c>
      <x:c r="I27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2" s="161" t="str">
        <x:v>control/RVB22_BRING_UP_AND_MEASUREMENT_CONTRACT.md
control/BRINGUP_SCHEMATIC_TEXT_DELTA.json
control/BRINGUP_ACTUAL_NODE_INDEX.json
control/FINAL_I04_BRINGUP_BINDING.json
current/EXECUTION_PLAN.md
current/I21_SOURCE_VERIFICATION.json</x:v>
      </x:c>
      <x:c r="K272" s="62" t="str">
        <x:v>Rev B; characterize Rev A only within its approved bench limits</x:v>
      </x:c>
      <x:c r="L272" s="62" t="str">
        <x:v>E</x:v>
      </x:c>
      <x:c r="M272" s="62" t="str"/>
      <x:c r="N272" s="70" t="str">
        <x:v>CLOSED</x:v>
      </x:c>
    </x:row>
    <x:row r="273" ht="195" customHeight="1">
      <x:c r="A273" s="62" t="str">
        <x:v>VNV-11</x:v>
      </x:c>
      <x:c r="B273" s="62" t="str">
        <x:v>Verification evidence and acceptance</x:v>
      </x:c>
      <x:c r="C273" s="65" t="str">
        <x:v>P0</x:v>
      </x:c>
      <x:c r="D273" s="62" t="str">
        <x:v>G4 Bench</x:v>
      </x:c>
      <x:c r="E273" s="62" t="str">
        <x:v>Does vehicle-entry approval require passing the agreed power and CAN non-interference gates first?</x:v>
      </x:c>
      <x:c r="F273" s="62" t="str">
        <x:v>Written gate disposition, installation plan and monitored initial vehicle test.</x:v>
      </x:c>
      <x:c r="G273" s="22" t="str">
        <x:v>CLOSED BY ORIGINAL SCOPE</x:v>
      </x:c>
      <x:c r="H273" s="22" t="str">
        <x:v>RVB22 coordinated engineering review</x:v>
      </x:c>
      <x:c r="I27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73" s="161" t="str">
        <x:v>control/EXECUTION_PLAN_CURRENT.md
control/RECOVERY_LEDGER.md
control/DESKTOP_ACTION_DISPOSITIONS_CURRENT.json
iterations/I06_harness_handoff/CANDIDATE_MANIFEST.json
control/FINAL_GATES.json
current/EXECUTION_PLAN.md
current/I21_SOURCE_VERIFICATION.json</x:v>
      </x:c>
      <x:c r="K273" s="62" t="str">
        <x:v>Rev B; characterize Rev A only within its approved bench limits</x:v>
      </x:c>
      <x:c r="L273" s="62" t="str">
        <x:v>E</x:v>
      </x:c>
      <x:c r="M273" s="62" t="str"/>
      <x:c r="N273" s="70" t="str">
        <x:v>CLOSED</x:v>
      </x:c>
    </x:row>
    <x:row r="274" ht="249" customHeight="1">
      <x:c r="A274" s="62" t="str">
        <x:v>VNV-12</x:v>
      </x:c>
      <x:c r="B274" s="62" t="str">
        <x:v>Verification evidence and acceptance</x:v>
      </x:c>
      <x:c r="C274" s="65" t="str">
        <x:v>P1</x:v>
      </x:c>
      <x:c r="D274" s="62" t="str">
        <x:v>G4 Bench</x:v>
      </x:c>
      <x:c r="E274" s="62" t="str">
        <x:v>Can another engineer reproduce each pass from saved files and settings?</x:v>
      </x:c>
      <x:c r="F274" s="62" t="str">
        <x:v>Exact configuration, instrument setup, raw data, analysis script and reviewer sign-off archived.</x:v>
      </x:c>
      <x:c r="G274" s="22" t="str">
        <x:v>CURRENT SOURCE OR MODEL WITH REMAINING CONDITIONS</x:v>
      </x:c>
      <x:c r="H274" s="22" t="str">
        <x:v>RVB22 coordinated engineering review</x:v>
      </x:c>
      <x:c r="I27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CURRENT NATIVE COMPLETE OTHER EVIDENCE REQUIRED
REMAINING: Native source/build gate is now complete. Remaining original evidence: Exact configuration, instrument setup, raw data, analysis script and reviewer sign-off archived.</x:v>
      </x:c>
      <x:c r="J274" s="161" t="str">
        <x:v>runtime/final_I06_actual_preflight/RESULT.json
runtime/run_native_candidate.py
current/EXECUTION_PLAN.md
current/I21_SOURCE_VERIFICATION.json</x:v>
      </x:c>
      <x:c r="K274" s="62" t="str">
        <x:v>Rev B; characterize Rev A only within its approved bench limits</x:v>
      </x:c>
      <x:c r="L274" s="62" t="str">
        <x:v>E</x:v>
      </x:c>
      <x:c r="M274" s="62" t="str"/>
      <x:c r="N274" s="70" t="str">
        <x:v>OPEN</x:v>
      </x:c>
    </x:row>
    <x:row r="275" ht="195" customHeight="1">
      <x:c r="A275" s="62" t="str">
        <x:v>FMEA-01</x:v>
      </x:c>
      <x:c r="B275" s="62" t="str">
        <x:v>Failure analysis and system safety</x:v>
      </x:c>
      <x:c r="C275" s="65" t="str">
        <x:v>P0</x:v>
      </x:c>
      <x:c r="D275" s="62" t="str">
        <x:v>G1 Schematic</x:v>
      </x:c>
      <x:c r="E275" s="62" t="str">
        <x:v>What are the consequences of each regulator, protection device or external rail failing open or short?</x:v>
      </x:c>
      <x:c r="F275" s="62" t="str">
        <x:v>FMEA traces effects to the vehicle, user, sensor, downstream ICs and harness.</x:v>
      </x:c>
      <x:c r="G275" s="22" t="str">
        <x:v>CLOSED BY ORIGINAL SCOPE</x:v>
      </x:c>
      <x:c r="H275" s="22" t="str">
        <x:v>RVB22 coordinated engineering review</x:v>
      </x:c>
      <x:c r="I27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75" s="161" t="str">
        <x:v>analyses/lost_ground/LOST_GROUND_RESULTS_RECONSTRUCTED.json
interfaces/LOST_GROUND_FINITE_DC_SCREEN.json
interfaces/HARNESS_INTERFACE_CONTRACT.json
interfaces/SINGLE_RETURN_EFFECTIVITY.json
current/EXECUTION_PLAN.md</x:v>
      </x:c>
      <x:c r="K275" s="62" t="str">
        <x:v>Rev B; characterize Rev A only within its approved bench limits</x:v>
      </x:c>
      <x:c r="L275" s="62" t="str">
        <x:v>E</x:v>
      </x:c>
      <x:c r="M275" s="62" t="str"/>
      <x:c r="N275" s="70" t="str">
        <x:v>CLOSED</x:v>
      </x:c>
    </x:row>
    <x:row r="276" ht="195" customHeight="1">
      <x:c r="A276" s="62" t="str">
        <x:v>FMEA-02</x:v>
      </x:c>
      <x:c r="B276" s="62" t="str">
        <x:v>Failure analysis and system safety</x:v>
      </x:c>
      <x:c r="C276" s="65" t="str">
        <x:v>P0</x:v>
      </x:c>
      <x:c r="D276" s="62" t="str">
        <x:v>G1 Schematic</x:v>
      </x:c>
      <x:c r="E276" s="62" t="str">
        <x:v>Can any single credible board or software fault hold the vehicle CAN bus dominant?</x:v>
      </x:c>
      <x:c r="F276" s="62" t="str">
        <x:v>Hardware/software containment analysis and representative fault tests.</x:v>
      </x:c>
      <x:c r="G276" s="22" t="str">
        <x:v>CURRENT SOURCE OR MODEL WITH REMAINING CONDITIONS</x:v>
      </x:c>
      <x:c r="H276" s="22" t="str">
        <x:v>RVB22 coordinated engineering review</x:v>
      </x:c>
      <x:c r="I276"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original F also requires representative physical fault tests.</x:v>
      </x:c>
      <x:c r="J276" s="161" t="str">
        <x:v>analyses/lost_ground/LOST_GROUND_RESULTS_RECONSTRUCTED.json
interfaces/LOST_GROUND_FINITE_DC_SCREEN.json
interfaces/HARNESS_INTERFACE_CONTRACT.json
interfaces/SINGLE_RETURN_EFFECTIVITY.json
current/EXECUTION_PLAN.md</x:v>
      </x:c>
      <x:c r="K276" s="62" t="str">
        <x:v>Rev B; characterize Rev A only within its approved bench limits</x:v>
      </x:c>
      <x:c r="L276" s="62" t="str">
        <x:v>E</x:v>
      </x:c>
      <x:c r="M276" s="62" t="str"/>
      <x:c r="N276" s="70" t="str">
        <x:v>OPEN</x:v>
      </x:c>
    </x:row>
    <x:row r="277" ht="195" customHeight="1">
      <x:c r="A277" s="62" t="str">
        <x:v>FMEA-03</x:v>
      </x:c>
      <x:c r="B277" s="62" t="str">
        <x:v>Failure analysis and system safety</x:v>
      </x:c>
      <x:c r="C277" s="65" t="str">
        <x:v>P0</x:v>
      </x:c>
      <x:c r="D277" s="62" t="str">
        <x:v>G1 Schematic</x:v>
      </x:c>
      <x:c r="E277" s="62" t="str">
        <x:v>Is the loss of board ground or vehicle reference analyzed with all other cables attached?</x:v>
      </x:c>
      <x:c r="F277" s="62" t="str">
        <x:v>Alternative current paths through CAN, antenna coax, USB/debug and sensor connections considered.</x:v>
      </x:c>
      <x:c r="G277" s="22" t="str">
        <x:v>CLOSED BY ORIGINAL SCOPE</x:v>
      </x:c>
      <x:c r="H277" s="22" t="str">
        <x:v>RVB22 coordinated engineering review</x:v>
      </x:c>
      <x:c r="I27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77" s="161" t="str">
        <x:v>analyses/lost_ground/LOST_GROUND_RESULTS_RECONSTRUCTED.json
interfaces/LOST_GROUND_FINITE_DC_SCREEN.json
interfaces/HARNESS_INTERFACE_CONTRACT.json
interfaces/SINGLE_RETURN_EFFECTIVITY.json
current/EXECUTION_PLAN.md</x:v>
      </x:c>
      <x:c r="K277" s="62" t="str">
        <x:v>Rev B; characterize Rev A only within its approved bench limits</x:v>
      </x:c>
      <x:c r="L277" s="62" t="str">
        <x:v>E</x:v>
      </x:c>
      <x:c r="M277" s="62" t="str"/>
      <x:c r="N277" s="70" t="str">
        <x:v>CLOSED</x:v>
      </x:c>
    </x:row>
    <x:row r="278" ht="195" customHeight="1">
      <x:c r="A278" s="62" t="str">
        <x:v>FMEA-04</x:v>
      </x:c>
      <x:c r="B278" s="62" t="str">
        <x:v>Failure analysis and system safety</x:v>
      </x:c>
      <x:c r="C278" s="65" t="str">
        <x:v>P0</x:v>
      </x:c>
      <x:c r="D278" s="62" t="str">
        <x:v>G1 Schematic</x:v>
      </x:c>
      <x:c r="E278" s="62" t="str">
        <x:v>Are shorts between adjacent connector pins and connection to wrong external voltage bounded?</x:v>
      </x:c>
      <x:c r="F278" s="62" t="str">
        <x:v>Pin adjacency fault matrix and protection evidence under agreed fault severity.</x:v>
      </x:c>
      <x:c r="G278" s="22" t="str">
        <x:v>CURRENT SOURCE OR MODEL WITH REMAINING CONDITIONS</x:v>
      </x:c>
      <x:c r="H278" s="22" t="str">
        <x:v>RVB22 coordinated engineering review</x:v>
      </x:c>
      <x:c r="I27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agreed-severity assembled fault evidence remains.</x:v>
      </x:c>
      <x:c r="J278" s="161" t="str">
        <x:v>interfaces/HARNESS_INTERFACE_CONTRACT.json
interfaces/HARNESS_CHECKS.json
analyses/harness_wire/HARNESS_WIRE_DELTA.json
current/EXECUTION_PLAN.md</x:v>
      </x:c>
      <x:c r="K278" s="62" t="str">
        <x:v>Rev B; characterize Rev A only within its approved bench limits</x:v>
      </x:c>
      <x:c r="L278" s="62" t="str">
        <x:v>E</x:v>
      </x:c>
      <x:c r="M278" s="62" t="str"/>
      <x:c r="N278" s="70" t="str">
        <x:v>OPEN</x:v>
      </x:c>
    </x:row>
    <x:row r="279" ht="195" customHeight="1">
      <x:c r="A279" s="62" t="str">
        <x:v>FMEA-05</x:v>
      </x:c>
      <x:c r="B279" s="62" t="str">
        <x:v>Failure analysis and system safety</x:v>
      </x:c>
      <x:c r="C279" s="65" t="str">
        <x:v>P0</x:v>
      </x:c>
      <x:c r="D279" s="62" t="str">
        <x:v>G1 Schematic</x:v>
      </x:c>
      <x:c r="E279" s="62" t="str">
        <x:v>What is the safe state for reset, partial power, firmware hang and failed nonvolatile data?</x:v>
      </x:c>
      <x:c r="F279" s="62" t="str">
        <x:v>Safe-state definition is observable and independent of optimistic software assumptions.</x:v>
      </x:c>
      <x:c r="G279" s="22" t="str">
        <x:v>CURRENT SOURCE OR MODEL WITH REMAINING CONDITIONS</x:v>
      </x:c>
      <x:c r="H279" s="22" t="str">
        <x:v>RVB22 coordinated engineering review</x:v>
      </x:c>
      <x:c r="I279"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COMPLETED CONDITIONAL MODEL
REMAINING: Observable no-TX/invalid-data defaults are implemented, but physical electrical shorts and stuck-in-range sensors exceed software guarantees.</x:v>
      </x:c>
      <x:c r="J279" s="161" t="str">
        <x:v>lanes/firmware_oil/RECOVERED_RELEASE_CHECKS.json
lanes/firmware_oil/RECOVERED_FIRMWARE_TEST_RESULTS.json
current/EXECUTION_PLAN.md</x:v>
      </x:c>
      <x:c r="K279" s="62" t="str">
        <x:v>Rev B; characterize Rev A only within its approved bench limits</x:v>
      </x:c>
      <x:c r="L279" s="62" t="str">
        <x:v>E</x:v>
      </x:c>
      <x:c r="M279" s="62" t="str"/>
      <x:c r="N279" s="70" t="str">
        <x:v>OPEN</x:v>
      </x:c>
    </x:row>
    <x:row r="280" ht="195" customHeight="1">
      <x:c r="A280" s="62" t="str">
        <x:v>FMEA-06</x:v>
      </x:c>
      <x:c r="B280" s="62" t="str">
        <x:v>Failure analysis and system safety</x:v>
      </x:c>
      <x:c r="C280" s="65" t="str">
        <x:v>P1</x:v>
      </x:c>
      <x:c r="D280" s="62" t="str">
        <x:v>G1 Schematic</x:v>
      </x:c>
      <x:c r="E280" s="62" t="str">
        <x:v>Can one sensor/antenna failure take down unrelated telemetry or power rails?</x:v>
      </x:c>
      <x:c r="F280" s="62" t="str">
        <x:v>Fault isolation and graceful-degradation analysis.</x:v>
      </x:c>
      <x:c r="G280" s="22" t="str">
        <x:v>CLOSED BY ORIGINAL SCOPE</x:v>
      </x:c>
      <x:c r="H280" s="22" t="str">
        <x:v>RVB22 coordinated engineering review</x:v>
      </x:c>
      <x:c r="I280"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0" s="161" t="str">
        <x:v>lanes/power/POWER_GEOMETRY_REPORT.json
lanes/power/COUPLED_STARTUP_ENVELOPE.json
lanes/power_limits/POWER_LIMITS_SUMMARY.json
lanes/power/FINAL_I04_POWER_EFFECTIVITY.json
current/EXECUTION_PLAN.md</x:v>
      </x:c>
      <x:c r="K280" s="62" t="str">
        <x:v>Rev B; characterize Rev A only within its approved bench limits</x:v>
      </x:c>
      <x:c r="L280" s="62" t="str">
        <x:v>E</x:v>
      </x:c>
      <x:c r="M280" s="62" t="str"/>
      <x:c r="N280" s="70" t="str">
        <x:v>CLOSED</x:v>
      </x:c>
    </x:row>
    <x:row r="281" ht="205" customHeight="1">
      <x:c r="A281" s="62" t="str">
        <x:v>FMEA-07</x:v>
      </x:c>
      <x:c r="B281" s="62" t="str">
        <x:v>Failure analysis and system safety</x:v>
      </x:c>
      <x:c r="C281" s="65" t="str">
        <x:v>P1</x:v>
      </x:c>
      <x:c r="D281" s="62" t="str">
        <x:v>G1 Schematic</x:v>
      </x:c>
      <x:c r="E281" s="62" t="str">
        <x:v>Are plausible but wrong measurements detected where feasible?</x:v>
      </x:c>
      <x:c r="F281" s="62" t="str">
        <x:v>Stuck/range/rate/stale checks distinguish limitations from guaranteed fault detection.</x:v>
      </x:c>
      <x:c r="G281" s="22" t="str">
        <x:v>CLOSED BY ORIGINAL SCOPE</x:v>
      </x:c>
      <x:c r="H281" s="22" t="str">
        <x:v>RVB22 coordinated engineering review</x:v>
      </x:c>
      <x:c r="I28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81" s="161" t="str">
        <x:v>lanes/firmware_oil/RECOVERED_RELEASE_CHECKS.json
lanes/firmware_oil/RECOVERED_FIRMWARE_TEST_RESULTS.json
current/EXECUTION_PLAN.md</x:v>
      </x:c>
      <x:c r="K281" s="62" t="str">
        <x:v>Rev B; characterize Rev A only within its approved bench limits</x:v>
      </x:c>
      <x:c r="L281" s="62" t="str">
        <x:v>E</x:v>
      </x:c>
      <x:c r="M281" s="62" t="str"/>
      <x:c r="N281" s="70" t="str">
        <x:v>CLOSED</x:v>
      </x:c>
    </x:row>
    <x:row r="282" ht="195" customHeight="1">
      <x:c r="A282" s="62" t="str">
        <x:v>FMEA-08</x:v>
      </x:c>
      <x:c r="B282" s="62" t="str">
        <x:v>Failure analysis and system safety</x:v>
      </x:c>
      <x:c r="C282" s="65" t="str">
        <x:v>P0</x:v>
      </x:c>
      <x:c r="D282" s="62" t="str">
        <x:v>G1 Schematic</x:v>
      </x:c>
      <x:c r="E282" s="62" t="str">
        <x:v>Are residual risks, untested fault combinations and required user precautions explicit?</x:v>
      </x:c>
      <x:c r="F282" s="62" t="str">
        <x:v>Risk register names acceptance authority; no unstated claim of universal single-fault tolerance.</x:v>
      </x:c>
      <x:c r="G282" s="22" t="str">
        <x:v>CLOSED BY ORIGINAL SCOPE</x:v>
      </x:c>
      <x:c r="H282" s="22" t="str">
        <x:v>RVB22 coordinated engineering review</x:v>
      </x:c>
      <x:c r="I282"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2" s="161" t="str">
        <x:v>control/EXECUTION_PLAN_CURRENT.md
control/RECOVERY_LEDGER.md
control/DESKTOP_ACTION_DISPOSITIONS_CURRENT.json
iterations/I06_harness_handoff/CANDIDATE_MANIFEST.json
control/FINAL_GATES.json
current/EXECUTION_PLAN.md</x:v>
      </x:c>
      <x:c r="K282" s="62" t="str">
        <x:v>Rev B; characterize Rev A only within its approved bench limits</x:v>
      </x:c>
      <x:c r="L282" s="62" t="str">
        <x:v>E</x:v>
      </x:c>
      <x:c r="M282" s="62" t="str"/>
      <x:c r="N282" s="70" t="str">
        <x:v>CLOSED</x:v>
      </x:c>
    </x:row>
    <x:row r="283" ht="304" customHeight="1">
      <x:c r="A283" s="62" t="str">
        <x:v>FMEA-09</x:v>
      </x:c>
      <x:c r="B283" s="62" t="str">
        <x:v>Failure analysis and system safety</x:v>
      </x:c>
      <x:c r="C283" s="65" t="str">
        <x:v>P1</x:v>
      </x:c>
      <x:c r="D283" s="62" t="str">
        <x:v>G1 Schematic</x:v>
      </x:c>
      <x:c r="E283" s="62" t="str">
        <x:v>Are diagnostic messages actionable without encouraging unsafe continued operation?</x:v>
      </x:c>
      <x:c r="F283" s="62" t="str">
        <x:v>Fault/status definitions and user instructions make limitations clear.</x:v>
      </x:c>
      <x:c r="G283" s="22" t="str">
        <x:v>CLOSED BY ORIGINAL SCOPE</x:v>
      </x:c>
      <x:c r="H283" s="22" t="str">
        <x:v>RVB22 coordinated engineering review</x:v>
      </x:c>
      <x:c r="I28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COMPLETED SOURCE DOCUMENTARY SCOPE
REMAINING: Current source/evidence binding completed. The original documentary or calculation scope is satisfied; applicability and external acceptance conditions remain in the linked evidence and related open criteria.</x:v>
      </x:c>
      <x:c r="J283" s="161" t="str">
        <x:v>lanes/firmware_oil/RECOVERED_RELEASE_CHECKS.json
lanes/firmware_oil/RECOVERED_FIRMWARE_TEST_RESULTS.json
current/EXECUTION_PLAN.md</x:v>
      </x:c>
      <x:c r="K283" s="62" t="str">
        <x:v>Rev B; characterize Rev A only within its approved bench limits</x:v>
      </x:c>
      <x:c r="L283" s="62" t="str">
        <x:v>E</x:v>
      </x:c>
      <x:c r="M283" s="62" t="str"/>
      <x:c r="N283" s="70" t="str">
        <x:v>CLOSED</x:v>
      </x:c>
    </x:row>
    <x:row r="284" ht="195" customHeight="1">
      <x:c r="A284" s="62" t="str">
        <x:v>FMEA-10</x:v>
      </x:c>
      <x:c r="B284" s="62" t="str">
        <x:v>Failure analysis and system safety</x:v>
      </x:c>
      <x:c r="C284" s="65" t="str">
        <x:v>P0</x:v>
      </x:c>
      <x:c r="D284" s="62" t="str">
        <x:v>G1 Schematic</x:v>
      </x:c>
      <x:c r="E284" s="62" t="str">
        <x:v>Is 'telemetry only' correctly treated as a functional restriction rather than proof of electrical harmlessness?</x:v>
      </x:c>
      <x:c r="F284" s="62" t="str">
        <x:v>Non-interference proof includes bus loading, power shorts and back-feed, not only absence of application transmit calls.</x:v>
      </x:c>
      <x:c r="G284" s="22" t="str">
        <x:v>CURRENT SOURCE OR MODEL WITH REMAINING CONDITIONS</x:v>
      </x:c>
      <x:c r="H284" s="22" t="str">
        <x:v>RVB22 coordinated engineering review</x:v>
      </x:c>
      <x:c r="I284"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universal physical bus non-interference is not proven by source no-TX.</x:v>
      </x:c>
      <x:c r="J284" s="161" t="str">
        <x:v>analyses/can_branch/COMPLETE_CAN_BRANCH_RESULTS.json
analyses/can_branch/FINAL_CAN_SOURCE_BINDING.json
analyses/can_branch/CAN22-02_NUMERICAL_CHECKS.json
current/EXECUTION_PLAN.md</x:v>
      </x:c>
      <x:c r="K284" s="62" t="str">
        <x:v>Rev B; characterize Rev A only within its approved bench limits</x:v>
      </x:c>
      <x:c r="L284" s="62" t="str">
        <x:v>E</x:v>
      </x:c>
      <x:c r="M284" s="62" t="str"/>
      <x:c r="N284" s="70" t="str">
        <x:v>OPEN</x:v>
      </x:c>
    </x:row>
    <x:row r="285" ht="195" customHeight="1">
      <x:c r="A285" s="62" t="str">
        <x:v>CCB-01</x:v>
      </x:c>
      <x:c r="B285" s="62" t="str">
        <x:v>Change control and release authority</x:v>
      </x:c>
      <x:c r="C285" s="65" t="str">
        <x:v>P0</x:v>
      </x:c>
      <x:c r="D285" s="62" t="str">
        <x:v>G5 Vehicle</x:v>
      </x:c>
      <x:c r="E285" s="62" t="str">
        <x:v>Does each Rev A defect have a root cause, Rev B corrective action and a closure test?</x:v>
      </x:c>
      <x:c r="F285" s="62" t="str">
        <x:v>Issue-to-change-to-test traceability includes prevention of recurring library or process errors.</x:v>
      </x:c>
      <x:c r="G285" s="22" t="str">
        <x:v>CLOSED BY ORIGINAL SCOPE</x:v>
      </x:c>
      <x:c r="H285" s="22" t="str">
        <x:v>RVB22 coordinated engineering review</x:v>
      </x:c>
      <x:c r="I285"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5"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c r="K285" s="62" t="str">
        <x:v>Rev B; characterize Rev A only within its approved bench limits</x:v>
      </x:c>
      <x:c r="L285" s="62" t="str">
        <x:v>E</x:v>
      </x:c>
      <x:c r="M285" s="62" t="str"/>
      <x:c r="N285" s="70" t="str">
        <x:v>CLOSED</x:v>
      </x:c>
    </x:row>
    <x:row r="286" ht="195" customHeight="1">
      <x:c r="A286" s="62" t="str">
        <x:v>CCB-02</x:v>
      </x:c>
      <x:c r="B286" s="62" t="str">
        <x:v>Change control and release authority</x:v>
      </x:c>
      <x:c r="C286" s="65" t="str">
        <x:v>P0</x:v>
      </x:c>
      <x:c r="D286" s="62" t="str">
        <x:v>G5 Vehicle</x:v>
      </x:c>
      <x:c r="E286" s="62" t="str">
        <x:v>Are form, fit, function, firmware, calibration and harness impacts assessed for every change?</x:v>
      </x:c>
      <x:c r="F286" s="62" t="str">
        <x:v>Engineering change package identifies all affected artifacts and users.</x:v>
      </x:c>
      <x:c r="G286" s="22" t="str">
        <x:v>CLOSED BY ORIGINAL SCOPE</x:v>
      </x:c>
      <x:c r="H286" s="22" t="str">
        <x:v>RVB22 coordinated engineering review</x:v>
      </x:c>
      <x:c r="I286"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6"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c r="K286" s="62" t="str">
        <x:v>Rev B; characterize Rev A only within its approved bench limits</x:v>
      </x:c>
      <x:c r="L286" s="62" t="str">
        <x:v>E</x:v>
      </x:c>
      <x:c r="M286" s="62" t="str"/>
      <x:c r="N286" s="70" t="str">
        <x:v>CLOSED</x:v>
      </x:c>
    </x:row>
    <x:row r="287" ht="195" customHeight="1">
      <x:c r="A287" s="62" t="str">
        <x:v>CCB-03</x:v>
      </x:c>
      <x:c r="B287" s="62" t="str">
        <x:v>Change control and release authority</x:v>
      </x:c>
      <x:c r="C287" s="65" t="str">
        <x:v>P1</x:v>
      </x:c>
      <x:c r="D287" s="62" t="str">
        <x:v>G5 Vehicle</x:v>
      </x:c>
      <x:c r="E287" s="62" t="str">
        <x:v>Are component substitutions and PCB stackup changes treated as potential electrical changes?</x:v>
      </x:c>
      <x:c r="F287" s="62" t="str">
        <x:v>Equivalence and regression assessment includes RF, power, protection and analog behavior.</x:v>
      </x:c>
      <x:c r="G287" s="22" t="str">
        <x:v>CLOSED BY ORIGINAL SCOPE</x:v>
      </x:c>
      <x:c r="H287" s="22" t="str">
        <x:v>RVB22 coordinated engineering review</x:v>
      </x:c>
      <x:c r="I287"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7" s="161" t="str">
        <x:v>lanes/power/POWER_GEOMETRY_REPORT.json
lanes/power/COUPLED_STARTUP_ENVELOPE.json
lanes/power_limits/POWER_LIMITS_SUMMARY.json
lanes/power/FINAL_I04_POWER_EFFECTIVITY.json
current/I21_SOURCE_VERIFICATION.json
iterations/I20_controlled_handoff/NATIVE_BINDING.json
current/EXECUTION_PLAN.md</x:v>
      </x:c>
      <x:c r="K287" s="62" t="str">
        <x:v>Rev B; characterize Rev A only within its approved bench limits</x:v>
      </x:c>
      <x:c r="L287" s="62" t="str">
        <x:v>E</x:v>
      </x:c>
      <x:c r="M287" s="62" t="str"/>
      <x:c r="N287" s="70" t="str">
        <x:v>CLOSED</x:v>
      </x:c>
    </x:row>
    <x:row r="288" ht="195" customHeight="1">
      <x:c r="A288" s="62" t="str">
        <x:v>CCB-04</x:v>
      </x:c>
      <x:c r="B288" s="62" t="str">
        <x:v>Change control and release authority</x:v>
      </x:c>
      <x:c r="C288" s="65" t="str">
        <x:v>P0</x:v>
      </x:c>
      <x:c r="D288" s="62" t="str">
        <x:v>G5 Vehicle</x:v>
      </x:c>
      <x:c r="E288" s="62" t="str">
        <x:v>Are board/assembly revisions and effectivity controlled for existing boards and spare harnesses?</x:v>
      </x:c>
      <x:c r="F288" s="62" t="str">
        <x:v>Serial/lot disposition, rework instructions and compatibility labels.</x:v>
      </x:c>
      <x:c r="G288" s="22" t="str">
        <x:v>CURRENT SOURCE OR MODEL WITH REMAINING CONDITIONS</x:v>
      </x:c>
      <x:c r="H288" s="22" t="str">
        <x:v>RVB22 coordinated engineering review</x:v>
      </x:c>
      <x:c r="I288"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HARDWARE OR INSTALLATION ACCEPTANCE
REMAINING: actual serial/lot disposition and rework labels remain.</x:v>
      </x:c>
      <x:c r="J288" s="161" t="str">
        <x:v>control/EXECUTION_PLAN_CURRENT.md
control/CLOSED_CRITERIA_ADJUDICATION.json
current/I21_SOURCE_VERIFICATION.json
iterations/I20_controlled_handoff/NATIVE_BINDING.json
current/EXECUTION_PLAN.md</x:v>
      </x:c>
      <x:c r="K288" s="62" t="str">
        <x:v>Rev B; characterize Rev A only within its approved bench limits</x:v>
      </x:c>
      <x:c r="L288" s="62" t="str">
        <x:v>E</x:v>
      </x:c>
      <x:c r="M288" s="62" t="str"/>
      <x:c r="N288" s="70" t="str">
        <x:v>OPEN</x:v>
      </x:c>
    </x:row>
    <x:row r="289" ht="195" customHeight="1">
      <x:c r="A289" s="62" t="str">
        <x:v>CCB-05</x:v>
      </x:c>
      <x:c r="B289" s="62" t="str">
        <x:v>Change control and release authority</x:v>
      </x:c>
      <x:c r="C289" s="65" t="str">
        <x:v>P1</x:v>
      </x:c>
      <x:c r="D289" s="62" t="str">
        <x:v>G5 Vehicle</x:v>
      </x:c>
      <x:c r="E289" s="62" t="str">
        <x:v>Are existing bodges retained as configuration-controlled prototype modifications?</x:v>
      </x:c>
      <x:c r="F289" s="62" t="str">
        <x:v>Authorized rework drawing and evidence; no prototype repair silently becomes production standard.</x:v>
      </x:c>
      <x:c r="G289" s="22" t="str">
        <x:v>CLOSED BY ORIGINAL SCOPE</x:v>
      </x:c>
      <x:c r="H289" s="22" t="str">
        <x:v>RVB22 coordinated engineering review</x:v>
      </x:c>
      <x:c r="I289"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89" s="161" t="str">
        <x:v>iterations/I06_harness_handoff/CANDIDATE_MANIFEST.json
current/I21_SOURCE_VERIFICATION.json
iterations/I20_controlled_handoff/NATIVE_BINDING.json
current/EXECUTION_PLAN.md</x:v>
      </x:c>
      <x:c r="K289" s="62" t="str">
        <x:v>Rev B; characterize Rev A only within its approved bench limits</x:v>
      </x:c>
      <x:c r="L289" s="62" t="str">
        <x:v>E</x:v>
      </x:c>
      <x:c r="M289" s="62" t="str"/>
      <x:c r="N289" s="70" t="str">
        <x:v>CLOSED</x:v>
      </x:c>
    </x:row>
    <x:row r="290" ht="195" customHeight="1">
      <x:c r="A290" s="62" t="str">
        <x:v>CCB-06</x:v>
      </x:c>
      <x:c r="B290" s="62" t="str">
        <x:v>Change control and release authority</x:v>
      </x:c>
      <x:c r="C290" s="65" t="str">
        <x:v>P0</x:v>
      </x:c>
      <x:c r="D290" s="62" t="str">
        <x:v>G5 Vehicle</x:v>
      </x:c>
      <x:c r="E290" s="62" t="str">
        <x:v>Can an approved change regenerate every affected output without leaving stale fabrication files?</x:v>
      </x:c>
      <x:c r="F290" s="62" t="str">
        <x:v>Clean release build and manifest comparison.</x:v>
      </x:c>
      <x:c r="G290" s="22" t="str">
        <x:v>CLOSED BY ORIGINAL SCOPE</x:v>
      </x:c>
      <x:c r="H290" s="22" t="str">
        <x:v>RVB22 coordinated engineering review</x:v>
      </x:c>
      <x:c r="I290" s="22" t="str">
        <x:v>Clean native regeneration, source inventory and complete output manifest are available for I20. Fresh digest and independent copper/export checks agree. The I21 reconciliation does not alter CAD or firmware.
CRITERION: CLOSED
DESKTOP: COMPLETED CURRENT SOURCE VERIFICATION
REMAINING: Original documentary, design-inspection or execution scope satisfied. Related supplier and physical criteria retain their own dispositions.</x:v>
      </x:c>
      <x:c r="J290" s="161" t="str">
        <x:v>iterations/I20_controlled_handoff/NATIVE_BINDING.json
current/I21_SOURCE_VERIFICATION.json
analyses/manufacturing_i20/RESULTS.json
current/SOURCE_EFFECTIVITY.json</x:v>
      </x:c>
      <x:c r="K290" s="62" t="str">
        <x:v>Rev B; characterize Rev A only within its approved bench limits</x:v>
      </x:c>
      <x:c r="L290" s="62" t="str">
        <x:v>E</x:v>
      </x:c>
      <x:c r="M290" s="62" t="str"/>
      <x:c r="N290" s="70" t="str">
        <x:v>CLOSED</x:v>
      </x:c>
    </x:row>
    <x:row r="291" ht="195" customHeight="1">
      <x:c r="A291" s="62" t="str">
        <x:v>CCB-07</x:v>
      </x:c>
      <x:c r="B291" s="62" t="str">
        <x:v>Change control and release authority</x:v>
      </x:c>
      <x:c r="C291" s="65" t="str">
        <x:v>P1</x:v>
      </x:c>
      <x:c r="D291" s="62" t="str">
        <x:v>G5 Vehicle</x:v>
      </x:c>
      <x:c r="E291" s="62" t="str">
        <x:v>Are test results re-evaluated when firmware, enclosure, antenna, harness or BOM changes?</x:v>
      </x:c>
      <x:c r="F291" s="62" t="str">
        <x:v>Impact analysis identifies invalidated evidence and required regression.</x:v>
      </x:c>
      <x:c r="G291" s="22" t="str">
        <x:v>CLOSED BY ORIGINAL SCOPE</x:v>
      </x:c>
      <x:c r="H291" s="22" t="str">
        <x:v>RVB22 coordinated engineering review</x:v>
      </x:c>
      <x:c r="I291"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1"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c r="K291" s="62" t="str">
        <x:v>Rev B; characterize Rev A only within its approved bench limits</x:v>
      </x:c>
      <x:c r="L291" s="62" t="str">
        <x:v>E</x:v>
      </x:c>
      <x:c r="M291" s="62" t="str"/>
      <x:c r="N291" s="70" t="str">
        <x:v>CLOSED</x:v>
      </x:c>
    </x:row>
    <x:row r="292" ht="195" customHeight="1">
      <x:c r="A292" s="62" t="str">
        <x:v>CCB-08</x:v>
      </x:c>
      <x:c r="B292" s="62" t="str">
        <x:v>Change control and release authority</x:v>
      </x:c>
      <x:c r="C292" s="65" t="str">
        <x:v>P0</x:v>
      </x:c>
      <x:c r="D292" s="62" t="str">
        <x:v>G5 Vehicle</x:v>
      </x:c>
      <x:c r="E292" s="62" t="str">
        <x:v>Are waivers specific, bounded, time/configuration-limited and accepted by the proper authority?</x:v>
      </x:c>
      <x:c r="F292" s="62" t="str">
        <x:v>Signed technical rationale, residual risk and closure/expiry conditions.</x:v>
      </x:c>
      <x:c r="G292" s="22" t="str">
        <x:v>CURRENT SOURCE OR MODEL WITH REMAINING CONDITIONS</x:v>
      </x:c>
      <x:c r="H292" s="22" t="str">
        <x:v>RVB22 coordinated engineering review</x:v>
      </x:c>
      <x:c r="I292" s="22"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
CRITERION: OPEN
DESKTOP: SUPPLIER OR RESPONSIBLE ACCEPTANCE
REMAINING: responsible acceptance signatures/expiry are actual governance records, not simulated.</x:v>
      </x:c>
      <x:c r="J292" s="161" t="str">
        <x:v>control/EXECUTION_PLAN_CURRENT.md
control/CLOSED_CRITERIA_ADJUDICATION.json
current/I21_SOURCE_VERIFICATION.json
iterations/I20_controlled_handoff/NATIVE_BINDING.json
current/EXECUTION_PLAN.md</x:v>
      </x:c>
      <x:c r="K292" s="62" t="str">
        <x:v>Rev B; characterize Rev A only within its approved bench limits</x:v>
      </x:c>
      <x:c r="L292" s="62" t="str">
        <x:v>E</x:v>
      </x:c>
      <x:c r="M292" s="62" t="str"/>
      <x:c r="N292" s="70" t="str">
        <x:v>OPEN</x:v>
      </x:c>
    </x:row>
    <x:row r="293" ht="195" customHeight="1">
      <x:c r="A293" s="62" t="str">
        <x:v>CCB-09</x:v>
      </x:c>
      <x:c r="B293" s="62" t="str">
        <x:v>Change control and release authority</x:v>
      </x:c>
      <x:c r="C293" s="65" t="str">
        <x:v>P0</x:v>
      </x:c>
      <x:c r="D293" s="62" t="str">
        <x:v>G5 Vehicle</x:v>
      </x:c>
      <x:c r="E293" s="62" t="str">
        <x:v>Are fabrication, bench energization and vehicle operation separately authorized decisions?</x:v>
      </x:c>
      <x:c r="F293" s="62" t="str">
        <x:v>Gate Decisions sheet completed by responsible reviewers; no workbook formula grants approval.</x:v>
      </x:c>
      <x:c r="G293" s="22" t="str">
        <x:v>CLOSED BY ORIGINAL SCOPE</x:v>
      </x:c>
      <x:c r="H293" s="22" t="str">
        <x:v>RVB22 coordinated engineering review</x:v>
      </x:c>
      <x:c r="I293"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3"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c r="K293" s="62" t="str">
        <x:v>Rev B; characterize Rev A only within its approved bench limits</x:v>
      </x:c>
      <x:c r="L293" s="62" t="str">
        <x:v>E</x:v>
      </x:c>
      <x:c r="M293" s="62" t="str"/>
      <x:c r="N293" s="70" t="str">
        <x:v>CLOSED</x:v>
      </x:c>
    </x:row>
    <x:row r="294" ht="195" customHeight="1">
      <x:c r="A294" s="62" t="str">
        <x:v>CCB-10</x:v>
      </x:c>
      <x:c r="B294" s="62" t="str">
        <x:v>Change control and release authority</x:v>
      </x:c>
      <x:c r="C294" s="65" t="str">
        <x:v>P0</x:v>
      </x:c>
      <x:c r="D294" s="62" t="str">
        <x:v>G5 Vehicle</x:v>
      </x:c>
      <x:c r="E294" s="62" t="str">
        <x:v>Can the CE identify the remaining top risks and the exact evidence supporting release?</x:v>
      </x:c>
      <x:c r="F294" s="62" t="str">
        <x:v>Final decision package states unresolved items, accepted limitations and signatories without a misleading aggregate pass percentage.</x:v>
      </x:c>
      <x:c r="G294" s="22" t="str">
        <x:v>CLOSED BY ORIGINAL SCOPE</x:v>
      </x:c>
      <x:c r="H294" s="22" t="str">
        <x:v>RVB22 coordinated engineering review</x:v>
      </x:c>
      <x:c r="I294" s="22"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
CRITERION: CLOSED
DESKTOP: CURRENT EVIDENCE REVIEWED
REMAINING: </x:v>
      </x:c>
      <x:c r="J294" s="161"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c r="K294" s="62" t="str">
        <x:v>Rev B; characterize Rev A only within its approved bench limits</x:v>
      </x:c>
      <x:c r="L294" s="62" t="str">
        <x:v>E</x:v>
      </x:c>
      <x:c r="M294" s="62" t="str"/>
      <x:c r="N294" s="70" t="str">
        <x:v>CLOSED</x:v>
      </x:c>
    </x:row>
  </x:sheetData>
  <x:mergeCells>
    <x:mergeCell ref="A1:M1"/>
    <x:mergeCell ref="A2:M2"/>
  </x:mergeCells>
  <x:conditionalFormatting sqref="G5:G294">
    <x:cfRule type="expression" dxfId="0" priority="1">
      <x:formula>$G5="Open finding"</x:formula>
    </x:cfRule>
    <x:cfRule type="expression" dxfId="1" priority="2">
      <x:formula>$G5="Closed with evidence"</x:formula>
    </x:cfRule>
    <x:cfRule type="expression" dxfId="2" priority="3">
      <x:formula>$G5="Evidence pending"</x:formula>
    </x:cfRule>
    <x:cfRule type="cellIs" dxfId="4" priority="4" operator="equal">
      <x:formula>"OPEN"</x:formula>
    </x:cfRule>
    <x:cfRule type="cellIs" dxfId="5" priority="5" operator="equal">
      <x:formula>"HOLD"</x:formula>
    </x:cfRule>
    <x:cfRule type="cellIs" dxfId="6" priority="6" operator="equal">
      <x:formula>"RELEASE BLOCKER"</x:formula>
    </x:cfRule>
    <x:cfRule type="cellIs" dxfId="7" priority="7" operator="equal">
      <x:formula>"KNOWN BROKEN"</x:formula>
    </x:cfRule>
    <x:cfRule type="cellIs" dxfId="8" priority="8" operator="equal">
      <x:formula>"CORRECTED IN REV B"</x:formula>
    </x:cfRule>
    <x:cfRule type="cellIs" dxfId="9" priority="9" operator="equal">
      <x:formula>"VERIFIED"</x:formula>
    </x:cfRule>
    <x:cfRule type="cellIs" dxfId="10" priority="10" operator="equal">
      <x:formula>"CALCULATED"</x:formula>
    </x:cfRule>
  </x:conditionalFormatting>
  <x:conditionalFormatting sqref="N5:N294">
    <x:cfRule type="cellIs" dxfId="11" priority="11" operator="equal">
      <x:formula>"CLOSED"</x:formula>
    </x:cfRule>
    <x:cfRule type="cellIs" dxfId="12" priority="12" operator="equal">
      <x:formula>"OPEN"</x:formula>
    </x:cfRule>
    <x:cfRule type="cellIs" dxfId="13" priority="13" operator="equal">
      <x:formula>"N/A"</x:formula>
    </x:cfRule>
  </x:conditionalFormatting>
  <x:dataValidations count="3">
    <x:dataValidation type="list" sqref="G5:G294">
      <x:formula1>"CURRENT SOURCE OR MODEL WITH REMAINING CONDITIONS,CLOSED BY ORIGINAL SCOPE,OPEN ORIGINAL ACCEPTANCE,NOT APPLICABLE,OPEN THERMAL ENGINEERING"</x:formula1>
    </x:dataValidation>
    <x:dataValidation type="list" sqref="C5:C294">
      <x:formula1>"P0,P1,P2"</x:formula1>
    </x:dataValidation>
    <x:dataValidation type="list" sqref="N5:N294">
      <x:formula1>"CLOSED,OPEN,N/A"</x:formula1>
    </x:dataValidation>
  </x:dataValidations>
  <x:pageMargins left="0.7" right="0.7" top="0.75" bottom="0.75" header="0.3" footer="0.3"/>
  <x:tableParts count="1">
    <x:tablePart xmlns:r="http://schemas.openxmlformats.org/officeDocument/2006/relationships" r:id="Raee623ca03de46e2"/>
  </x:tableParts>
</x:worksheet>
</file>

<file path=xl/worksheets/sheet3.xml><?xml version="1.0" encoding="utf-8"?>
<x:worksheet xmlns:x="http://schemas.openxmlformats.org/spreadsheetml/2006/main">
  <x:sheetFormatPr defaultRowHeight="15"/>
  <x:cols>
    <x:col min="1" max="1" width="20" hidden="0" customWidth="1"/>
    <x:col min="2" max="2" width="40" hidden="0" customWidth="1"/>
    <x:col min="3" max="3" width="40" hidden="0" customWidth="1"/>
    <x:col min="4" max="4" width="30" hidden="0" customWidth="1"/>
    <x:col min="5" max="5" width="40" hidden="0" customWidth="1"/>
  </x:cols>
  <x:sheetData>
    <x:row r="1" ht="32" customHeight="1">
      <x:c r="A1" s="5" t="str">
        <x:v>KNOWN BASELINE | Historical records, not new findings</x:v>
      </x:c>
      <x:c r="B1" s="5"/>
      <x:c r="C1" s="5"/>
      <x:c r="D1" s="5"/>
      <x:c r="E1" s="5"/>
    </x:row>
    <x:row r="3" ht="32" customHeight="1">
      <x:c r="A3" s="5" t="str">
        <x:v>Record</x:v>
      </x:c>
      <x:c r="B3" s="5" t="str">
        <x:v>Historical / controlled baseline</x:v>
      </x:c>
      <x:c r="C3" s="5" t="str">
        <x:v>Review implication</x:v>
      </x:c>
      <x:c r="D3" s="5" t="str">
        <x:v>Source and locator</x:v>
      </x:c>
      <x:c r="E3" s="5" t="str">
        <x:v>Current status / caution</x:v>
      </x:c>
    </x:row>
    <x:row r="4" ht="125" customHeight="1">
      <x:c r="A4" s="18" t="str">
        <x:v>Scope</x:v>
      </x:c>
      <x:c r="B4" s="18" t="str">
        <x:v>Passive GR86/BRZ Gen2 telemetry: vehicle power, Classical CAN 500 kbit/s, oil pressure, PA1616D UART/PPS, ESP32-S3 and RaceChrono DIY BLE.</x:v>
      </x:c>
      <x:c r="C4" s="18" t="str">
        <x:v>Review the complete connected system, including harness, antenna, sensor and phone.</x:v>
      </x:c>
      <x:c r="D4" s="18" t="str">
        <x:v>R2 — Non-negotiable design intent</x:v>
      </x:c>
      <x:c r="E4" s="18" t="str">
        <x:v>Design intent; not proof of current implementation.</x:v>
      </x:c>
    </x:row>
    <x:row r="5" ht="125" customHeight="1">
      <x:c r="A5" s="18" t="str">
        <x:v>Rev A disposition</x:v>
      </x:c>
      <x:c r="B5" s="18" t="str">
        <x:v>Historical audit identifies Rev A as a bench-only bodged prototype with original vehicle power path prohibited.</x:v>
      </x:c>
      <x:c r="C5" s="18" t="str">
        <x:v>Do not energize the original F1-3/F1-4/B1/B2 paths under this review plan.</x:v>
      </x:c>
      <x:c r="D5" s="18" t="str">
        <x:v>R3 — pp. 1–4; R1 release disposition</x:v>
      </x:c>
      <x:c r="E5" s="18" t="str">
        <x:v>Requires an explicit superseding engineering disposition before relaxing restrictions.</x:v>
      </x:c>
    </x:row>
    <x:row r="6" ht="125" customHeight="1">
      <x:c r="A6" s="18" t="str">
        <x:v>Power defects</x:v>
      </x:c>
      <x:c r="B6" s="18" t="str">
        <x:v>Rev A audit documents incorrect converter pin mappings, series input capacitance, invalid feedback connectivity and uncoordinated protection.</x:v>
      </x:c>
      <x:c r="C6" s="18" t="str">
        <x:v>Require independent rebuilt symbol, connectivity and full protection-chain review.</x:v>
      </x:c>
      <x:c r="D6" s="18" t="str">
        <x:v>R1 — RL-002, RL-003</x:v>
      </x:c>
      <x:c r="E6" s="18" t="str">
        <x:v>Historical defect record; this workbook does not verify any Rev B correction.</x:v>
      </x:c>
    </x:row>
    <x:row r="7" ht="125" customHeight="1">
      <x:c r="A7" s="18" t="str">
        <x:v>MCU / programming</x:v>
      </x:c>
      <x:c r="B7" s="18" t="str">
        <x:v>Actual EN and GPIO0 routing and Tag-Connect mapping were unreliable in Rev A.</x:v>
      </x:c>
      <x:c r="C7" s="18" t="str">
        <x:v>Prove actual physical module pins, boot/reset timing and programmer mapping.</x:v>
      </x:c>
      <x:c r="D7" s="18" t="str">
        <x:v>R1 — RL-004</x:v>
      </x:c>
      <x:c r="E7" s="18" t="str">
        <x:v>Bodges and older bench findings are not new-board verification.</x:v>
      </x:c>
    </x:row>
    <x:row r="8" ht="125" customHeight="1">
      <x:c r="A8" s="18" t="str">
        <x:v>GPS contract</x:v>
      </x:c>
      <x:c r="B8" s="18" t="str">
        <x:v>GPS TX0 → ESP GPIO18 RX; ESP GPIO17 TX → GPS RX0; PPS → actual GPIO16; external antenna and backup supply require review.</x:v>
      </x:c>
      <x:c r="C8" s="18" t="str">
        <x:v>Independently inspect physical orientation, UART crossing, PPS timing and RF/DC antenna path.</x:v>
      </x:c>
      <x:c r="D8" s="18" t="str">
        <x:v>R1 — RL-005</x:v>
      </x:c>
      <x:c r="E8" s="18" t="str">
        <x:v>Later source brief reports observed PPS; earlier action plan listed PPS untested. Time-stamp and reconcile evidence.</x:v>
      </x:c>
    </x:row>
    <x:row r="9" ht="125" customHeight="1">
      <x:c r="A9" s="18" t="str">
        <x:v>CAN contract</x:v>
      </x:c>
      <x:c r="B9" s="18" t="str">
        <x:v>ESP GPIO5 → TXD; RXD → GPIO4. Vehicle tap termination open/DNP. Rev A CAN library errors are documented.</x:v>
      </x:c>
      <x:c r="C9" s="18" t="str">
        <x:v>Verify exact chosen transceiver; separate listen-only non-interference from normal-mode bench ACK testing.</x:v>
      </x:c>
      <x:c r="D9" s="18" t="str">
        <x:v>R1 — RL-006; S3; S5</x:v>
      </x:c>
      <x:c r="E9" s="18" t="str">
        <x:v>A replacement transceiver may have different mode semantics and limits.</x:v>
      </x:c>
    </x:row>
    <x:row r="10" ht="125" customHeight="1">
      <x:c r="A10" s="18" t="str">
        <x:v>Oil contract</x:v>
      </x:c>
      <x:c r="B10" s="18" t="str">
        <x:v>OIL_SIG through protection/divider/filter → ADC node → actual GPIO1; nominal sensor intent approximately 0.5–4.5 V on 5 V excitation, 0–150 psi.</x:v>
      </x:c>
      <x:c r="C10" s="18" t="str">
        <x:v>Confirm exact sensor part and recalculate complete transfer, limits, faults, accuracy and timing.</x:v>
      </x:c>
      <x:c r="D10" s="18" t="str">
        <x:v>R1 — RL-007; R2 — Oil pressure analog input</x:v>
      </x:c>
      <x:c r="E10" s="18" t="str">
        <x:v>Original resistor values and firmware calibration must not be copied without reconciliation.</x:v>
      </x:c>
    </x:row>
    <x:row r="11" ht="125" customHeight="1">
      <x:c r="A11" s="18" t="str">
        <x:v>Harness contract</x:v>
      </x:c>
      <x:c r="B11" s="18" t="str">
        <x:v>F1-5 CANL; F1-6 CANH; F1-7 oil signal; F1-8 sensor 5 V; F1-9 sensor ground.</x:v>
      </x:c>
      <x:c r="C11" s="18" t="str">
        <x:v>Lock exact connector and all mating/wire-entry views; formally approve any pin change.</x:v>
      </x:c>
      <x:c r="D11" s="18" t="str">
        <x:v>R1 — RL-008</x:v>
      </x:c>
      <x:c r="E11" s="18" t="str">
        <x:v>This is the controlled redline contract, not a continuity measurement of the current board.</x:v>
      </x:c>
    </x:row>
    <x:row r="12" ht="125" customHeight="1">
      <x:c r="A12" s="18" t="str">
        <x:v>Release evidence</x:v>
      </x:c>
      <x:c r="B12" s="18" t="str">
        <x:v>Independent pin/polarity review plus parity of schematic, PCB, BOM, placement, Gerbers, drills and assembly drawings are required.</x:v>
      </x:c>
      <x:c r="C12" s="18" t="str">
        <x:v>Separate fabrication approval from power-on and vehicle-use approval.</x:v>
      </x:c>
      <x:c r="D12" s="18" t="str">
        <x:v>R1 — RL-009 through RL-011</x:v>
      </x:c>
      <x:c r="E12" s="18" t="str">
        <x:v>Historical supplied workbook lacked current candidate inspection. RVB-17 and RVB-18 now provide source evidence; no physical Rev B acceptance evidence is supplied.</x:v>
      </x:c>
    </x:row>
    <x:row r="14">
      <x:c r="A14" s="96" t="str">
        <x:v>CURRENT ADDENDUM — RVB-19, 2026-09-08</x:v>
      </x:c>
      <x:c r="B14" s="96" t="str">
        <x:v>CURRENT REVIEW ADDENDUM — 2026-09-07</x:v>
      </x:c>
      <x:c r="C14" s="96" t="str">
        <x:v>CURRENT REVIEW ADDENDUM — 2026-09-07</x:v>
      </x:c>
      <x:c r="D14" s="96" t="str">
        <x:v>CURRENT REVIEW ADDENDUM — 2026-09-07</x:v>
      </x:c>
      <x:c r="E14" s="96" t="str">
        <x:v>CURRENT REVIEW ADDENDUM — 2026-09-07</x:v>
      </x:c>
    </x:row>
    <x:row r="15" ht="65" customHeight="1">
      <x:c r="A15" s="71" t="str">
        <x:v>Predecessor baseline remains historical. Actual CAD and firmware corrections, simulations and current native gates are now complete. No physical RevB acceptance evidence has been generated. See Online Resolution and Final Review.</x:v>
      </x:c>
      <x:c r="B15" s="71" t="str">
        <x:v>Rows above preserve the supplied historical baseline. Current Rev B CAD was inspected; firmware defects were corrected and compiled. Use the Review Register and source-bound evidence, not historical bench success, to establish this candidate status.</x:v>
      </x:c>
      <x:c r="C15" s="71" t="str">
        <x:v>Rows above preserve the supplied historical baseline. Current Rev B CAD was inspected; firmware defects were corrected and compiled. Use the Review Register and source-bound evidence, not historical bench success, to establish this candidate status.</x:v>
      </x:c>
      <x:c r="D15" s="71" t="str">
        <x:v>Rows above preserve the supplied historical baseline. Current Rev B CAD was inspected; firmware defects were corrected and compiled. Use the Review Register and source-bound evidence, not historical bench success, to establish this candidate status.</x:v>
      </x:c>
      <x:c r="E15" s="71" t="str">
        <x:v>Rows above preserve the supplied historical baseline. Current Rev B CAD was inspected; firmware defects were corrected and compiled. Use the Review Register and source-bound evidence, not historical bench success, to establish this candidate status.</x:v>
      </x:c>
    </x:row>
    <x:row r="17" ht="55" customHeight="1">
      <x:c r="A17" s="101" t="str">
        <x:v>Current firmware 2.1.1 uses calibration v4 tied to module eFuse identity. v3 records are rejected and units require commissioning. No Rev B hardware or vehicle result is claimed.</x:v>
      </x:c>
      <x:c r="B17" s="101" t="str">
        <x:v>Current firmware 2.1.1 uses calibration v4 tied to module eFuse identity. v3 records are rejected and units require commissioning. No Rev B hardware or vehicle result is claimed.</x:v>
      </x:c>
      <x:c r="C17" s="101" t="str">
        <x:v>Current firmware 2.1.1 uses calibration v4 tied to module eFuse identity. v3 records are rejected and units require commissioning. No Rev B hardware or vehicle result is claimed.</x:v>
      </x:c>
      <x:c r="D17" s="101" t="str">
        <x:v>Current firmware 2.1.1 uses calibration v4 tied to module eFuse identity. v3 records are rejected and units require commissioning. No Rev B hardware or vehicle result is claimed.</x:v>
      </x:c>
      <x:c r="E17" s="101" t="str">
        <x:v>Current firmware 2.1.1 uses calibration v4 tied to module eFuse identity. v3 records are rejected and units require commissioning. No Rev B hardware or vehicle result is claimed.</x:v>
      </x:c>
    </x:row>
    <x:row r="19" ht="30" customHeight="1">
      <x:c r="A19" s="164" t="str">
        <x:v>RVB-21 REVIEW BASELINE AND SOURCE EFFECTIVITY</x:v>
      </x:c>
      <x:c r="B19" s="164"/>
      <x:c r="C19" s="164"/>
      <x:c r="D19" s="164"/>
      <x:c r="E19" s="164"/>
    </x:row>
    <x:row r="20">
      <x:c r="A20" t="str">
        <x:v>Prior closed criteria</x:v>
      </x:c>
      <x:c r="B20" s="165" t="n">
        <x:v>107</x:v>
      </x:c>
    </x:row>
    <x:row r="21">
      <x:c r="A21" t="str">
        <x:v>Prior open criteria</x:v>
      </x:c>
      <x:c r="B21" s="165" t="n">
        <x:v>179</x:v>
      </x:c>
    </x:row>
    <x:row r="22">
      <x:c r="A22" t="str">
        <x:v>Prior N/A criteria</x:v>
      </x:c>
      <x:c r="B22" s="165" t="n">
        <x:v>4</x:v>
      </x:c>
    </x:row>
    <x:row r="24" ht="65" customHeight="1">
      <x:c r="A24" s="167" t="str">
        <x:v>Canonical PCB and compiled firmware remain RVB-19. RVB-21 candidate sources and verification status are listed in RVB21 Changes. A changed review count does not authorize manufacture or programming of staged sources.</x:v>
      </x:c>
      <x:c r="B24" s="167"/>
      <x:c r="C24" s="167"/>
      <x:c r="D24" s="167"/>
      <x:c r="E24" s="167"/>
    </x:row>
  </x:sheetData>
  <x:mergeCells>
    <x:mergeCell ref="A1:E1"/>
    <x:mergeCell ref="A14:E14"/>
    <x:mergeCell ref="A15:E15"/>
    <x:mergeCell ref="A17:E17"/>
    <x:mergeCell ref="A19:E19"/>
    <x:mergeCell ref="A24:E24"/>
  </x:mergeCells>
  <x:pageMargins left="0.7" right="0.7" top="0.75" bottom="0.75" header="0.3" footer="0.3"/>
  <x:tableParts count="1">
    <x:tablePart xmlns:r="http://schemas.openxmlformats.org/officeDocument/2006/relationships" r:id="R4ba4bf4fa8234ef3"/>
  </x:tableParts>
</x:worksheet>
</file>

<file path=xl/worksheets/sheet4.xml><?xml version="1.0" encoding="utf-8"?>
<x:worksheet xmlns:x="http://schemas.openxmlformats.org/spreadsheetml/2006/main">
  <x:sheetFormatPr defaultRowHeight="15"/>
  <x:cols>
    <x:col min="1" max="1" width="20" hidden="0" customWidth="1"/>
    <x:col min="2" max="2" width="40" hidden="0" customWidth="1"/>
    <x:col min="3" max="3" width="12" hidden="0" customWidth="1"/>
    <x:col min="4" max="4" width="18" hidden="0" customWidth="1"/>
    <x:col min="5" max="5" width="26" hidden="0" customWidth="1"/>
    <x:col min="6" max="6" width="23" hidden="0" customWidth="1"/>
    <x:col min="7" max="7" width="16" hidden="0" customWidth="1"/>
    <x:col min="8" max="8" width="53" hidden="0" customWidth="1"/>
    <x:col min="9" max="9" width="68" hidden="0" customWidth="1"/>
  </x:cols>
  <x:sheetData>
    <x:row r="1" ht="32" customHeight="1">
      <x:c r="A1" s="5" t="str">
        <x:v>RELEASE GATES | RVB-21 candidate changes pending verification</x:v>
      </x:c>
      <x:c r="B1" s="5" t="str">
        <x:v>RELEASE GATES | RVB-21 candidate changes pending verification</x:v>
      </x:c>
      <x:c r="C1" s="5" t="str">
        <x:v>RELEASE GATES | RVB-21 candidate changes pending verification</x:v>
      </x:c>
      <x:c r="D1" s="5" t="str">
        <x:v>RELEASE GATES | RVB-21 candidate changes pending verification</x:v>
      </x:c>
      <x:c r="E1" s="5" t="str">
        <x:v>RELEASE GATES | RVB-21 candidate changes pending verification</x:v>
      </x:c>
      <x:c r="F1" s="5" t="str">
        <x:v>RELEASE GATES | RVB-21 candidate changes pending verification</x:v>
      </x:c>
      <x:c r="G1" s="5" t="str">
        <x:v>RELEASE GATES | RVB-21 candidate changes pending verification</x:v>
      </x:c>
      <x:c r="H1" s="5" t="str">
        <x:v>RELEASE GATES | RVB-21 candidate changes pending verification</x:v>
      </x:c>
      <x:c r="I1" s="5" t="str">
        <x:v>RELEASE GATES | RVB-21 candidate changes pending verification</x:v>
      </x:c>
    </x:row>
    <x:row r="2" ht="32" customHeight="1">
      <x:c r="A2" s="11" t="str">
        <x:v>Current native/embedded evidence applies to unchanged RVB-19 source only. RVB-21 source candidates require fresh affected gates before promotion.</x:v>
      </x:c>
      <x:c r="B2" s="11" t="str">
        <x:v>Current native/embedded evidence applies to unchanged RVB-19 source only. RVB-21 source candidates require fresh affected gates before promotion.</x:v>
      </x:c>
      <x:c r="C2" s="11" t="str">
        <x:v>Current native/embedded evidence applies to unchanged RVB-19 source only. RVB-21 source candidates require fresh affected gates before promotion.</x:v>
      </x:c>
      <x:c r="D2" s="11" t="str">
        <x:v>Current native/embedded evidence applies to unchanged RVB-19 source only. RVB-21 source candidates require fresh affected gates before promotion.</x:v>
      </x:c>
      <x:c r="E2" s="11" t="str">
        <x:v>Current native/embedded evidence applies to unchanged RVB-19 source only. RVB-21 source candidates require fresh affected gates before promotion.</x:v>
      </x:c>
      <x:c r="F2" s="11" t="str">
        <x:v>Current native/embedded evidence applies to unchanged RVB-19 source only. RVB-21 source candidates require fresh affected gates before promotion.</x:v>
      </x:c>
      <x:c r="G2" s="11" t="str">
        <x:v>Current native/embedded evidence applies to unchanged RVB-19 source only. RVB-21 source candidates require fresh affected gates before promotion.</x:v>
      </x:c>
      <x:c r="H2" s="11" t="str">
        <x:v>Current native/embedded evidence applies to unchanged RVB-19 source only. RVB-21 source candidates require fresh affected gates before promotion.</x:v>
      </x:c>
      <x:c r="I2" s="11" t="str">
        <x:v>Current native/embedded evidence applies to unchanged RVB-19 source only. RVB-21 source candidates require fresh affected gates before promotion.</x:v>
      </x:c>
    </x:row>
    <x:row r="4" ht="32" customHeight="1">
      <x:c r="A4" s="5" t="str">
        <x:v>Gate</x:v>
      </x:c>
      <x:c r="B4" s="5" t="str">
        <x:v>Minimum decision basis</x:v>
      </x:c>
      <x:c r="C4" s="5" t="str">
        <x:v>Questions</x:v>
      </x:c>
      <x:c r="D4" s="5" t="str">
        <x:v>Not closed / N/A</x:v>
      </x:c>
      <x:c r="E4" s="5" t="str">
        <x:v>Decision</x:v>
      </x:c>
      <x:c r="F4" s="5" t="str">
        <x:v>Authority / owner</x:v>
      </x:c>
      <x:c r="G4" s="5" t="str">
        <x:v>Date</x:v>
      </x:c>
      <x:c r="H4" s="5" t="str">
        <x:v>Evidence / waiver references</x:v>
      </x:c>
      <x:c r="I4" s="5" t="str">
        <x:v>Restrictions / residual risk</x:v>
      </x:c>
    </x:row>
    <x:row r="5" ht="165" customHeight="1">
      <x:c r="A5" s="18" t="str">
        <x:v>G0 Definition</x:v>
      </x:c>
      <x:c r="B5" s="18" t="str">
        <x:v>Freeze intended use, exact interfaces, safety boundaries, operating/survival limits, review baseline and verification responsibilities.</x:v>
      </x:c>
      <x:c r="C5" s="18" t="n">
        <x:f>COUNTIF('Review Register'!$D$5:$D$294,A5)</x:f>
        <x:v>20</x:v>
      </x:c>
      <x:c r="D5" s="18" t="n">
        <x:f>C5-COUNTIFS('Review Register'!$D$5:$D$294,A5,'Review Register'!$N$5:$N$294,"CLOSED")-COUNTIFS('Review Register'!$D$5:$D$294,A5,'Review Register'!$N$5:$N$294,"N/A")</x:f>
        <x:v>5</x:v>
      </x:c>
      <x:c r="E5" s="22" t="str">
        <x:v>OPEN</x:v>
      </x:c>
      <x:c r="F5" s="22" t="str">
        <x:v>Codex engineering disposition; physical/supplier execution unassigned</x:v>
      </x:c>
      <x:c r="G5" s="92" t="n">
        <x:v>46274</x:v>
      </x:c>
      <x:c r="H5" s="22" t="str">
        <x:v>audit/online_resolution_rvb21/FINAL_REVIEW_ITEMS.json</x:v>
      </x:c>
      <x:c r="I5" s="22" t="str">
        <x:v>HOLD. Original gate evidence preserved; see Final Review and RVB21 Changes for current source effectivity and residual acceptance.</x:v>
      </x:c>
    </x:row>
    <x:row r="6" ht="165" customHeight="1">
      <x:c r="A6" s="18" t="str">
        <x:v>G1 Schematic</x:v>
      </x:c>
      <x:c r="B6" s="18" t="str">
        <x:v>Close critical pin/connectivity, electrical protection, mode/default and interface issues. Complete calculations and reviewable verification plans.</x:v>
      </x:c>
      <x:c r="C6" s="18" t="n">
        <x:f>COUNTIF('Review Register'!$D$5:$D$294,A6)</x:f>
        <x:v>124</x:v>
      </x:c>
      <x:c r="D6" s="18" t="n">
        <x:f>C6-COUNTIFS('Review Register'!$D$5:$D$294,A6,'Review Register'!$N$5:$N$294,"CLOSED")-COUNTIFS('Review Register'!$D$5:$D$294,A6,'Review Register'!$N$5:$N$294,"N/A")</x:f>
        <x:v>77</x:v>
      </x:c>
      <x:c r="E6" s="22" t="str">
        <x:v>HOLD</x:v>
      </x:c>
      <x:c r="F6" s="22" t="str">
        <x:v>Codex engineering disposition; physical/supplier execution unassigned</x:v>
      </x:c>
      <x:c r="G6" s="92" t="n">
        <x:v>46274</x:v>
      </x:c>
      <x:c r="H6" s="22" t="str">
        <x:v>audit/online_resolution_rvb21/FINAL_REVIEW_ITEMS.json</x:v>
      </x:c>
      <x:c r="I6" s="22" t="str">
        <x:v>HOLD. Original gate evidence preserved; see Final Review and RVB21 Changes for current source effectivity and residual acceptance.</x:v>
      </x:c>
    </x:row>
    <x:row r="7" ht="165" customHeight="1">
      <x:c r="A7" s="18" t="str">
        <x:v>G2 Layout</x:v>
      </x:c>
      <x:c r="B7" s="18" t="str">
        <x:v>Review actual stackup, returns, power loops, analog/RF routing, antenna keepouts, mechanics and supplier rules on the current routed candidate.</x:v>
      </x:c>
      <x:c r="C7" s="18" t="n">
        <x:f>COUNTIF('Review Register'!$D$5:$D$294,A7)</x:f>
        <x:v>62</x:v>
      </x:c>
      <x:c r="D7" s="18" t="n">
        <x:f>C7-COUNTIFS('Review Register'!$D$5:$D$294,A7,'Review Register'!$N$5:$N$294,"CLOSED")-COUNTIFS('Review Register'!$D$5:$D$294,A7,'Review Register'!$N$5:$N$294,"N/A")</x:f>
        <x:v>22</x:v>
      </x:c>
      <x:c r="E7" s="22" t="str">
        <x:v>HOLD</x:v>
      </x:c>
      <x:c r="F7" s="22" t="str">
        <x:v>Codex engineering disposition; physical/supplier execution unassigned</x:v>
      </x:c>
      <x:c r="G7" s="92" t="n">
        <x:v>46274</x:v>
      </x:c>
      <x:c r="H7" s="22" t="str">
        <x:v>audit/online_resolution_rvb21/FINAL_REVIEW_ITEMS.json</x:v>
      </x:c>
      <x:c r="I7" s="22" t="str">
        <x:v>HOLD. Original gate evidence preserved; see Final Review and RVB21 Changes for current source effectivity and residual acceptance.</x:v>
      </x:c>
    </x:row>
    <x:row r="8" ht="165" customHeight="1">
      <x:c r="A8" s="18" t="str">
        <x:v>G3 Fabrication</x:v>
      </x:c>
      <x:c r="B8" s="18" t="str">
        <x:v>Approve controlled outputs and assembly variants, independent pin/polarity review, traceable exceptions, test access and allowed initial bring-up configuration.</x:v>
      </x:c>
      <x:c r="C8" s="18" t="n">
        <x:f>COUNTIF('Review Register'!$D$5:$D$294,A8)</x:f>
        <x:v>42</x:v>
      </x:c>
      <x:c r="D8" s="18" t="n">
        <x:f>C8-COUNTIFS('Review Register'!$D$5:$D$294,A8,'Review Register'!$N$5:$N$294,"CLOSED")-COUNTIFS('Review Register'!$D$5:$D$294,A8,'Review Register'!$N$5:$N$294,"N/A")</x:f>
        <x:v>23</x:v>
      </x:c>
      <x:c r="E8" s="22" t="str">
        <x:v>HOLD</x:v>
      </x:c>
      <x:c r="F8" s="22" t="str">
        <x:v>Codex engineering disposition; physical/supplier execution unassigned</x:v>
      </x:c>
      <x:c r="G8" s="92" t="n">
        <x:v>46274</x:v>
      </x:c>
      <x:c r="H8" s="22" t="str">
        <x:v>audit/online_resolution_rvb21/FINAL_REVIEW_ITEMS.json</x:v>
      </x:c>
      <x:c r="I8" s="22" t="str">
        <x:v>HOLD. Original gate evidence preserved; see Final Review and RVB21 Changes for current source effectivity and residual acceptance.</x:v>
      </x:c>
    </x:row>
    <x:row r="9" ht="165" customHeight="1">
      <x:c r="A9" s="18" t="str">
        <x:v>G4 Bench</x:v>
      </x:c>
      <x:c r="B9" s="18" t="str">
        <x:v>Complete staged, current-limited bring-up and required corner, fault, integrated and environmental evidence on the exact assembly.</x:v>
      </x:c>
      <x:c r="C9" s="18" t="n">
        <x:f>COUNTIF('Review Register'!$D$5:$D$294,A9)</x:f>
        <x:v>32</x:v>
      </x:c>
      <x:c r="D9" s="18" t="n">
        <x:f>C9-COUNTIFS('Review Register'!$D$5:$D$294,A9,'Review Register'!$N$5:$N$294,"CLOSED")-COUNTIFS('Review Register'!$D$5:$D$294,A9,'Review Register'!$N$5:$N$294,"N/A")</x:f>
        <x:v>23</x:v>
      </x:c>
      <x:c r="E9" s="22" t="str">
        <x:v>HOLD</x:v>
      </x:c>
      <x:c r="F9" s="22" t="str">
        <x:v>Codex engineering disposition; physical/supplier execution unassigned</x:v>
      </x:c>
      <x:c r="G9" s="92" t="n">
        <x:v>46274</x:v>
      </x:c>
      <x:c r="H9" s="22" t="str">
        <x:v>audit/online_resolution_rvb21/FINAL_REVIEW_ITEMS.json</x:v>
      </x:c>
      <x:c r="I9" s="22" t="str">
        <x:v>HOLD. Original gate evidence preserved; see Final Review and RVB21 Changes for current source effectivity and residual acceptance.</x:v>
      </x:c>
    </x:row>
    <x:row r="10" ht="165" customHeight="1">
      <x:c r="A10" s="18" t="str">
        <x:v>G5 Vehicle</x:v>
      </x:c>
      <x:c r="B10" s="18" t="str">
        <x:v>Require agreed automotive power/environmental evidence and CAN non-interference, approved installation and monitored initial vehicle procedure.</x:v>
      </x:c>
      <x:c r="C10" s="18" t="n">
        <x:f>COUNTIF('Review Register'!$D$5:$D$294,A10)</x:f>
        <x:v>10</x:v>
      </x:c>
      <x:c r="D10" s="18" t="n">
        <x:f>C10-COUNTIFS('Review Register'!$D$5:$D$294,A10,'Review Register'!$N$5:$N$294,"CLOSED")-COUNTIFS('Review Register'!$D$5:$D$294,A10,'Review Register'!$N$5:$N$294,"N/A")</x:f>
        <x:v>2</x:v>
      </x:c>
      <x:c r="E10" s="22" t="str">
        <x:v>HOLD</x:v>
      </x:c>
      <x:c r="F10" s="22" t="str">
        <x:v>Codex engineering disposition; physical/supplier execution unassigned</x:v>
      </x:c>
      <x:c r="G10" s="92" t="n">
        <x:v>46274</x:v>
      </x:c>
      <x:c r="H10" s="22" t="str">
        <x:v>audit/online_resolution_rvb21/FINAL_REVIEW_ITEMS.json</x:v>
      </x:c>
      <x:c r="I10" s="22" t="str">
        <x:v>HOLD. Original gate evidence preserved; see Final Review and RVB21 Changes for current source effectivity and residual acceptance.</x:v>
      </x:c>
    </x:row>
  </x:sheetData>
  <x:mergeCells>
    <x:mergeCell ref="A1:I1"/>
    <x:mergeCell ref="A2:I2"/>
  </x:mergeCells>
  <x:conditionalFormatting sqref="E5:E10">
    <x:cfRule type="cellIs" dxfId="14" priority="1" operator="equal">
      <x:formula>"HOLD"</x:formula>
    </x:cfRule>
  </x:conditionalFormatting>
  <x:dataValidations count="1">
    <x:dataValidation type="list" sqref="E5:E10">
      <x:formula1>"VERIFIED,OPEN,HOLD,RELEASE BLOCKER"</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0" hidden="0" customWidth="1"/>
    <x:col min="4" max="4" width="40" hidden="0" customWidth="1"/>
    <x:col min="5" max="5" width="40" hidden="0" customWidth="1"/>
    <x:col min="6" max="6" width="22" hidden="0" customWidth="1"/>
  </x:cols>
  <x:sheetData>
    <x:row r="1" ht="32" customHeight="1">
      <x:c r="A1" s="5" t="str">
        <x:v>SOURCES | Verify applicable revision before release</x:v>
      </x:c>
      <x:c r="B1" s="5"/>
      <x:c r="C1" s="5"/>
      <x:c r="D1" s="5"/>
      <x:c r="E1" s="5"/>
      <x:c r="F1" s="5"/>
    </x:row>
    <x:row r="3" ht="32" customHeight="1">
      <x:c r="A3" s="5" t="str">
        <x:v>Source ID</x:v>
      </x:c>
      <x:c r="B3" s="5" t="str">
        <x:v>Type</x:v>
      </x:c>
      <x:c r="C3" s="5" t="str">
        <x:v>Document / title</x:v>
      </x:c>
      <x:c r="D3" s="5" t="str">
        <x:v>Plain-text source URL</x:v>
      </x:c>
      <x:c r="E3" s="5" t="str">
        <x:v>Use and limitation</x:v>
      </x:c>
      <x:c r="F3" s="5" t="str">
        <x:v>Review context date</x:v>
      </x:c>
    </x:row>
    <x:row r="4" ht="90" customHeight="1">
      <x:c r="A4" s="18" t="str">
        <x:v>R1</x:v>
      </x:c>
      <x:c r="B4" s="18" t="str">
        <x:v>Controlled project record</x:v>
      </x:c>
      <x:c r="C4" s="18" t="str">
        <x:v>CCA_RevB_Controlled_Redline_Register.md</x:v>
      </x:c>
      <x:c r="D4" s="18" t="str"/>
      <x:c r="E4" s="18" t="str">
        <x:v>RL-001 through RL-011; historical design requirements and known Rev A issues, not a current Rev B inspection.</x:v>
      </x:c>
      <x:c r="F4" s="18" t="str">
        <x:v>Historical project record / proposed criteria</x:v>
      </x:c>
    </x:row>
    <x:row r="5" ht="90" customHeight="1">
      <x:c r="A5" s="18" t="str">
        <x:v>R2</x:v>
      </x:c>
      <x:c r="B5" s="18" t="str">
        <x:v>Controlled project record</x:v>
      </x:c>
      <x:c r="C5" s="18" t="str">
        <x:v>Pasted text(20260905-210409).txt — Rev B design brief</x:v>
      </x:c>
      <x:c r="D5" s="18" t="str"/>
      <x:c r="E5" s="18" t="str">
        <x:v>Function, GPIO, 500 kbit/s Classical CAN, GPS 115200/10 Hz, oil sensor, and release expectations.</x:v>
      </x:c>
      <x:c r="F5" s="18" t="str">
        <x:v>Historical project record / proposed criteria</x:v>
      </x:c>
    </x:row>
    <x:row r="6" ht="90" customHeight="1">
      <x:c r="A6" s="18" t="str">
        <x:v>R3</x:v>
      </x:c>
      <x:c r="B6" s="18" t="str">
        <x:v>Historical bench plan</x:v>
      </x:c>
      <x:c r="C6" s="18" t="str">
        <x:v>GR86_CCA_RevA_Action_Plan(1).pdf</x:v>
      </x:c>
      <x:c r="D6" s="18" t="str"/>
      <x:c r="E6" s="18" t="str">
        <x:v>Version 1.0, 2026-08-18. Rev A bench-only constraints; later evidence can supersede individual observations.</x:v>
      </x:c>
      <x:c r="F6" s="18" t="str">
        <x:v>Historical project record / proposed criteria</x:v>
      </x:c>
    </x:row>
    <x:row r="7" ht="90" customHeight="1">
      <x:c r="A7" s="18" t="str">
        <x:v>S1</x:v>
      </x:c>
      <x:c r="B7" s="18" t="str">
        <x:v>Manufacturer</x:v>
      </x:c>
      <x:c r="C7" s="18" t="str">
        <x:v>Espressif ESP32-S3 hardware schematic checklist</x:v>
      </x:c>
      <x:c r="D7" s="18" t="str">
        <x:v>https://docs.espressif.com/projects/esp-hardware-design-guidelines/en/latest/esp32s3/schematic-checklist.html</x:v>
      </x:c>
      <x:c r="E7" s="18" t="str">
        <x:v>Use exact module and chip variant documentation; not all bare-chip circuitry belongs on a module carrier.</x:v>
      </x:c>
      <x:c r="F7" s="18" t="str">
        <x:v>2026-09-07</x:v>
      </x:c>
    </x:row>
    <x:row r="8" ht="90" customHeight="1">
      <x:c r="A8" s="18" t="str">
        <x:v>S2</x:v>
      </x:c>
      <x:c r="B8" s="18" t="str">
        <x:v>Manufacturer</x:v>
      </x:c>
      <x:c r="C8" s="18" t="str">
        <x:v>Espressif ESP32-S3 PCB layout guidance</x:v>
      </x:c>
      <x:c r="D8" s="18" t="str">
        <x:v>https://docs.espressif.com/projects/esp-hardware-design-guidelines/en/latest/esp32s3/pcb-layout-design.html</x:v>
      </x:c>
      <x:c r="E8" s="18" t="str">
        <x:v>Module antenna placement, RF reference geometry, routing and layout. Freeze applicable revision.</x:v>
      </x:c>
      <x:c r="F8" s="18" t="str">
        <x:v>2026-09-07</x:v>
      </x:c>
    </x:row>
    <x:row r="9" ht="90" customHeight="1">
      <x:c r="A9" s="18" t="str">
        <x:v>S3</x:v>
      </x:c>
      <x:c r="B9" s="18" t="str">
        <x:v>Manufacturer</x:v>
      </x:c>
      <x:c r="C9" s="18" t="str">
        <x:v>Espressif ESP32-S3 TWAI driver documentation</x:v>
      </x:c>
      <x:c r="D9" s="18" t="str">
        <x:v>https://docs.espressif.com/projects/esp-idf/en/stable/esp32s3/api-reference/peripherals/twai.html</x:v>
      </x:c>
      <x:c r="E9" s="18" t="str">
        <x:v>Normal versus listen-only behavior. Match actual pinned firmware API; stable page is not a mandate to update software.</x:v>
      </x:c>
      <x:c r="F9" s="18" t="str">
        <x:v>2026-09-07</x:v>
      </x:c>
    </x:row>
    <x:row r="10" ht="90" customHeight="1">
      <x:c r="A10" s="18" t="str">
        <x:v>S4</x:v>
      </x:c>
      <x:c r="B10" s="18" t="str">
        <x:v>Manufacturer</x:v>
      </x:c>
      <x:c r="C10" s="18" t="str">
        <x:v>Espressif ESP32-S3 ADC calibration</x:v>
      </x:c>
      <x:c r="D10" s="18" t="str">
        <x:v>https://docs.espressif.com/projects/esp-idf/en/stable/esp32s3/api-reference/peripherals/adc/adc_calibration.html</x:v>
      </x:c>
      <x:c r="E10" s="18" t="str">
        <x:v>Calibration is device- and attenuation-dependent; establish whole-channel accuracy independently.</x:v>
      </x:c>
      <x:c r="F10" s="18" t="str">
        <x:v>2026-09-07</x:v>
      </x:c>
    </x:row>
    <x:row r="11" ht="90" customHeight="1">
      <x:c r="A11" s="18" t="str">
        <x:v>S5</x:v>
      </x:c>
      <x:c r="B11" s="18" t="str">
        <x:v>Manufacturer</x:v>
      </x:c>
      <x:c r="C11" s="18" t="str">
        <x:v>TI SN65HVD230 / SN65HVD231 / SN65HVD232 datasheet</x:v>
      </x:c>
      <x:c r="D11" s="18" t="str">
        <x:v>https://www.ti.com/lit/ds/symlink/sn65hvd230.pdf</x:v>
      </x:c>
      <x:c r="E11" s="18" t="str">
        <x:v>Rev A part reference. Do not assume a different Rev B transceiver has identical pins, modes, limits or receiver behavior.</x:v>
      </x:c>
      <x:c r="F11" s="18" t="str">
        <x:v>2026-09-07</x:v>
      </x:c>
    </x:row>
    <x:row r="12" ht="90" customHeight="1">
      <x:c r="A12" s="18" t="str">
        <x:v>S6</x:v>
      </x:c>
      <x:c r="B12" s="18" t="str">
        <x:v>Manufacturer application note</x:v>
      </x:c>
      <x:c r="C12" s="18" t="str">
        <x:v>TI Controller Area Network Physical Layer Requirements</x:v>
      </x:c>
      <x:c r="D12" s="18" t="str">
        <x:v>https://www.ti.com/lit/an/slla270/slla270.pdf</x:v>
      </x:c>
      <x:c r="E12" s="18" t="str">
        <x:v>Physical network topology and loading. Actual GR86 harness/interface requirements govern the design.</x:v>
      </x:c>
      <x:c r="F12" s="18" t="str">
        <x:v>2026-09-07</x:v>
      </x:c>
    </x:row>
    <x:row r="13" ht="90" customHeight="1">
      <x:c r="A13" s="18" t="str">
        <x:v>S7</x:v>
      </x:c>
      <x:c r="B13" s="18" t="str">
        <x:v>Manufacturer application note</x:v>
      </x:c>
      <x:c r="C13" s="18" t="str">
        <x:v>TI Protection against Unsuppressed Load Dump using LM74930-Q1</x:v>
      </x:c>
      <x:c r="D13" s="18" t="str">
        <x:v>https://www.ti.com/lit/pdf/snoaaa1</x:v>
      </x:c>
      <x:c r="E13" s="18" t="str">
        <x:v>Protection coordination example; example component choice and pulse levels are not automatically GR86 requirements.</x:v>
      </x:c>
      <x:c r="F13" s="18" t="str">
        <x:v>2026-09-07</x:v>
      </x:c>
    </x:row>
    <x:row r="14" ht="90" customHeight="1">
      <x:c r="A14" s="18" t="str">
        <x:v>S8</x:v>
      </x:c>
      <x:c r="B14" s="18" t="str">
        <x:v>Manufacturer application note</x:v>
      </x:c>
      <x:c r="C14" s="18" t="str">
        <x:v>TI Five steps to a great PCB layout for a step-down converter</x:v>
      </x:c>
      <x:c r="D14" s="18" t="str">
        <x:v>https://www.ti.com/lit/pdf/slyt614</x:v>
      </x:c>
      <x:c r="E14" s="18" t="str">
        <x:v>Hot loops, feedback routing and power layout; use selected converter reference layout for implementation.</x:v>
      </x:c>
      <x:c r="F14" s="18" t="str">
        <x:v>2026-09-07</x:v>
      </x:c>
    </x:row>
    <x:row r="15" ht="90" customHeight="1">
      <x:c r="A15" s="18" t="str">
        <x:v>S9</x:v>
      </x:c>
      <x:c r="B15" s="18" t="str">
        <x:v>Manufacturer datasheet, distributor hosted</x:v>
      </x:c>
      <x:c r="C15" s="18" t="str">
        <x:v>CDTop PA1616D Datasheet v.05</x:v>
      </x:c>
      <x:c r="D15" s="18" t="str">
        <x:v>https://www.mouser.com/datasheet/2/737/5186_PA1616D_Datasheet-3304326.pdf</x:v>
      </x:c>
      <x:c r="E15" s="18" t="str">
        <x:v>Exact module RF, external antenna bias, UART, PPS and supply requirements; no current assembly compliance implied.</x:v>
      </x:c>
      <x:c r="F15" s="18" t="str">
        <x:v>2026-09-07</x:v>
      </x:c>
    </x:row>
    <x:row r="16" ht="90" customHeight="1">
      <x:c r="A16" s="18" t="str">
        <x:v>S10</x:v>
      </x:c>
      <x:c r="B16" s="18" t="str">
        <x:v>Manufacturer application guidance</x:v>
      </x:c>
      <x:c r="C16" s="18" t="str">
        <x:v>Analog Devices: Successful PCB Grounding with Mixed-Signal Chips</x:v>
      </x:c>
      <x:c r="D16" s="18" t="str">
        <x:v>https://www.analog.com/en/resources/technical-articles/successful-pcb-grounding-with-mixedsignal-chips--follow-the-path-of-least-impedance.html</x:v>
      </x:c>
      <x:c r="E16" s="18" t="str">
        <x:v>Trace return current and placement; do not mechanically split analog and digital grounds.</x:v>
      </x:c>
      <x:c r="F16" s="18" t="str">
        <x:v>2026-09-07</x:v>
      </x:c>
    </x:row>
    <x:row r="17" ht="90" customHeight="1">
      <x:c r="A17" s="18" t="str">
        <x:v>S11</x:v>
      </x:c>
      <x:c r="B17" s="18" t="str">
        <x:v>Manufacturer</x:v>
      </x:c>
      <x:c r="C17" s="18" t="str">
        <x:v>Tag-Connect TC2030-IDC-NL</x:v>
      </x:c>
      <x:c r="D17" s="18" t="str">
        <x:v>https://www.tag-connect.com/product/tc2030-idc-nl</x:v>
      </x:c>
      <x:c r="E17" s="18" t="str">
        <x:v>Match exact cable and footprint, mating view, locating holes and retention access.</x:v>
      </x:c>
      <x:c r="F17" s="18" t="str">
        <x:v>2026-09-07</x:v>
      </x:c>
    </x:row>
    <x:row r="18" ht="90" customHeight="1">
      <x:c r="A18" s="18" t="str">
        <x:v>S12</x:v>
      </x:c>
      <x:c r="B18" s="18" t="str">
        <x:v>Manufacturer</x:v>
      </x:c>
      <x:c r="C18" s="18" t="str">
        <x:v>Hirose U.FL catalog</x:v>
      </x:c>
      <x:c r="D18" s="18" t="str">
        <x:v>https://www.hirose.com/en/product/document?clcode=&amp;documentid=ed_U.FL_CAT&amp;documenttype=Catalog&amp;lang=en&amp;productname=&amp;series=U.FL</x:v>
      </x:c>
      <x:c r="E18" s="18" t="str">
        <x:v>Verify selected U.FL part, land pattern, mating cable and mechanical limits.</x:v>
      </x:c>
      <x:c r="F18" s="18" t="str">
        <x:v>2026-09-07</x:v>
      </x:c>
    </x:row>
    <x:row r="19" ht="90" customHeight="1">
      <x:c r="A19" s="18" t="str">
        <x:v>S13</x:v>
      </x:c>
      <x:c r="B19" s="18" t="str">
        <x:v>Standards publisher</x:v>
      </x:c>
      <x:c r="C19" s="18" t="str">
        <x:v>IPC certifications and standards roles</x:v>
      </x:c>
      <x:c r="D19" s="18" t="str">
        <x:v>https://www.ipc.org/ipc-certifications</x:v>
      </x:c>
      <x:c r="E19" s="18" t="str">
        <x:v>Specify applicable fabrication/workmanship/assembly requirements and editions; no automatic Class 3 assumption.</x:v>
      </x:c>
      <x:c r="F19" s="18" t="str">
        <x:v>2026-09-07</x:v>
      </x:c>
    </x:row>
    <x:row r="20" ht="90" customHeight="1">
      <x:c r="A20" s="18" t="str">
        <x:v>S14</x:v>
      </x:c>
      <x:c r="B20" s="18" t="str">
        <x:v>Standards publisher</x:v>
      </x:c>
      <x:c r="C20" s="18" t="str">
        <x:v>ISO 7637-2 — supply-line conducted transients</x:v>
      </x:c>
      <x:c r="D20" s="18" t="str">
        <x:v>https://www.iso.org/standard/50925.html</x:v>
      </x:c>
      <x:c r="E20" s="18" t="str">
        <x:v>Candidate test framework; applicability, pulse severity, source impedance and functional status must be agreed.</x:v>
      </x:c>
      <x:c r="F20" s="18" t="str">
        <x:v>2026-09-07</x:v>
      </x:c>
    </x:row>
    <x:row r="21" ht="90" customHeight="1">
      <x:c r="A21" s="18" t="str">
        <x:v>S15</x:v>
      </x:c>
      <x:c r="B21" s="18" t="str">
        <x:v>Standards publisher</x:v>
      </x:c>
      <x:c r="C21" s="18" t="str">
        <x:v>CISPR 25:2021 — onboard receiver protection</x:v>
      </x:c>
      <x:c r="D21" s="18" t="str">
        <x:v>https://webstore.iec.ch/en/publication/64645</x:v>
      </x:c>
      <x:c r="E21" s="18" t="str">
        <x:v>Candidate emissions framework, not immunity qualification and not a compliance claim.</x:v>
      </x:c>
      <x:c r="F21" s="18" t="str">
        <x:v>2026-09-07</x:v>
      </x:c>
    </x:row>
    <x:row r="22" ht="90" customHeight="1">
      <x:c r="A22" s="18" t="str">
        <x:v>S16</x:v>
      </x:c>
      <x:c r="B22" s="18" t="str">
        <x:v>Manufacturer application note</x:v>
      </x:c>
      <x:c r="C22" s="18" t="str">
        <x:v>TI ISO 10605 automotive ESD overview</x:v>
      </x:c>
      <x:c r="D22" s="18" t="str">
        <x:v>https://www.ti.com/lit/pdf/slva954</x:v>
      </x:c>
      <x:c r="E22" s="18" t="str">
        <x:v>Test-method context only; use applicable current standard and agreed test plan for acceptance.</x:v>
      </x:c>
      <x:c r="F22" s="18" t="str">
        <x:v>2026-09-07</x:v>
      </x:c>
    </x:row>
    <x:row r="23" ht="90" customHeight="1">
      <x:c r="A23" s="18" t="str">
        <x:v>E</x:v>
      </x:c>
      <x:c r="B23" s="18" t="str">
        <x:v>Proposed engineering review criteria</x:v>
      </x:c>
      <x:c r="C23" s="18" t="str">
        <x:v>Assistant-authored review questions and closure criteria</x:v>
      </x:c>
      <x:c r="D23" s="18" t="str"/>
      <x:c r="E23" s="18" t="str">
        <x:v>Risk-based questions tailored to this project. Not a verbatim standard or a certification checklist.</x:v>
      </x:c>
      <x:c r="F23" s="18" t="str">
        <x:v>Historical project record / proposed criteria</x:v>
      </x:c>
    </x:row>
    <x:row r="26">
      <x:c r="A26" s="96" t="str">
        <x:v>CURRENT BOARD / REVIEW EVIDENCE</x:v>
      </x:c>
      <x:c r="B26" s="96" t="str">
        <x:v>CURRENT BOARD / REVIEW EVIDENCE</x:v>
      </x:c>
      <x:c r="C26" s="96" t="str">
        <x:v>CURRENT BOARD / REVIEW EVIDENCE</x:v>
      </x:c>
      <x:c r="D26" s="96" t="str">
        <x:v>CURRENT BOARD / REVIEW EVIDENCE</x:v>
      </x:c>
      <x:c r="E26" s="96" t="str">
        <x:v>CURRENT BOARD / REVIEW EVIDENCE</x:v>
      </x:c>
      <x:c r="F26" s="96" t="str">
        <x:v>CURRENT BOARD / REVIEW EVIDENCE</x:v>
      </x:c>
    </x:row>
    <x:row r="27" ht="70" customHeight="1">
      <x:c r="A27" s="102" t="str">
        <x:v>ERB-1</x:v>
      </x:c>
      <x:c r="B27" s="102" t="str">
        <x:v>Current review</x:v>
      </x:c>
      <x:c r="C27" s="102" t="str">
        <x:v>RVB-17 project</x:v>
      </x:c>
      <x:c r="D27" s="102" t="str">
        <x:v>audit/erb_20260907/REVIEW_CHARTER.md</x:v>
      </x:c>
      <x:c r="E27" s="102" t="str">
        <x:v>Exact source identity and review boundary</x:v>
      </x:c>
      <x:c r="F27" s="102" t="str">
        <x:v>Local project</x:v>
      </x:c>
    </x:row>
    <x:row r="28" ht="70" customHeight="1">
      <x:c r="A28" s="102" t="str">
        <x:v>ERB-2</x:v>
      </x:c>
      <x:c r="B28" s="102" t="str">
        <x:v>Row evidence</x:v>
      </x:c>
      <x:c r="C28" s="102" t="str">
        <x:v>290 review dispositions</x:v>
      </x:c>
      <x:c r="D28" s="102" t="str">
        <x:v>audit/erb_20260907/REVIEW_DISPOSITIONS.json</x:v>
      </x:c>
      <x:c r="E28" s="102" t="str">
        <x:v>Row paths and locators in Review Register J</x:v>
      </x:c>
      <x:c r="F28" s="102" t="str">
        <x:v>Local project</x:v>
      </x:c>
    </x:row>
    <x:row r="29" ht="70" customHeight="1">
      <x:c r="A29" s="102" t="str">
        <x:v>ERB-3</x:v>
      </x:c>
      <x:c r="B29" s="102" t="str">
        <x:v>Compiled firmware</x:v>
      </x:c>
      <x:c r="C29" s="102" t="str">
        <x:v>2.1.1-revb-erb-20260907</x:v>
      </x:c>
      <x:c r="D29" s="102" t="str">
        <x:v>firmware/productization_candidate/BUILD_MANIFEST.json</x:v>
      </x:c>
      <x:c r="E29" s="102" t="str">
        <x:v>Exact N8R2 build and source/image checksums</x:v>
      </x:c>
      <x:c r="F29" s="102" t="str">
        <x:v>Local project</x:v>
      </x:c>
    </x:row>
    <x:row r="30" ht="70" customHeight="1">
      <x:c r="A30" s="102" t="str">
        <x:v>ERB-4</x:v>
      </x:c>
      <x:c r="B30" s="102" t="str">
        <x:v>Manufacturing pricing</x:v>
      </x:c>
      <x:c r="C30" s="102" t="str">
        <x:v>JLCPCB Standard PCBA</x:v>
      </x:c>
      <x:c r="D30" s="102" t="str">
        <x:v>https://jlcpcb.com/help/article/pcb-assembly-price</x:v>
      </x:c>
      <x:c r="E30" s="102" t="str">
        <x:v>Updated Aug20,2026; accessed Sep7,2026; setup/stencil only</x:v>
      </x:c>
      <x:c r="F30" s="102" t="str">
        <x:v>Assembly Cost sheet</x:v>
      </x:c>
    </x:row>
    <x:row r="32" ht="38" customHeight="1">
      <x:c r="A32" s="137" t="str">
        <x:v>RVB-18 DIRECT BOARD EVIDENCE</x:v>
      </x:c>
      <x:c r="B32" s="137" t="str">
        <x:v>RVB-18 DIRECT BOARD EVIDENCE</x:v>
      </x:c>
      <x:c r="C32" s="137" t="str">
        <x:v>RVB-18 DIRECT BOARD EVIDENCE</x:v>
      </x:c>
      <x:c r="D32" s="137" t="str">
        <x:v>RVB-18 DIRECT BOARD EVIDENCE</x:v>
      </x:c>
      <x:c r="E32" s="137" t="str">
        <x:v>RVB-18 DIRECT BOARD EVIDENCE</x:v>
      </x:c>
      <x:c r="F32" s="137" t="str">
        <x:v>RVB-18 DIRECT BOARD EVIDENCE</x:v>
      </x:c>
    </x:row>
    <x:row r="33" ht="80" customHeight="1">
      <x:c r="A33" s="38" t="str">
        <x:v>BV-1</x:v>
      </x:c>
      <x:c r="B33" s="38" t="str">
        <x:v>Actual board</x:v>
      </x:c>
      <x:c r="C33" s="38" t="str">
        <x:v>290 row register</x:v>
      </x:c>
      <x:c r="D33" s="38" t="str">
        <x:v>audit/board_vetting_20260908/BOARD_VETTING_REGISTER.json</x:v>
      </x:c>
      <x:c r="E33" s="38" t="str">
        <x:v>Expected / observed / delta / prior closure</x:v>
      </x:c>
      <x:c r="F33" s="38" t="str">
        <x:v>Native and source</x:v>
      </x:c>
    </x:row>
    <x:row r="34" ht="80" customHeight="1">
      <x:c r="A34" s="38" t="str">
        <x:v>BV-2</x:v>
      </x:c>
      <x:c r="B34" s="38" t="str">
        <x:v>Annotated geometry</x:v>
      </x:c>
      <x:c r="C34" s="38" t="str">
        <x:v>PCB views</x:v>
      </x:c>
      <x:c r="D34" s="38" t="str">
        <x:v>audit/board_vetting_20260908/BOARD_VETTING_SUMMARY.md</x:v>
      </x:c>
      <x:c r="E34" s="38" t="str">
        <x:v>Routes, planes, loops, analog, connectors and envelope</x:v>
      </x:c>
      <x:c r="F34" s="38" t="str">
        <x:v>Native extracted</x:v>
      </x:c>
    </x:row>
    <x:row r="35" ht="80" customHeight="1">
      <x:c r="A35" s="38" t="str">
        <x:v>BV-3</x:v>
      </x:c>
      <x:c r="B35" s="38" t="str">
        <x:v>Current authority</x:v>
      </x:c>
      <x:c r="C35" s="38" t="str">
        <x:v>Supersession index</x:v>
      </x:c>
      <x:c r="D35" s="38" t="str">
        <x:v>audit/board_vetting_20260908/SOURCE_AUTHORITY_INDEX.md</x:v>
      </x:c>
      <x:c r="E35" s="38" t="str">
        <x:v>Specific conflicting records preserved; current authorities named</x:v>
      </x:c>
      <x:c r="F35" s="38" t="str">
        <x:v>Document review</x:v>
      </x:c>
    </x:row>
    <x:row r="36" ht="80" customHeight="1">
      <x:c r="A36" s="38" t="str">
        <x:v>BV-4</x:v>
      </x:c>
      <x:c r="B36" s="38" t="str">
        <x:v>Prior identity</x:v>
      </x:c>
      <x:c r="C36" s="38" t="str">
        <x:v>RVB-17 payload</x:v>
      </x:c>
      <x:c r="D36" s="38" t="str">
        <x:v>audit/board_vetting_20260908/BASELINE_BINDING.json</x:v>
      </x:c>
      <x:c r="E36" s="38" t="str">
        <x:v>3,766 predecessor files matched before review</x:v>
      </x:c>
      <x:c r="F36" s="38" t="str">
        <x:v>SHA256</x:v>
      </x:c>
    </x:row>
    <x:row r="38" ht="38" customHeight="1">
      <x:c r="A38" s="160" t="str">
        <x:v>RVB-19 CORRECTION / MODEL / RELEASE EVIDENCE</x:v>
      </x:c>
      <x:c r="B38" s="160" t="str">
        <x:v>RVB-19 CORRECTION / MODEL / RELEASE EVIDENCE</x:v>
      </x:c>
      <x:c r="C38" s="160" t="str">
        <x:v>RVB-19 CORRECTION / MODEL / RELEASE EVIDENCE</x:v>
      </x:c>
      <x:c r="D38" s="160" t="str">
        <x:v>RVB-19 CORRECTION / MODEL / RELEASE EVIDENCE</x:v>
      </x:c>
      <x:c r="E38" s="160" t="str">
        <x:v>RVB-19 CORRECTION / MODEL / RELEASE EVIDENCE</x:v>
      </x:c>
      <x:c r="F38" s="160" t="str">
        <x:v>RVB-19 CORRECTION / MODEL / RELEASE EVIDENCE</x:v>
      </x:c>
    </x:row>
    <x:row r="39" ht="100" customHeight="1">
      <x:c r="A39" s="38" t="str">
        <x:v>OC-1</x:v>
      </x:c>
      <x:c r="B39" s="38" t="str">
        <x:v>Current review</x:v>
      </x:c>
      <x:c r="C39" s="38" t="str">
        <x:v>All290 questions</x:v>
      </x:c>
      <x:c r="D39" s="38" t="str">
        <x:v>audit/online_closure_20260908/ONLINE_REVIEW_REGISTER.json</x:v>
      </x:c>
      <x:c r="E39" s="38" t="str">
        <x:v>Original criteria preserved; online methods and limitations</x:v>
      </x:c>
      <x:c r="F39" s="38" t="str">
        <x:v>Source verified / calculated</x:v>
      </x:c>
    </x:row>
    <x:row r="40" ht="100" customHeight="1">
      <x:c r="A40" s="38" t="str">
        <x:v>OC-2</x:v>
      </x:c>
      <x:c r="B40" s="38" t="str">
        <x:v>Final review</x:v>
      </x:c>
      <x:c r="C40" s="38" t="str">
        <x:v>Eight residual groups</x:v>
      </x:c>
      <x:c r="D40" s="38" t="str">
        <x:v>audit/online_closure_20260908/FINAL_REVIEW_ITEMS.md</x:v>
      </x:c>
      <x:c r="E40" s="38" t="str">
        <x:v>RF corners, power, metrology, integration, installation, factory, qualification</x:v>
      </x:c>
      <x:c r="F40" s="38" t="str">
        <x:v>OPEN / HOLD</x:v>
      </x:c>
    </x:row>
    <x:row r="41" ht="100" customHeight="1">
      <x:c r="A41" s="38" t="str">
        <x:v>OC-3</x:v>
      </x:c>
      <x:c r="B41" s="38" t="str">
        <x:v>Source authority</x:v>
      </x:c>
      <x:c r="C41" s="38" t="str">
        <x:v>History reconciliation</x:v>
      </x:c>
      <x:c r="D41" s="38" t="str">
        <x:v>audit/online_closure_20260908/CURRENT_SOURCE_RECONCILIATION.md</x:v>
      </x:c>
      <x:c r="E41" s="38" t="str">
        <x:v>26redlines,52legacy issues,480pin rows; histories retained</x:v>
      </x:c>
      <x:c r="F41" s="38" t="str">
        <x:v>VERIFIED</x:v>
      </x:c>
    </x:row>
    <x:row r="42" ht="100" customHeight="1">
      <x:c r="A42" s="38" t="str">
        <x:v>OC-4</x:v>
      </x:c>
      <x:c r="B42" s="38" t="str">
        <x:v>Manufacturing</x:v>
      </x:c>
      <x:c r="C42" s="38" t="str">
        <x:v>Final native outputs</x:v>
      </x:c>
      <x:c r="D42" s="38" t="str">
        <x:v>manufacturing/product/OUTPUT_CHECKS.json</x:v>
      </x:c>
      <x:c r="E42" s="38" t="str">
        <x:v>Current source/output parity; supplier acceptance separate</x:v>
      </x:c>
      <x:c r="F42" s="38" t="str">
        <x:v>Scoped verification</x:v>
      </x:c>
    </x:row>
    <x:row r="44" ht="30" customHeight="1">
      <x:c r="A44" s="164" t="str">
        <x:v>RVB-21 CURRENT AUTHORITY</x:v>
      </x:c>
      <x:c r="B44" s="164"/>
      <x:c r="C44" s="164"/>
      <x:c r="D44" s="164"/>
      <x:c r="E44" s="164"/>
      <x:c r="F44" s="164"/>
    </x:row>
    <x:row r="45" ht="90" customHeight="1">
      <x:c r="A45" s="38" t="str">
        <x:v>R21-1</x:v>
      </x:c>
      <x:c r="B45" s="38" t="str">
        <x:v>Review register</x:v>
      </x:c>
      <x:c r="C45" s="38" t="str">
        <x:v>All 290 original criteria</x:v>
      </x:c>
      <x:c r="D45" s="38" t="str">
        <x:v>audit/online_resolution_rvb21/ONLINE_REVIEW_REGISTER.json</x:v>
      </x:c>
      <x:c r="E45" s="38" t="str">
        <x:v>Row-specific source evidence and remaining acceptance</x:v>
      </x:c>
      <x:c r="F45" s="38" t="str">
        <x:v>Current</x:v>
      </x:c>
    </x:row>
    <x:row r="46" ht="90" customHeight="1">
      <x:c r="A46" s="38" t="str">
        <x:v>R21-2</x:v>
      </x:c>
      <x:c r="B46" s="38" t="str">
        <x:v>Changes</x:v>
      </x:c>
      <x:c r="C46" s="38" t="str">
        <x:v>Candidate source and analysis</x:v>
      </x:c>
      <x:c r="D46" s="38" t="str">
        <x:v>audit/online_resolution_rvb21/PASS_CHANGES.json</x:v>
      </x:c>
      <x:c r="E46" s="38" t="str">
        <x:v>Canonical versus candidate effectivity</x:v>
      </x:c>
      <x:c r="F46" s="38" t="str">
        <x:v>Current</x:v>
      </x:c>
    </x:row>
    <x:row r="47" ht="90" customHeight="1">
      <x:c r="A47" s="38" t="str">
        <x:v>R21-3</x:v>
      </x:c>
      <x:c r="B47" s="38" t="str">
        <x:v>Final review</x:v>
      </x:c>
      <x:c r="C47" s="38" t="str">
        <x:v>Remaining engineering and acceptance</x:v>
      </x:c>
      <x:c r="D47" s="38" t="str">
        <x:v>audit/online_resolution_rvb21/FINAL_REVIEW_ITEMS.json</x:v>
      </x:c>
      <x:c r="E47" s="38" t="str">
        <x:v>Original physical/supplier gates retained</x:v>
      </x:c>
      <x:c r="F47" s="38" t="str">
        <x:v>HOLD</x:v>
      </x:c>
    </x:row>
  </x:sheetData>
  <x:mergeCells>
    <x:mergeCell ref="A1:F1"/>
    <x:mergeCell ref="A26:F26"/>
    <x:mergeCell ref="A32:F32"/>
    <x:mergeCell ref="A38:F38"/>
    <x:mergeCell ref="A44:F44"/>
  </x:mergeCells>
  <x:pageMargins left="0.7" right="0.7" top="0.75" bottom="0.75" header="0.3" footer="0.3"/>
  <x:tableParts count="1">
    <x:tablePart xmlns:r="http://schemas.openxmlformats.org/officeDocument/2006/relationships" r:id="R8d27c5ac28bc46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9" hidden="0" customWidth="1"/>
    <x:col min="2" max="2" width="25" hidden="0" customWidth="1"/>
    <x:col min="3" max="3" width="34" hidden="0" customWidth="1"/>
    <x:col min="4" max="4" width="80" hidden="0" customWidth="1"/>
    <x:col min="5" max="5" width="80" hidden="0" customWidth="1"/>
    <x:col min="6" max="6" width="65" hidden="0" customWidth="1"/>
    <x:col min="7" max="7" width="25" hidden="0" customWidth="1"/>
    <x:col min="8" max="8" width="65" hidden="0" customWidth="1"/>
  </x:cols>
  <x:sheetData>
    <x:row r="1" ht="38" customHeight="1">
      <x:c r="A1" s="140" t="str">
        <x:v>HISTORICAL | ERB Findings | predecessor evidence retained</x:v>
      </x:c>
      <x:c r="B1" s="140" t="str">
        <x:v>HISTORICAL | ERB Findings | predecessor evidence retained</x:v>
      </x:c>
      <x:c r="C1" s="140" t="str">
        <x:v>HISTORICAL | ERB Findings | predecessor evidence retained</x:v>
      </x:c>
      <x:c r="D1" s="140" t="str">
        <x:v>HISTORICAL | ERB Findings | predecessor evidence retained</x:v>
      </x:c>
      <x:c r="E1" s="140" t="str">
        <x:v>HISTORICAL | ERB Findings | predecessor evidence retained</x:v>
      </x:c>
      <x:c r="F1" s="140" t="str">
        <x:v>HISTORICAL | ERB Findings | predecessor evidence retained</x:v>
      </x:c>
      <x:c r="G1" s="140" t="str">
        <x:v>HISTORICAL | ERB Findings | predecessor evidence retained</x:v>
      </x:c>
      <x:c r="H1" s="140" t="str">
        <x:v>HISTORICAL | ERB Findings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row>
    <x:row r="3">
      <x:c r="A3" s="104"/>
      <x:c r="B3" s="104"/>
      <x:c r="C3" s="104"/>
      <x:c r="D3" s="104"/>
      <x:c r="E3" s="104"/>
      <x:c r="F3" s="104"/>
      <x:c r="G3" s="104"/>
      <x:c r="H3" s="104"/>
    </x:row>
    <x:row r="4" ht="34" customHeight="1">
      <x:c r="A4" s="108" t="str">
        <x:v>ID</x:v>
      </x:c>
      <x:c r="B4" s="108" t="str">
        <x:v>Status</x:v>
      </x:c>
      <x:c r="C4" s="108" t="str">
        <x:v>Category / scope</x:v>
      </x:c>
      <x:c r="D4" s="108" t="str">
        <x:v>Original observation</x:v>
      </x:c>
      <x:c r="E4" s="108" t="str">
        <x:v>Correction / action</x:v>
      </x:c>
      <x:c r="F4" s="108" t="str">
        <x:v>Remaining / closure scope</x:v>
      </x:c>
      <x:c r="G4" s="108" t="str">
        <x:v>Affected rows</x:v>
      </x:c>
      <x:c r="H4" s="108" t="str">
        <x:v>Evidence</x:v>
      </x:c>
    </x:row>
    <x:row r="5" ht="120" customHeight="1">
      <x:c r="A5" s="104" t="str">
        <x:v>ERB-SYS-01</x:v>
      </x:c>
      <x:c r="B5" s="104" t="str">
        <x:v>OPEN</x:v>
      </x:c>
      <x:c r="C5" s="104" t="str">
        <x:v>Incomplete quantitative product acceptance requirements</x:v>
      </x:c>
      <x:c r="D5" s="104" t="str">
        <x:v>CAN load/loss/latency, oil transient/error requirements, GPS accessory/timing and BLE range/phone/recovery criteria are not fully defined.</x:v>
      </x:c>
      <x:c r="E5" s="104" t="str">
        <x:v>Complete requirement-to-test limits for the installed system before performance qualification.</x:v>
      </x:c>
      <x:c r="F5" s="104" t="str"/>
      <x:c r="G5" s="104" t="str"/>
      <x:c r="H5" s="104" t="str">
        <x:v>qualification/productization/PRODUCT_REQUIREMENTS.md
audit/erb_20260907/lanes/ANALOG_OBSERVABILITY_SCREEN.json</x:v>
      </x:c>
    </x:row>
    <x:row r="6" ht="120" customHeight="1">
      <x:c r="A6" s="104" t="str">
        <x:v>ERB-SYS-02</x:v>
      </x:c>
      <x:c r="B6" s="104" t="str">
        <x:v>OPEN</x:v>
      </x:c>
      <x:c r="C6" s="104" t="str">
        <x:v>Unfrozen installed configuration and field effectivity</x:v>
      </x:c>
      <x:c r="D6" s="104" t="str">
        <x:v>Exact vehicle year/ASC source, built harness, antenna, enclosure and phone are not an as-built system baseline; no serial/lot effectivity exists.</x:v>
      </x:c>
      <x:c r="E6" s="104" t="str">
        <x:v>Freeze the representative configuration, prove switched source and harness continuity, and establish board/harness/firmware effectivity.</x:v>
      </x:c>
      <x:c r="F6" s="104" t="str"/>
      <x:c r="G6" s="104" t="str"/>
      <x:c r="H6" s="104" t="str">
        <x:v>audit/erb_20260907/REVIEW_CHARTER.md
audit/erb_20260907/lanes/mechanics_evidence.json</x:v>
      </x:c>
    </x:row>
    <x:row r="7" ht="120" customHeight="1">
      <x:c r="A7" s="104" t="str">
        <x:v>ERB-DOC-01</x:v>
      </x:c>
      <x:c r="B7" s="104" t="str">
        <x:v>CORRECTED IN REV B</x:v>
      </x:c>
      <x:c r="C7" s="104" t="str">
        <x:v>Stale active-looking review and regeneration instructions</x:v>
      </x:c>
      <x:c r="D7" s="104" t="str">
        <x:v>Legacy checker README and mixed historical qualification analysis contained obsolete component/firmware/circuit statements without an adequate current-use boundary.</x:v>
      </x:c>
      <x:c r="E7" s="104" t="str">
        <x:v>Preserve originals, add explicit supersession pointers, correct current verification and programming guidance, and retain open clean-reproduction/model work.</x:v>
      </x:c>
      <x:c r="F7" s="104" t="str"/>
      <x:c r="G7" s="104" t="str"/>
      <x:c r="H7" s="104" t="str">
        <x:v>tools/release_checks/README.md
calculations/RECOVERED_QUALIFICATION_REVIEW.md
qualification/PROGRAMMING_INTERFACE_REVIEW.md</x:v>
      </x:c>
    </x:row>
    <x:row r="8" ht="120" customHeight="1">
      <x:c r="A8" s="104" t="str">
        <x:v>ERB-PWR-01</x:v>
      </x:c>
      <x:c r="B8" s="104" t="str">
        <x:v>CORRECTED IN REV B</x:v>
      </x:c>
      <x:c r="C8" s="104" t="str">
        <x:v>newly identified evidence-control discrepancy</x:v>
      </x:c>
      <x:c r="D8" s="104" t="str">
        <x:v>RECOVERED_QUALIFICATION_REVIEW remains labeled current but includes superseded oil topology/acquisition/partial-power claims.</x:v>
      </x:c>
      <x:c r="E8" s="104" t="str">
        <x:v>Explicit HISTORICAL MIXED-PERIOD REPORT banner withdraws the former current-overriding claim, points to current power/oil/qualification evidence, and identifies superseded oil values/proofs; history retained.</x:v>
      </x:c>
      <x:c r="F8" s="104" t="str">
        <x:v>Physical power/analog qualification and separate current stress schedule remain open; this closes only the misleading report-status defect.</x:v>
      </x:c>
      <x:c r="G8" s="104" t="str"/>
      <x:c r="H8" s="104" t="str">
        <x:v>calculations/RECOVERED_QUALIFICATION_REVIEW.md — opening and Oil channel/partial power section
audit/erb_20260907/DOCUMENT_CORRECTIONS.json — RECOVERED_QUALIFICATION_REVIEW before/after hashes</x:v>
      </x:c>
    </x:row>
    <x:row r="9" ht="120" customHeight="1">
      <x:c r="A9" s="104" t="str">
        <x:v>ERB-PWR-02</x:v>
      </x:c>
      <x:c r="B9" s="104" t="str">
        <x:v>CORRECTED IN REV B</x:v>
      </x:c>
      <x:c r="C9" s="104" t="str">
        <x:v>newly identified missing diagnostic feature; firmware lane correction assigned</x:v>
      </x:c>
      <x:c r="D9" s="104" t="str">
        <x:v>Frozen candidate reports reset reason but not a retained reset/boot sequence counter.</x:v>
      </x:c>
      <x:c r="E9" s="104" t="str">
        <x:v>RTC-memory saturating boot sequence with magic/inverse validation implemented; power-on or invalid record starts a new sequence. UART boot and SHOW STATS report reason/count. Focused host tests and exact 2.1.1 S3 build pass; no per-reset NVS write.</x:v>
      </x:c>
      <x:c r="F9" s="104" t="str">
        <x:v>Target retention across brownout/reset classes remains OPEN. Hard power-loss persistence is intentionally not provided; package integration tracked by ERB-FW-08.</x:v>
      </x:c>
      <x:c r="G9" s="104" t="str"/>
      <x:c r="H9" s="104" t="str">
        <x:v>firmware/productization_candidate/cca_telemetry/cca_telemetry.ino — g_bootResetReason and setupImpl
firmware/productization_candidate/cca_telemetry/src/boot_diagnostics.h — record validation, count increment/saturation and power-on reset
audit/erb_20260907/firmware_tests/diagnostics_after.log — focused RTC/identity/backoff tests
audit/erb_20260907/firmware_tests/embedded_compile.log — exact new S3 target build</x:v>
      </x:c>
    </x:row>
    <x:row r="10" ht="120" customHeight="1">
      <x:c r="A10" s="104" t="str">
        <x:v>ERB-PWR-03</x:v>
      </x:c>
      <x:c r="B10" s="104" t="str">
        <x:v>OPEN</x:v>
      </x:c>
      <x:c r="C10" s="104" t="str">
        <x:v>newly explicit FMEA coverage gap; inherent residual failure mode</x:v>
      </x:c>
      <x:c r="D10" s="104" t="str">
        <x:v>U121/U151/U403 fail-short propagation is not prevented by an independent downstream rail OVP stage; complete open/short and external-propagation FMEA missing.</x:v>
      </x:c>
      <x:c r="E10" s="104" t="str">
        <x:v>Complete partial FMEA/source-fuse hazard analysis. Accept only demonstrably contained telemetry loss; redesign rail protection if safe containment cannot be justified. No normal-operation defect is asserted.</x:v>
      </x:c>
      <x:c r="F10" s="104" t="str">
        <x:v>A single converter failure can damage lower-voltage loads. Safe confined board loss differs from harness/vehicle interference and has not yet been established.</x:v>
      </x:c>
      <x:c r="G10" s="104" t="str"/>
      <x:c r="H10" s="104" t="str">
        <x:v>audit/product_schematic/NATIVE_NETLIST.xml — power cascade nets
audit/erb_20260907/lanes/POWER_SINGLE_FAULT_FMEA.csv — U121/U151/U403 failure rows</x:v>
      </x:c>
    </x:row>
    <x:row r="11" ht="120" customHeight="1">
      <x:c r="A11" s="104" t="str">
        <x:v>ERB-PWR-04</x:v>
      </x:c>
      <x:c r="B11" s="104" t="str">
        <x:v>OPEN</x:v>
      </x:c>
      <x:c r="C11" s="104" t="str">
        <x:v>newly identified consolidated-evidence coverage discrepancy</x:v>
      </x:c>
      <x:c r="D11" s="104" t="str">
        <x:v>Historical PASSIVE_STRESS_SCREEN has 8 stale MPN rows and omits 8 new passives; current qualification is distributed across other reports.</x:v>
      </x:c>
      <x:c r="E11" s="104" t="str">
        <x:v>Publish a source-bound current stress supplement/coverage index and label old table historical; retain part-specific remaining physical allocations.</x:v>
      </x:c>
      <x:c r="F11" s="104" t="str">
        <x:v>Whole-board WCA cannot be signed from this historical table; this is not proof the individual new parts lack engineering analysis.</x:v>
      </x:c>
      <x:c r="G11" s="104" t="str"/>
      <x:c r="H11" s="104" t="str">
        <x:v>audit/erb_20260907/lanes/power_independent_evidence.json — stress comparison arrays</x:v>
      </x:c>
    </x:row>
    <x:row r="12" ht="120" customHeight="1">
      <x:c r="A12" s="104" t="str">
        <x:v>ERB-PWR-05</x:v>
      </x:c>
      <x:c r="B12" s="104" t="str">
        <x:v>OPEN</x:v>
      </x:c>
      <x:c r="C12" s="104" t="str">
        <x:v>known pending physical/environment qualification</x:v>
      </x:c>
      <x:c r="D12" s="104" t="str">
        <x:v>Transient ringing/hot-clamp, SOA, Ceff, exact source/fuse/harness and pulse repetition remain allocated or unspecified; required physical evidence absent.</x:v>
      </x:c>
      <x:c r="E12" s="104" t="str">
        <x:v>Freeze finite source/fault fixtures and complete staged capture/thermal/clearing tests.</x:v>
      </x:c>
      <x:c r="F12" s="104" t="str">
        <x:v>CAD checks and steady calculations cannot establish vehicle power survival or safe harness clearing.</x:v>
      </x:c>
      <x:c r="G12" s="104" t="str"/>
      <x:c r="H12" s="104" t="str">
        <x:v>calculations/POWER_ARCHITECTURE_REVIEW.md — Operating envelope and release conditions
BRING_UP_PLAN.md — power tests
ASSUMPTIONS.md — current retained conditions</x:v>
      </x:c>
    </x:row>
    <x:row r="13" ht="120" customHeight="1">
      <x:c r="A13" s="104" t="str">
        <x:v>ERB-PWR-06</x:v>
      </x:c>
      <x:c r="B13" s="104" t="str">
        <x:v>OPEN</x:v>
      </x:c>
      <x:c r="C13" s="104" t="str">
        <x:v>review coverage gap overlapping known finite-fault exclusions</x:v>
      </x:c>
      <x:c r="D13" s="104" t="str">
        <x:v>No complete power-state/secondary-return/connector-adjacency matrix or fixture interlock schedule exists; RC reset is not proven over all agreed ramps.</x:v>
      </x:c>
      <x:c r="E13" s="104" t="str">
        <x:v>Complete source/return/adjacency matrices, numeric fixture limits and allowed power sequence; test bounded states before vehicle use.</x:v>
      </x:c>
      <x:c r="F13" s="104" t="str">
        <x:v>Partial-power/backfeed, lost-ground and fault tests may exceed the established circuit envelope if setup is improvised.</x:v>
      </x:c>
      <x:c r="G13" s="104" t="str"/>
      <x:c r="H13" s="104" t="str">
        <x:v>qualification/PROGRAMMING_INTERFACE_REVIEW.md — sense-only/open-drain adapter
BRING_UP_PLAN.md — finite and prohibited fault instructions
audit/erb_20260907/lanes/POWER_SINGLE_FAULT_FMEA.csv — return and adjacency rows</x:v>
      </x:c>
    </x:row>
    <x:row r="14" ht="120" customHeight="1">
      <x:c r="A14" s="104" t="str">
        <x:v>ERB-PWR-07</x:v>
      </x:c>
      <x:c r="B14" s="104" t="str">
        <x:v>OPEN</x:v>
      </x:c>
      <x:c r="C14" s="104" t="str">
        <x:v>newly explicit shared-supply fault-independence limitation</x:v>
      </x:c>
      <x:c r="D14" s="104" t="str">
        <x:v>GPS LDO short-current limit can exceed its normal 100 mA branch allocation by 4–9 times; normal main plus typical GPS-short load exceeds upstream nominal 1 A capability.</x:v>
      </x:c>
      <x:c r="E14" s="104" t="str">
        <x:v>FMEA row capacitor reference corrected from U403/C404 to U403/C402 after current native-net confirmation. Original typo preserved in DOCUMENT_CORRECTIONS.json before/after history; the GPS_3V3-to-GND fault and electrical conclusion are unchanged.</x:v>
      </x:c>
      <x:c r="F14" s="104" t="str">
        <x:v>Shared-rail GPS-short functional/thermal containment remains OPEN.</x:v>
      </x:c>
      <x:c r="G14" s="104" t="str"/>
      <x:c r="H14" s="104" t="str">
        <x:v>evidence/manufacturer/mic5504.pdf.txt — p3 ILIM 400/630/900 mA, VOUT=0
calculations/POWER_ARCHITECTURE_REVIEW.md — Required load budget
audit/erb_20260907/lanes/POWER_SINGLE_FAULT_FMEA.csv — U403/C402 output short row
audit/erb_20260907/DOCUMENT_CORRECTIONS.json — FMEA CSV reference correction before/after hashes</x:v>
      </x:c>
    </x:row>
    <x:row r="15" ht="120" customHeight="1">
      <x:c r="A15" s="104" t="str">
        <x:v>ERB-RF-01</x:v>
      </x:c>
      <x:c r="B15" s="104" t="str">
        <x:v>OPEN</x:v>
      </x:c>
      <x:c r="C15" s="104" t="str">
        <x:v>NEW ENGINEERING LAYOUT FINDING</x:v>
      </x:c>
      <x:c r="D15" s="104" t="str">
        <x:v>At D402.1 the current RF path reverses by135degrees in travel direction, giving45degrees interior angle at the pad. Uniform-line49.8ohm calculation omits this geometry; no failure is proven.</x:v>
      </x:c>
      <x:c r="E15" s="104" t="str">
        <x:v>Bounded local smoothing/launch review with revalidated clearances/reference and outputs, or documented mounted-path RF acceptance. Do not claim globally optimal RF routing.</x:v>
      </x:c>
      <x:c r="F15" s="104" t="str"/>
      <x:c r="G15" s="104" t="str">
        <x:v>SI-02, SI-05, SI-06, GPS-10</x:v>
      </x:c>
      <x:c r="H15" s="104" t="str"/>
    </x:row>
    <x:row r="16" ht="120" customHeight="1">
      <x:c r="A16" s="104" t="str">
        <x:v>ERB-RF-02</x:v>
      </x:c>
      <x:c r="B16" s="104" t="str">
        <x:v>OPEN</x:v>
      </x:c>
      <x:c r="C16" s="104" t="str">
        <x:v>MISSING ENGINEERING EVIDENCE</x:v>
      </x:c>
      <x:c r="D16" s="104" t="str">
        <x:v>No exhaustive source-bound return-current/shared-impedance and polygon-island attachment disposition across all critical circuits.</x:v>
      </x:c>
      <x:c r="E16" s="104" t="str">
        <x:v>Complete annotated return map, filled-zone attachment coverage and shared-return error allocation; retain actual RF/inner-route checks as bounded evidence.</x:v>
      </x:c>
      <x:c r="F16" s="104" t="str"/>
      <x:c r="G16" s="104" t="str">
        <x:v>GND-01, GND-02, GND-04, GND-08</x:v>
      </x:c>
      <x:c r="H16" s="104" t="str"/>
    </x:row>
    <x:row r="17" ht="120" customHeight="1">
      <x:c r="A17" s="104" t="str">
        <x:v>ERB-RF-03</x:v>
      </x:c>
      <x:c r="B17" s="104" t="str">
        <x:v>OPEN</x:v>
      </x:c>
      <x:c r="C17" s="104" t="str">
        <x:v>MISSING SYSTEM ENGINEERING EVIDENCE</x:v>
      </x:c>
      <x:c r="D17" s="104" t="str">
        <x:v>Ground-loss alternate returns through CAN/coax/sensor/programmer and bench earth bonding are not resolved by a complete system FMEA/fixture diagram.</x:v>
      </x:c>
      <x:c r="E17" s="104" t="str">
        <x:v>Freeze installation/fixture bonds, analyze each intended-ground loss with bounded alternate current and perform controlled fixture tests before vehicle-use approval.</x:v>
      </x:c>
      <x:c r="F17" s="104" t="str"/>
      <x:c r="G17" s="104" t="str">
        <x:v>GND-06, GND-09, GND-10</x:v>
      </x:c>
      <x:c r="H17" s="104" t="str"/>
    </x:row>
    <x:row r="18" ht="120" customHeight="1">
      <x:c r="A18" s="104" t="str">
        <x:v>ERB-RF-04</x:v>
      </x:c>
      <x:c r="B18" s="104" t="str">
        <x:v>OPEN</x:v>
      </x:c>
      <x:c r="C18" s="104" t="str">
        <x:v>MISSING ENGINEERING EVIDENCE</x:v>
      </x:c>
      <x:c r="D18" s="104" t="str">
        <x:v>102GNDvias are present but complete via-purpose/current/plating and pitch criteria are not recorded.</x:v>
      </x:c>
      <x:c r="E18" s="104" t="str">
        <x:v>UUID-bound via group purpose map plus minimum finished-drill/plating and continuous/pulse current/thermal budget.</x:v>
      </x:c>
      <x:c r="F18" s="104" t="str"/>
      <x:c r="G18" s="104" t="str">
        <x:v>VIA-01, VIA-03, VIA-06, VIA-10</x:v>
      </x:c>
      <x:c r="H18" s="104" t="str"/>
    </x:row>
    <x:row r="19" ht="120" customHeight="1">
      <x:c r="A19" s="104" t="str">
        <x:v>ERB-RF-05</x:v>
      </x:c>
      <x:c r="B19" s="104" t="str">
        <x:v>OPEN</x:v>
      </x:c>
      <x:c r="C19" s="104" t="str">
        <x:v>MISSING ENGINEERING EVIDENCE</x:v>
      </x:c>
      <x:c r="D19" s="104" t="str">
        <x:v>No complete interface edge-rate/propagation budget or pinned UART burst/RX-buffer margin; receiver-end33ohm links are not demonstrated source termination.</x:v>
      </x:c>
      <x:c r="E19" s="104" t="str">
        <x:v>Record actual driver/load/route timing and UART buffer/burst budget, then verify receiver edges and no UART overflow under simultaneous operation.</x:v>
      </x:c>
      <x:c r="F19" s="104" t="str"/>
      <x:c r="G19" s="104" t="str">
        <x:v>SI-04, SI-07, GPS-05</x:v>
      </x:c>
      <x:c r="H19" s="104" t="str"/>
    </x:row>
    <x:row r="20" ht="120" customHeight="1">
      <x:c r="A20" s="104" t="str">
        <x:v>ERB-RF-06</x:v>
      </x:c>
      <x:c r="B20" s="104" t="str">
        <x:v>OPEN</x:v>
      </x:c>
      <x:c r="C20" s="104" t="str">
        <x:v>KNOWN PHYSICAL/PROCUREMENT HOLD</x:v>
      </x:c>
      <x:c r="D20" s="104" t="str">
        <x:v>Actual RF stackup tolerance, complete mounted path and exact external antenna/cable/enclosure remain unqualified.</x:v>
      </x:c>
      <x:c r="E20" s="104" t="str">
        <x:v>Supplier construction/tolerance agreement or justified short-feed acceptance; exact accessory selection; RF/reception and mechanical installation testing.</x:v>
      </x:c>
      <x:c r="F20" s="104" t="str"/>
      <x:c r="G20" s="104" t="str">
        <x:v>SI-01, SI-12, GPS-09, GPS-12, GPS-13, GPS-14</x:v>
      </x:c>
      <x:c r="H20" s="104" t="str"/>
    </x:row>
    <x:row r="21" ht="120" customHeight="1">
      <x:c r="A21" s="104" t="str">
        <x:v>ERB-RF-07</x:v>
      </x:c>
      <x:c r="B21" s="104" t="str">
        <x:v>HOLD</x:v>
      </x:c>
      <x:c r="C21" s="104" t="str">
        <x:v>KNOWN SUPPLIER PROCESS HOLD</x:v>
      </x:c>
      <x:c r="D21" s="104" t="str">
        <x:v>Tenting/stencil and combined registration margin require supplier acceptance and first-article evidence; no selective fill is currently requested.</x:v>
      </x:c>
      <x:c r="E21" s="104" t="str">
        <x:v>Supplier approval of exact thermal-hole/paste process and registration below nominal floor; inspect first article.</x:v>
      </x:c>
      <x:c r="F21" s="104" t="str"/>
      <x:c r="G21" s="104" t="str">
        <x:v>VIA-07, VIA-08</x:v>
      </x:c>
      <x:c r="H21" s="104" t="str"/>
    </x:row>
    <x:row r="22" ht="120" customHeight="1">
      <x:c r="A22" s="104" t="str">
        <x:v>ERB-RF-08</x:v>
      </x:c>
      <x:c r="B22" s="104" t="str">
        <x:v>OPEN</x:v>
      </x:c>
      <x:c r="C22" s="104" t="str">
        <x:v>KNOWN HARDWARE QUALIFICATION HOLD</x:v>
      </x:c>
      <x:c r="D22" s="104" t="str">
        <x:v>GPS startup/mode/PPS/freshness logic is implemented/host tested but not executed on Rev B hardware with the phone.</x:v>
      </x:c>
      <x:c r="E22" s="104" t="str">
        <x:v>Record exact module firmware, cold/warm/retained config logs, PPS correlation, invalid/stale cases and live RaceChrono acceptance.</x:v>
      </x:c>
      <x:c r="F22" s="104" t="str"/>
      <x:c r="G22" s="104" t="str">
        <x:v>GPS-04, GPS-06, GPS-07, GPS-08</x:v>
      </x:c>
      <x:c r="H22" s="104" t="str"/>
    </x:row>
    <x:row r="23" ht="120" customHeight="1">
      <x:c r="A23" s="104" t="str">
        <x:v>ERB-RF-09</x:v>
      </x:c>
      <x:c r="B23" s="104" t="str">
        <x:v>OPEN</x:v>
      </x:c>
      <x:c r="C23" s="104" t="str">
        <x:v>KNOWN MEASUREMENT HOLD</x:v>
      </x:c>
      <x:c r="D23" s="104" t="str">
        <x:v>Remote sensor cable error, shared-ground EMC/ESD, actual CAN harness loading and simultaneous subsystem interference are not closed by CAD checks.</x:v>
      </x:c>
      <x:c r="E23" s="104" t="str">
        <x:v>Representative harness/installation and calibrated current-limited bench qualification, with measured uncertainty and aggressor cases.</x:v>
      </x:c>
      <x:c r="F23" s="104" t="str"/>
      <x:c r="G23" s="104" t="str">
        <x:v>GND-05, GND-07, SI-03, SI-11</x:v>
      </x:c>
      <x:c r="H23" s="104" t="str"/>
    </x:row>
    <x:row r="24" ht="120" customHeight="1">
      <x:c r="A24" s="104" t="str">
        <x:v>ERB-MECH-01</x:v>
      </x:c>
      <x:c r="B24" s="104" t="str">
        <x:v>OPEN</x:v>
      </x:c>
      <x:c r="C24" s="104" t="str">
        <x:v>new_engineering_documentation_gap</x:v>
      </x:c>
      <x:c r="D24" s="104" t="str">
        <x:v>Complete portable 3D assembly model is absent: 139 model references depend on external KiCad6/7/9 paths; eight fitted/manual references have no assigned model; only board-only STEP is supplied.</x:v>
      </x:c>
      <x:c r="E24" s="104" t="str">
        <x:v>Bundle appropriately licensed exact/package-envelope models with provenance and verified transforms, preserve intentional bare/DNP features, export full assembly and check enclosure/cable interference.</x:v>
      </x:c>
      <x:c r="F24" s="104" t="str"/>
      <x:c r="G24" s="104" t="str">
        <x:v>MECH-01, MECH-02, MECH-03, MECH-09</x:v>
      </x:c>
      <x:c r="H24" s="104" t="str"/>
    </x:row>
    <x:row r="25" ht="120" customHeight="1">
      <x:c r="A25" s="104" t="str">
        <x:v>ERB-MECH-02</x:v>
      </x:c>
      <x:c r="B25" s="104" t="str">
        <x:v>OPEN</x:v>
      </x:c>
      <x:c r="C25" s="104" t="str">
        <x:v>installation_design_gap</x:v>
      </x:c>
      <x:c r="D25" s="104" t="str">
        <x:v>Outline preservation does not preserve assembled fit: F1 is relocated/rotated and no dedicated mounting holes, complete enclosure/carrier/hardware/cable geometry, tolerance stack, support/torque or environmental design is established.</x:v>
      </x:c>
      <x:c r="E25" s="104" t="str">
        <x:v>Release mechanical form/fit delta and installation drawing based on the current native pad/peg coordinates, full assembled envelope, selected retention and environmental assumptions; physically verify.</x:v>
      </x:c>
      <x:c r="F25" s="104" t="str"/>
      <x:c r="G25" s="104" t="str">
        <x:v>MECH-01, MECH-02, MECH-03, MECH-05, MECH-06, MECH-07, MECH-10</x:v>
      </x:c>
      <x:c r="H25" s="104" t="str"/>
    </x:row>
    <x:row r="26" ht="120" customHeight="1">
      <x:c r="A26" s="104" t="str">
        <x:v>ERB-MECH-03</x:v>
      </x:c>
      <x:c r="B26" s="104" t="str">
        <x:v>OPEN</x:v>
      </x:c>
      <x:c r="C26" s="104" t="str">
        <x:v>harness_design_and_acceptance_gap</x:v>
      </x:c>
      <x:c r="D26" s="104" t="str">
        <x:v>Cavity map and exact connector/contact family are defined, but full harness wire/tool/crimp/length/twist/strain-relief construction and continuity/pull/retention records are missing.</x:v>
      </x:c>
      <x:c r="E26" s="104" t="str">
        <x:v>Produce an exact harness build drawing/work instruction and protected acceptance fixture; preserve 5/6/7/8/9, remove IGN4/GND11 contacts and use switched source3.</x:v>
      </x:c>
      <x:c r="F26" s="104" t="str"/>
      <x:c r="G26" s="104" t="str">
        <x:v>HAR-02, HAR-04, HAR-05, HAR-06, HAR-09, DFT-05</x:v>
      </x:c>
      <x:c r="H26" s="104" t="str"/>
    </x:row>
    <x:row r="27" ht="120" customHeight="1">
      <x:c r="A27" s="104" t="str">
        <x:v>ERB-MECH-04</x:v>
      </x:c>
      <x:c r="B27" s="104" t="str">
        <x:v>OPEN</x:v>
      </x:c>
      <x:c r="C27" s="104" t="str">
        <x:v>new_analysis_gap</x:v>
      </x:c>
      <x:c r="D27" s="104" t="str">
        <x:v>Individual finite-fault calculations are not a complete F1 adjacent-pin/miswire/ground-interruption FMEA. Some faults are explicitly unsupported.</x:v>
      </x:c>
      <x:c r="E27" s="104" t="str">
        <x:v>Add cavity-by-cavity credible fault matrix mapping each to protection, safe failure or unsupported use; authorize only bounded protected tests.</x:v>
      </x:c>
      <x:c r="F27" s="104" t="str"/>
      <x:c r="G27" s="104" t="str">
        <x:v>HAR-07</x:v>
      </x:c>
      <x:c r="H27" s="104" t="str"/>
    </x:row>
    <x:row r="28" ht="120" customHeight="1">
      <x:c r="A28" s="104" t="str">
        <x:v>ERB-MECH-05</x:v>
      </x:c>
      <x:c r="B28" s="104" t="str">
        <x:v>OPEN</x:v>
      </x:c>
      <x:c r="C28" s="104" t="str">
        <x:v>new_test_procedure_gap</x:v>
      </x:c>
      <x:c r="D28" s="104" t="str">
        <x:v>No complete numerical stage current-limit/idle-current/timeout/abort schedule for first power-on.</x:v>
      </x:c>
      <x:c r="E28" s="104" t="str">
        <x:v>Derive and release per-stage limits from power budgets, expected startup/inrush and thermal bounds; validate with isolated prepared assemblies.</x:v>
      </x:c>
      <x:c r="F28" s="104" t="str"/>
      <x:c r="G28" s="104" t="str">
        <x:v>DFT-04</x:v>
      </x:c>
      <x:c r="H28" s="104" t="str">
        <x:v>audit/erb_20260907/BRINGUP_METROLOGY_ADDENDUM.md — Current-limit derivation, staged settings, abort criteria and limitations
audit/erb_20260907/BRINGUP_SETTINGS_CALCULATIONS.json — Reproducible screening arithmetic</x:v>
      </x:c>
    </x:row>
    <x:row r="29" ht="120" customHeight="1">
      <x:c r="A29" s="104" t="str">
        <x:v>ERB-MECH-06</x:v>
      </x:c>
      <x:c r="B29" s="104" t="str">
        <x:v>OPEN</x:v>
      </x:c>
      <x:c r="C29" s="104" t="str">
        <x:v>new_measurement_method_gap</x:v>
      </x:c>
      <x:c r="D29" s="104" t="str">
        <x:v>No complete critical-node probe grounding/bandwidth/loading/stub measurement schedule; 0.5 mm tip geometry does not prove waveform fidelity or safe private-RTN probing.</x:v>
      </x:c>
      <x:c r="E29" s="104" t="str">
        <x:v>Specify ground-spring/coax/differential probes, C/loading, bandwidth/sample-rate and fixture topology per node; verify actual waveform integrity.</x:v>
      </x:c>
      <x:c r="F29" s="104" t="str"/>
      <x:c r="G29" s="104" t="str">
        <x:v>DFT-03, DFT-06</x:v>
      </x:c>
      <x:c r="H29" s="104" t="str">
        <x:v>audit/erb_20260907/BRINGUP_METROLOGY_ADDENDUM.md — Node-specific measurement setup and remaining metrology actions</x:v>
      </x:c>
    </x:row>
    <x:row r="30" ht="120" customHeight="1">
      <x:c r="A30" s="104" t="str">
        <x:v>ERB-MECH-07</x:v>
      </x:c>
      <x:c r="B30" s="104" t="str">
        <x:v>OPEN</x:v>
      </x:c>
      <x:c r="C30" s="104" t="str">
        <x:v>known_physical_qualification_pending</x:v>
      </x:c>
      <x:c r="D30" s="104" t="str">
        <x:v>No accepted assembled fixture, actual programming/calibration/continuity/physical fit/harness/environmental acceptance exists. Existing plans correctly state these physical gates OPEN.</x:v>
      </x:c>
      <x:c r="E30" s="104" t="str">
        <x:v>Build/qualify fixtures and first article; retain real measurements and final configuration sign-off. Synthetic transcripts and delegated human review cannot close physical evidence.</x:v>
      </x:c>
      <x:c r="F30" s="104" t="str"/>
      <x:c r="G30" s="104" t="str">
        <x:v>DFT-02, DFT-05, DFT-08, DFT-09, DFT-10, HAR-10, MECH-08, MECH-09</x:v>
      </x:c>
      <x:c r="H30" s="104" t="str"/>
    </x:row>
    <x:row r="31" ht="120" customHeight="1">
      <x:c r="A31" s="104" t="str">
        <x:v>ERB-MFG-01</x:v>
      </x:c>
      <x:c r="B31" s="104" t="str">
        <x:v>OPEN</x:v>
      </x:c>
      <x:c r="C31" s="104" t="str">
        <x:v>NEW_VERIFIED_DOCUMENTATION_GAP</x:v>
      </x:c>
      <x:c r="D31" s="104" t="str">
        <x:v>No complete controlled MSL/floor-life/bake/cleanliness/flux-residue work instruction found in current factory/manual GPS handoff.</x:v>
      </x:c>
      <x:c r="E31" s="104" t="str">
        <x:v>Add exact-MPN handling and process/inspection control; actual factory acceptance remains separate.</x:v>
      </x:c>
      <x:c r="F31" s="104" t="str"/>
      <x:c r="G31" s="104" t="str">
        <x:v>DFM-09</x:v>
      </x:c>
      <x:c r="H31" s="104" t="str"/>
    </x:row>
    <x:row r="32" ht="120" customHeight="1">
      <x:c r="A32" s="104" t="str">
        <x:v>ERB-MFG-02</x:v>
      </x:c>
      <x:c r="B32" s="104" t="str">
        <x:v>OPEN</x:v>
      </x:c>
      <x:c r="C32" s="104" t="str">
        <x:v>NEW_VERIFIED_DRAWING_COMPLETENESS_GAP</x:v>
      </x:c>
      <x:c r="D32" s="104" t="str">
        <x:v>Standalone current fabrication PDF lacks explicit revision/title-block control and route/thickness/finished-hole/plating tolerance requirements; some data are distributed in ORDER_SETUP.</x:v>
      </x:c>
      <x:c r="E32" s="104" t="str">
        <x:v>Provide controlled source-bound fabrication note addendum and normative finished-hole/plating/tolerance definition.</x:v>
      </x:c>
      <x:c r="F32" s="104" t="str"/>
      <x:c r="G32" s="104" t="str">
        <x:v>DFM-02, DRW-04</x:v>
      </x:c>
      <x:c r="H32" s="104" t="str"/>
    </x:row>
    <x:row r="33" ht="120" customHeight="1">
      <x:c r="A33" s="104" t="str">
        <x:v>ERB-MFG-03</x:v>
      </x:c>
      <x:c r="B33" s="104" t="str">
        <x:v>OPEN</x:v>
      </x:c>
      <x:c r="C33" s="104" t="str">
        <x:v>ADDITIONAL_RELEASE_EVIDENCE_REQUIRED</x:v>
      </x:c>
      <x:c r="D33" s="104" t="str">
        <x:v>Current comprehensive annotated converter loops/feedback/decoupling and worst copper/via/thermal-spoke current constriction evidence not located; preserved placement/netclasses/DRC do not satisfy this ERB proof alone.</x:v>
      </x:c>
      <x:c r="E33" s="104" t="str">
        <x:v>Complete targeted source-bound copper-path review and worst-constriction calculation; do not describe absence of this evidence as a proved copper defect.</x:v>
      </x:c>
      <x:c r="F33" s="104" t="str"/>
      <x:c r="G33" s="104" t="str">
        <x:v>LAY-01, LAY-03, LAY-04, LAY-06</x:v>
      </x:c>
      <x:c r="H33" s="104" t="str"/>
    </x:row>
    <x:row r="34" ht="120" customHeight="1">
      <x:c r="A34" s="104" t="str">
        <x:v>ERB-MFG-04</x:v>
      </x:c>
      <x:c r="B34" s="104" t="str">
        <x:v>HOLD</x:v>
      </x:c>
      <x:c r="C34" s="104" t="str">
        <x:v>KNOWN_SUPPLIER_PROCESS_HOLD</x:v>
      </x:c>
      <x:c r="D34" s="104" t="str">
        <x:v>Exact supplier CAM/stencil/registration/reflow/retention/THT/depanel/model-zero acceptance remains open; A084: 0.15 mm combined registration and DPY0.12vs0.10 mm stencil assumptions not physically closed.</x:v>
      </x:c>
      <x:c r="E34" s="104" t="str">
        <x:v>Approve exact process at authorized job stage; do not waive by native CAD pass.</x:v>
      </x:c>
      <x:c r="F34" s="104" t="str"/>
      <x:c r="G34" s="104" t="str">
        <x:v>DFM-01, DFM-05, DFM-06, DFM-07, DFM-08, DRW-03, DRW-05</x:v>
      </x:c>
      <x:c r="H34" s="104" t="str"/>
    </x:row>
    <x:row r="35" ht="120" customHeight="1">
      <x:c r="A35" s="104" t="str">
        <x:v>ERB-MFG-05</x:v>
      </x:c>
      <x:c r="B35" s="104" t="str">
        <x:v>HOLD</x:v>
      </x:c>
      <x:c r="C35" s="104" t="str">
        <x:v>KNOWN_PROCUREMENT_HOLD</x:v>
      </x:c>
      <x:c r="D35" s="104" t="str">
        <x:v>Exact U101/L121 source identities and all kit allocation remain unconfirmed despite complete component/placement engineering data.</x:v>
      </x:c>
      <x:c r="E35" s="104" t="str">
        <x:v>Obtain exact authorized factory sourcing/allocation before turnkey order claim.</x:v>
      </x:c>
      <x:c r="F35" s="104" t="str"/>
      <x:c r="G35" s="104" t="str">
        <x:v>DRW-02</x:v>
      </x:c>
      <x:c r="H35" s="104" t="str"/>
    </x:row>
    <x:row r="36" ht="120" customHeight="1">
      <x:c r="A36" s="104" t="str">
        <x:v>ERB-MFG-06</x:v>
      </x:c>
      <x:c r="B36" s="104" t="str">
        <x:v>CORRECTED IN REV B</x:v>
      </x:c>
      <x:c r="C36" s="104" t="str">
        <x:v>NEW_VERIFIED_RECOVERY_DOCUMENTATION_GAP</x:v>
      </x:c>
      <x:c r="D36" s="104" t="str">
        <x:v>Published release-check README now identifies current product commands and the actual valid schematic gate. Portable manifest/drawing evidence resolution is implemented without altering reviewed digests;29 focused regression controls pass.</x:v>
      </x:c>
      <x:c r="E36" s="104" t="str">
        <x:v>Recovery entrypoints and verified-evidence path handling are corrected. A real native 34-rule manufacturing-output verification passes after packet updates, with original gate expectations preserved. Complete clean regeneration of all historical/current exports in a fresh workspace remains unproven and is outside this correction; no supplier or physical approval is inferred.</x:v>
      </x:c>
      <x:c r="F36" s="104" t="str"/>
      <x:c r="G36" s="104" t="str">
        <x:v>DRW-10</x:v>
      </x:c>
      <x:c r="H36" s="104" t="str"/>
    </x:row>
    <x:row r="37" ht="120" customHeight="1">
      <x:c r="A37" s="104" t="str">
        <x:v>ERB-FW-01</x:v>
      </x:c>
      <x:c r="B37" s="104" t="str">
        <x:v>CORRECTED IN REV B</x:v>
      </x:c>
      <x:c r="C37" s="104" t="str">
        <x:v>new_verified_defect</x:v>
      </x:c>
      <x:c r="D37" s="104" t="str">
        <x:v>Dirty CAN cache replayed a60s-old frame after reconnect because no freshness check/cache boundary existed.</x:v>
      </x:c>
      <x:c r="E37" s="104" t="str">
        <x:v>500ms cache TTL, clear cache on BLE connect/disconnect/overflow, expose expiry counter.</x:v>
      </x:c>
      <x:c r="F37" s="104" t="str">
        <x:v>real phone freshness behavior; physical per-channel invalidation remains open.</x:v>
      </x:c>
      <x:c r="G37" s="104" t="str"/>
      <x:c r="H37" s="104" t="str">
        <x:v>audit/erb_20260907/firmware_tests/can_cache_before.log
audit/erb_20260907/firmware_tests/can_cache_after.log
firmware/productization_candidate/cca_telemetry/cca_telemetry.ino</x:v>
      </x:c>
    </x:row>
    <x:row r="38" ht="120" customHeight="1">
      <x:c r="A38" s="104" t="str">
        <x:v>ERB-FW-02</x:v>
      </x:c>
      <x:c r="B38" s="104" t="str">
        <x:v>CORRECTED IN REV B</x:v>
      </x:c>
      <x:c r="C38" s="104" t="str">
        <x:v>new_verified_defect</x:v>
      </x:c>
      <x:c r="D38" s="104" t="str">
        <x:v>Checksum-valid malformed GPS numeric/time fields were accepted:20/26 adversarial cases produced plausible values or valid times.</x:v>
      </x:c>
      <x:c r="E38" s="104" t="str">
        <x:v>Strict numeric grammar/full token consumption; invalid optional speed/course/HDOP/altitude encodings; strict UTC fraction.</x:v>
      </x:c>
      <x:c r="F38" s="104" t="str">
        <x:v>target malformed-stream integration.</x:v>
      </x:c>
      <x:c r="G38" s="104" t="str"/>
      <x:c r="H38" s="104" t="str">
        <x:v>audit/erb_20260907/firmware_tests/parser_before.log
audit/erb_20260907/firmware_tests/parser_after.log
firmware/productization_candidate/cca_telemetry/src/gps_nmea.cpp</x:v>
      </x:c>
    </x:row>
    <x:row r="39" ht="120" customHeight="1">
      <x:c r="A39" s="104" t="str">
        <x:v>ERB-FW-03</x:v>
      </x:c>
      <x:c r="B39" s="104" t="str">
        <x:v>CORRECTED IN REV B</x:v>
      </x:c>
      <x:c r="C39" s="104" t="str">
        <x:v>new_verified_defect</x:v>
      </x:c>
      <x:c r="D39" s="104" t="str">
        <x:v>CRC-valid calibration cloned across units loaded successfully; no board identity binding.</x:v>
      </x:c>
      <x:c r="E39" s="104" t="str">
        <x:v>Calibrationv4 includes eFuse base-MAC identity; load rejects mismatches and factory station compares module identity.</x:v>
      </x:c>
      <x:c r="F39" s="104" t="str">
        <x:v>recommission every unit; two-device physical copy/rejection test.</x:v>
      </x:c>
      <x:c r="G39" s="104" t="str"/>
      <x:c r="H39" s="104" t="str">
        <x:v>audit/erb_20260907/firmware_tests/identity_before.log
audit/erb_20260907/firmware_tests/identity_after.log
firmware/productization_candidate/cca_telemetry/src/oil_model.cpp
tools/productization/factory_station/station.py</x:v>
      </x:c>
    </x:row>
    <x:row r="40" ht="120" customHeight="1">
      <x:c r="A40" s="104" t="str">
        <x:v>ERB-FW-04</x:v>
      </x:c>
      <x:c r="B40" s="104" t="str">
        <x:v>CORRECTED IN REV B</x:v>
      </x:c>
      <x:c r="C40" s="104" t="str">
        <x:v>new_verified_defect</x:v>
      </x:c>
      <x:c r="D40" s="104" t="str">
        <x:v>An inactive/expired BLE backoff deadline becomes future again after signed half-wrap, stopping notifications at roughly24.85days.</x:v>
      </x:c>
      <x:c r="E40" s="104" t="str">
        <x:v>Explicit active backoff state clears expired deadline; half-wrap/full-wrap regressions.</x:v>
      </x:c>
      <x:c r="F40" s="104" t="str">
        <x:v>target scheduling test. Long physical soak is not claimed.</x:v>
      </x:c>
      <x:c r="G40" s="104" t="str"/>
      <x:c r="H40" s="104" t="str">
        <x:v>audit/erb_20260907/firmware_tests/backoff_before.log
audit/erb_20260907/firmware_tests/diagnostics_after.log
firmware/productization_candidate/cca_telemetry/src/runtime_timing.h</x:v>
      </x:c>
    </x:row>
    <x:row r="41" ht="120" customHeight="1">
      <x:c r="A41" s="104" t="str">
        <x:v>ERB-FW-05</x:v>
      </x:c>
      <x:c r="B41" s="104" t="str">
        <x:v>CORRECTED IN REV B</x:v>
      </x:c>
      <x:c r="C41" s="104" t="str">
        <x:v>new_review_requirement_gap</x:v>
      </x:c>
      <x:c r="D41" s="104" t="str">
        <x:v>Reset reason existed but no retained boot sequence diagnostic.</x:v>
      </x:c>
      <x:c r="E41" s="104" t="str">
        <x:v>Saturating RTC record with magic/inverse checks, clear on power-on/lostrecord; no NVS writes.</x:v>
      </x:c>
      <x:c r="F41" s="104" t="str">
        <x:v>Validate RTC retention on target reset classes; hard power-loss persistence intentionally not claimed.</x:v>
      </x:c>
      <x:c r="G41" s="104" t="str"/>
      <x:c r="H41" s="104" t="str">
        <x:v>firmware/productization_candidate/cca_telemetry/src/boot_diagnostics.h
audit/erb_20260907/firmware_tests/diagnostics_after.log</x:v>
      </x:c>
    </x:row>
    <x:row r="42" ht="120" customHeight="1">
      <x:c r="A42" s="104" t="str">
        <x:v>ERB-FW-06</x:v>
      </x:c>
      <x:c r="B42" s="104" t="str">
        <x:v>OPEN</x:v>
      </x:c>
      <x:c r="C42" s="104" t="str">
        <x:v>unclosed_design_budget</x:v>
      </x:c>
      <x:c r="D42" s="104" t="str">
        <x:v>120notification/s sharedcap cannot preserve every whitelist nominal25Hz rate simultaneously; desired per-channel minima and worst-phone budget undefined.</x:v>
      </x:c>
      <x:c r="E42" s="104" t="str">
        <x:v>Freeze channel/rate/latency budget, then validate/adapt coalescing/priorities against measured transport.</x:v>
      </x:c>
      <x:c r="F42" s="104" t="str"/>
      <x:c r="G42" s="104" t="str"/>
      <x:c r="H42" s="104" t="str">
        <x:v>firmware/productization_candidate/cca_telemetry/cca_telemetry.ino
firmware/productization_candidate/cca_telemetry/pidmaps/gr86_2022.h</x:v>
      </x:c>
    </x:row>
    <x:row r="43" ht="120" customHeight="1">
      <x:c r="A43" s="104" t="str">
        <x:v>ERB-FW-07</x:v>
      </x:c>
      <x:c r="B43" s="104" t="str">
        <x:v>OPEN</x:v>
      </x:c>
      <x:c r="C43" s="104" t="str">
        <x:v>known_physical_qualification_hold</x:v>
      </x:c>
      <x:c r="D43" s="104" t="str">
        <x:v>No Rev B programming, CAN physical reception/non-interference, BLE phone recovery/range, GPS or ADC hardware execution exists.</x:v>
      </x:c>
      <x:c r="E43" s="104" t="str">
        <x:v>Complete staged first-article and independent bus/phone tests before vehicle/product claim.</x:v>
      </x:c>
      <x:c r="F43" s="104" t="str"/>
      <x:c r="G43" s="104" t="str"/>
      <x:c r="H43" s="104" t="str">
        <x:v>BRING_UP_PLAN.md
STATUS.md</x:v>
      </x:c>
    </x:row>
    <x:row r="44" ht="120" customHeight="1">
      <x:c r="A44" s="104" t="str">
        <x:v>ERB-FW-08</x:v>
      </x:c>
      <x:c r="B44" s="104" t="str">
        <x:v>CORRECTED IN REV B</x:v>
      </x:c>
      <x:c r="C44" s="104" t="str">
        <x:v>integration_hold_created_by_corrective_source</x:v>
      </x:c>
      <x:c r="D44" s="104" t="str">
        <x:v>Corrective source, exact N8R2 images and station are synchronized in the current factory packet; all34 native manufacturing checks pass. Source/artwork and frozen gates are unchanged.</x:v>
      </x:c>
      <x:c r="E44" s="104" t="str">
        <x:v>Copied exact2.1.1 firmware and station; reconciled guides/v4 identities, preserved predecessor packet, refreshed actual output hashes and ran native parity.</x:v>
      </x:c>
      <x:c r="F44" s="104" t="str">
        <x:v>No physical programming/commissioning or supplier allocation is claimed.</x:v>
      </x:c>
      <x:c r="G44" s="104" t="str"/>
      <x:c r="H44" s="104" t="str">
        <x:v>audit/erb_20260907/manufacturing/PACKET_SYNC_RECORD.json
audit/erb_20260907/manufacturing/NATIVE_OUTPUT_CHECK.log
manufacturing/product/OUTPUT_CHECKS.json
firmware/productization_candidate/BUILD_MANIFEST.json</x:v>
      </x:c>
    </x:row>
    <x:row r="45" ht="120" customHeight="1">
      <x:c r="A45" s="104" t="str">
        <x:v>ERB-FW-09</x:v>
      </x:c>
      <x:c r="B45" s="104" t="str">
        <x:v>CORRECTED IN REV B</x:v>
      </x:c>
      <x:c r="C45" s="104" t="str">
        <x:v>new_verified_requirement_gap</x:v>
      </x:c>
      <x:c r="D45" s="104" t="str">
        <x:v>Runtime profile/rate/dividers save is three independent NVS key writes, not an atomic configuration transaction.</x:v>
      </x:c>
      <x:c r="E45" s="104" t="str">
        <x:v>Single version1 CRC snapshot, bounds/duplicate validation, explicit defaults and readback;19 mocked-NVS implementation tests pass.</x:v>
      </x:c>
      <x:c r="F45" s="104" t="str">
        <x:v>physical interrupted-flash tests remain required.</x:v>
      </x:c>
      <x:c r="G45" s="104" t="str"/>
      <x:c r="H45" s="104" t="str">
        <x:v>firmware/productization_candidate/cca_telemetry/cca_telemetry.ino
firmware/productization_candidate/cca_telemetry/src/runtime_config.cpp
audit/erb_20260907/firmware_tests/runtime_config_after.log</x:v>
      </x:c>
    </x:row>
    <x:row r="46" ht="120" customHeight="1">
      <x:c r="A46" s="104" t="str">
        <x:v>ERB-ADC-01</x:v>
      </x:c>
      <x:c r="B46" s="104" t="str">
        <x:v>OPEN</x:v>
      </x:c>
      <x:c r="C46" s="104" t="str">
        <x:v>Missing engineering acceptance evidence</x:v>
      </x:c>
      <x:c r="D46" s="104" t="str">
        <x:v>No accepted alias/interference error allocation for the actual burst acquisition and 50 Hz output sampling.</x:v>
      </x:c>
      <x:c r="E46" s="104" t="str">
        <x:v>Use quantified screen and measured spectra to accept current design or select controlled acquisition/decimation or analog changes.</x:v>
      </x:c>
      <x:c r="F46" s="104" t="str"/>
      <x:c r="G46" s="104" t="str">
        <x:v>ADC-07</x:v>
      </x:c>
      <x:c r="H46" s="104" t="str"/>
    </x:row>
    <x:row r="47" ht="120" customHeight="1">
      <x:c r="A47" s="104" t="str">
        <x:v>ERB-ADC-02</x:v>
      </x:c>
      <x:c r="B47" s="104" t="str">
        <x:v>OPEN</x:v>
      </x:c>
      <x:c r="C47" s="104" t="str">
        <x:v>Missing product performance requirement</x:v>
      </x:c>
      <x:c r="D47" s="104" t="str">
        <x:v>No minimum valid pressure-drop duration/depth or end-to-end latency requirement; nominal filtering attenuates a100 ms drop to47–55% published depth.</x:v>
      </x:c>
      <x:c r="E47" s="104" t="str">
        <x:v>Set an explicit trend-versus-transient requirement and verify sensor-to-phone pulses; do not label the present attenuation a defect without the requirement.</x:v>
      </x:c>
      <x:c r="F47" s="104" t="str"/>
      <x:c r="G47" s="104" t="str">
        <x:v>ADC-08</x:v>
      </x:c>
      <x:c r="H47" s="104" t="str"/>
    </x:row>
    <x:row r="48" ht="120" customHeight="1">
      <x:c r="A48" s="104" t="str">
        <x:v>ERB-ADC-03</x:v>
      </x:c>
      <x:c r="B48" s="104" t="str">
        <x:v>CORRECTED IN REV B</x:v>
      </x:c>
      <x:c r="C48" s="104" t="str">
        <x:v>Concrete firmware integrity defect; source correction verified</x:v>
      </x:c>
      <x:c r="D48" s="104" t="str">
        <x:v>Reviewed v3 calibration CRC/version does not bind the record to device identity; copied valid NVS can be accepted by another board.</x:v>
      </x:c>
      <x:c r="E48" s="104" t="str">
        <x:v>Firmware owner implemented CRC-covered eFuse identity and version4. Before/after actual load-save wrapper tests reproduce v3 failure and verify v4 rejection; final embedded build is owned by firmware lane. Physical calibration/retention acceptance remains OPEN.</x:v>
      </x:c>
      <x:c r="F48" s="104" t="str"/>
      <x:c r="G48" s="104" t="str">
        <x:v>ADC-13</x:v>
      </x:c>
      <x:c r="H48" s="104" t="str"/>
    </x:row>
    <x:row r="49" ht="120" customHeight="1">
      <x:c r="A49" s="104" t="str">
        <x:v>ERB-ENV-01</x:v>
      </x:c>
      <x:c r="B49" s="104" t="str">
        <x:v>OPEN</x:v>
      </x:c>
      <x:c r="C49" s="104" t="str">
        <x:v>Missing environmental qualification definition</x:v>
      </x:c>
      <x:c r="D49" s="104" t="str">
        <x:v>Operating/storage/life and installation-specific cycle, vibration, moisture/coating and service-stress acceptance are not controlled.</x:v>
      </x:c>
      <x:c r="E49" s="104" t="str">
        <x:v>Define final mounting/enclosure, environmental envelope and test criteria; preserve current65°C as an engineering screen rather than achieved operating/storage rating.</x:v>
      </x:c>
      <x:c r="F49" s="104" t="str"/>
      <x:c r="G49" s="104" t="str">
        <x:v>THERM-01, THERM-03, THERM-05, THERM-06, THERM-07, THERM-08, THERM-09, EMC-08</x:v>
      </x:c>
      <x:c r="H49" s="104" t="str"/>
    </x:row>
    <x:row r="50" ht="120" customHeight="1">
      <x:c r="A50" s="104" t="str">
        <x:v>ERB-ENV-02</x:v>
      </x:c>
      <x:c r="B50" s="104" t="str">
        <x:v>OPEN</x:v>
      </x:c>
      <x:c r="C50" s="104" t="str">
        <x:v>Missing complete junction-temperature calculation</x:v>
      </x:c>
      <x:c r="D50" s="104" t="str">
        <x:v>Loss estimates exist, but no source-matched final enclosure/PCB model enumerates critical junction temperatures under worst combined loads.</x:v>
      </x:c>
      <x:c r="E50" s="104" t="str">
        <x:v>Produce applied-loss/thermal-resistance/stress estimates and correlate on a powered first article; do not substitute nominal thetaJA for actual installed performance.</x:v>
      </x:c>
      <x:c r="F50" s="104" t="str"/>
      <x:c r="G50" s="104" t="str">
        <x:v>THERM-02</x:v>
      </x:c>
      <x:c r="H50" s="104" t="str"/>
    </x:row>
    <x:row r="51" ht="120" customHeight="1">
      <x:c r="A51" s="104" t="str">
        <x:v>ERB-EMC-01</x:v>
      </x:c>
      <x:c r="B51" s="104" t="str">
        <x:v>OPEN</x:v>
      </x:c>
      <x:c r="C51" s="104" t="str">
        <x:v>Missing product EMC applicability and acceptance definition</x:v>
      </x:c>
      <x:c r="D51" s="104" t="str">
        <x:v>No standards/edition/severity/fixture/functional-class matrix or complete accessible-point ESD plan is controlled.</x:v>
      </x:c>
      <x:c r="E51" s="104" t="str">
        <x:v>Define scope with test provider, freeze representative harness/enclosure/antenna and pass/fail behavior; physical EMC measurements remain separate holds.</x:v>
      </x:c>
      <x:c r="F51" s="104" t="str"/>
      <x:c r="G51" s="104" t="str">
        <x:v>EMC-01, EMC-05, EMC-08, EMC-09</x:v>
      </x:c>
      <x:c r="H51" s="104" t="str"/>
    </x:row>
    <x:row r="52">
      <x:c r="A52" s="104"/>
      <x:c r="B52" s="104"/>
      <x:c r="C52" s="104"/>
      <x:c r="D52" s="104"/>
      <x:c r="E52" s="104"/>
      <x:c r="F52" s="104"/>
      <x:c r="G52" s="104"/>
      <x:c r="H52" s="104"/>
    </x:row>
  </x:sheetData>
  <x:mergeCells>
    <x:mergeCell ref="A1:H1"/>
    <x:mergeCell ref="A2:H2"/>
  </x:mergeCells>
  <x:pageMargins left="0.7" right="0.7" top="0.75" bottom="0.75" header="0.3" footer="0.3"/>
  <x:tableParts count="1">
    <x:tablePart xmlns:r="http://schemas.openxmlformats.org/officeDocument/2006/relationships" r:id="Rc95f7cc1ca7840e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s>
  <x:sheetData>
    <x:row r="1" ht="40" customHeight="1">
      <x:c r="A1" s="76" t="str">
        <x:v>SECOND-SIDE ASSEMBLY | incremental fixed cost</x:v>
      </x:c>
      <x:c r="B1" s="76" t="str">
        <x:v>SECOND-SIDE ASSEMBLY | incremental fixed cost</x:v>
      </x:c>
      <x:c r="C1" s="76" t="str">
        <x:v>SECOND-SIDE ASSEMBLY | incremental fixed cost</x:v>
      </x:c>
      <x:c r="D1" s="76" t="str">
        <x:v>SECOND-SIDE ASSEMBLY | incremental fixed cost</x:v>
      </x:c>
      <x:c r="E1" s="76" t="str">
        <x:v>SECOND-SIDE ASSEMBLY | incremental fixed cost</x:v>
      </x:c>
      <x:c r="F1" s="76" t="str">
        <x:v>SECOND-SIDE ASSEMBLY | incremental fixed cost</x:v>
      </x:c>
    </x:row>
    <x:row r="2" ht="25" customHeight="1">
      <x:c r="A2" s="109"/>
      <x:c r="B2" s="109"/>
      <x:c r="C2" s="109"/>
      <x:c r="D2" s="109"/>
      <x:c r="E2" s="109"/>
      <x:c r="F2" s="109"/>
    </x:row>
    <x:row r="3" ht="45" customHeight="1">
      <x:c r="A3" s="78" t="str">
        <x:v>JLCPCB Standard PCBA comparison with the same BOM. USD inputs below are published fees, not a quote for this board.</x:v>
      </x:c>
      <x:c r="B3" s="78" t="str">
        <x:v>JLCPCB Standard PCBA comparison with the same BOM. USD inputs below are published fees, not a quote for this board.</x:v>
      </x:c>
      <x:c r="C3" s="78" t="str">
        <x:v>JLCPCB Standard PCBA comparison with the same BOM. USD inputs below are published fees, not a quote for this board.</x:v>
      </x:c>
      <x:c r="D3" s="78" t="str">
        <x:v>JLCPCB Standard PCBA comparison with the same BOM. USD inputs below are published fees, not a quote for this board.</x:v>
      </x:c>
      <x:c r="E3" s="78" t="str">
        <x:v>JLCPCB Standard PCBA comparison with the same BOM. USD inputs below are published fees, not a quote for this board.</x:v>
      </x:c>
      <x:c r="F3" s="78" t="str">
        <x:v>JLCPCB Standard PCBA comparison with the same BOM. USD inputs below are published fees, not a quote for this board.</x:v>
      </x:c>
    </x:row>
    <x:row r="4" ht="25" customHeight="1">
      <x:c r="A4" s="109"/>
      <x:c r="B4" s="109"/>
      <x:c r="C4" s="109"/>
      <x:c r="D4" s="109"/>
      <x:c r="E4" s="109"/>
      <x:c r="F4" s="109"/>
    </x:row>
    <x:row r="5" ht="25" customHeight="1">
      <x:c r="A5" s="84" t="str">
        <x:v>Fee, USD/order</x:v>
      </x:c>
      <x:c r="B5" s="84" t="str">
        <x:v>Single side</x:v>
      </x:c>
      <x:c r="C5" s="84" t="str">
        <x:v>Double side</x:v>
      </x:c>
      <x:c r="D5" s="84" t="str">
        <x:v>Increment</x:v>
      </x:c>
      <x:c r="E5" s="109"/>
      <x:c r="F5" s="109"/>
    </x:row>
    <x:row r="6" ht="25" customHeight="1">
      <x:c r="A6" s="109" t="str">
        <x:v>Setup</x:v>
      </x:c>
      <x:c r="B6" s="112" t="n">
        <x:v>25.56</x:v>
      </x:c>
      <x:c r="C6" s="112" t="n">
        <x:v>51.12</x:v>
      </x:c>
      <x:c r="D6" s="113" t="n">
        <x:f>C6-B6</x:f>
        <x:v>25.56</x:v>
      </x:c>
      <x:c r="E6" s="109"/>
      <x:c r="F6" s="109"/>
    </x:row>
    <x:row r="7" ht="25" customHeight="1">
      <x:c r="A7" s="109" t="str">
        <x:v>Stencil</x:v>
      </x:c>
      <x:c r="B7" s="112" t="n">
        <x:v>8.21</x:v>
      </x:c>
      <x:c r="C7" s="112" t="n">
        <x:v>16.42</x:v>
      </x:c>
      <x:c r="D7" s="113" t="n">
        <x:f>C7-B7</x:f>
        <x:v>8.21</x:v>
      </x:c>
      <x:c r="E7" s="109"/>
      <x:c r="F7" s="109"/>
    </x:row>
    <x:row r="8" ht="25" customHeight="1">
      <x:c r="A8" s="78" t="str">
        <x:v>Fixed total</x:v>
      </x:c>
      <x:c r="B8" s="115" t="n">
        <x:f>SUM(B6:B7)</x:f>
        <x:v>33.769999999999996</x:v>
      </x:c>
      <x:c r="C8" s="115" t="n">
        <x:f>SUM(C6:C7)</x:f>
        <x:v>67.53999999999999</x:v>
      </x:c>
      <x:c r="D8" s="115" t="n">
        <x:f>C8-B8</x:f>
        <x:v>33.769999999999996</x:v>
      </x:c>
      <x:c r="E8" s="109"/>
      <x:c r="F8" s="109"/>
    </x:row>
    <x:row r="9" ht="25" customHeight="1">
      <x:c r="A9" s="109"/>
      <x:c r="B9" s="109"/>
      <x:c r="C9" s="109"/>
      <x:c r="D9" s="109"/>
      <x:c r="E9" s="109"/>
      <x:c r="F9" s="109"/>
    </x:row>
    <x:row r="10" ht="25" customHeight="1">
      <x:c r="A10" s="109"/>
      <x:c r="B10" s="109"/>
      <x:c r="C10" s="109"/>
      <x:c r="D10" s="109"/>
      <x:c r="E10" s="109"/>
      <x:c r="F10" s="109"/>
    </x:row>
    <x:row r="11" ht="35" customHeight="1">
      <x:c r="A11" s="84" t="str">
        <x:v>Order quantity, boards</x:v>
      </x:c>
      <x:c r="B11" s="84" t="str">
        <x:v>Increment, USD/board</x:v>
      </x:c>
      <x:c r="C11" s="109"/>
      <x:c r="D11" s="109"/>
      <x:c r="E11" s="109"/>
      <x:c r="F11" s="109"/>
    </x:row>
    <x:row r="12" ht="25" customHeight="1">
      <x:c r="A12" s="116" t="n">
        <x:v>5</x:v>
      </x:c>
      <x:c r="B12" s="113" t="n">
        <x:f>$D$8/A12</x:f>
        <x:v>6.754</x:v>
      </x:c>
      <x:c r="C12" s="109"/>
      <x:c r="D12" s="109"/>
      <x:c r="E12" s="109"/>
      <x:c r="F12" s="109"/>
    </x:row>
    <x:row r="13" ht="25" customHeight="1">
      <x:c r="A13" s="116" t="n">
        <x:v>10</x:v>
      </x:c>
      <x:c r="B13" s="113" t="n">
        <x:f>$D$8/A13</x:f>
        <x:v>3.377</x:v>
      </x:c>
      <x:c r="C13" s="109"/>
      <x:c r="D13" s="109"/>
      <x:c r="E13" s="109"/>
      <x:c r="F13" s="109"/>
    </x:row>
    <x:row r="14" ht="25" customHeight="1">
      <x:c r="A14" s="116" t="n">
        <x:v>25</x:v>
      </x:c>
      <x:c r="B14" s="113" t="n">
        <x:f>$D$8/A14</x:f>
        <x:v>1.3507999999999998</x:v>
      </x:c>
      <x:c r="C14" s="109"/>
      <x:c r="D14" s="109"/>
      <x:c r="E14" s="109"/>
      <x:c r="F14" s="109"/>
    </x:row>
    <x:row r="15" ht="25" customHeight="1">
      <x:c r="A15" s="116" t="n">
        <x:v>100</x:v>
      </x:c>
      <x:c r="B15" s="113" t="n">
        <x:f>$D$8/A15</x:f>
        <x:v>0.33769999999999994</x:v>
      </x:c>
      <x:c r="C15" s="109"/>
      <x:c r="D15" s="109"/>
      <x:c r="E15" s="109"/>
      <x:c r="F15" s="109"/>
    </x:row>
    <x:row r="16" ht="25" customHeight="1">
      <x:c r="A16" s="109"/>
      <x:c r="B16" s="109"/>
      <x:c r="C16" s="109"/>
      <x:c r="D16" s="109"/>
      <x:c r="E16" s="109"/>
      <x:c r="F16" s="109"/>
    </x:row>
    <x:row r="17" ht="65" customHeight="1">
      <x:c r="A17" s="78" t="str">
        <x:v>Current build: 73 factory components top, 71 bottom. Second-side assembly supports functional zoning and fits the expanded circuits in the retained 88.25 × 41.29 mm outline. No quantified single-side redesign comparison proves it necessary or optimal.</x:v>
      </x:c>
      <x:c r="B17" s="78" t="str">
        <x:v>Current build: 73 factory components top, 71 bottom. Second-side assembly supports functional zoning and fits the expanded circuits in the retained 88.25 × 41.29 mm outline. No quantified single-side redesign comparison proves it necessary or optimal.</x:v>
      </x:c>
      <x:c r="C17" s="78" t="str">
        <x:v>Current build: 73 factory components top, 71 bottom. Second-side assembly supports functional zoning and fits the expanded circuits in the retained 88.25 × 41.29 mm outline. No quantified single-side redesign comparison proves it necessary or optimal.</x:v>
      </x:c>
      <x:c r="D17" s="78" t="str">
        <x:v>Current build: 73 factory components top, 71 bottom. Second-side assembly supports functional zoning and fits the expanded circuits in the retained 88.25 × 41.29 mm outline. No quantified single-side redesign comparison proves it necessary or optimal.</x:v>
      </x:c>
      <x:c r="E17" s="78" t="str">
        <x:v>Current build: 73 factory components top, 71 bottom. Second-side assembly supports functional zoning and fits the expanded circuits in the retained 88.25 × 41.29 mm outline. No quantified single-side redesign comparison proves it necessary or optimal.</x:v>
      </x:c>
      <x:c r="F17" s="78" t="str">
        <x:v>Current build: 73 factory components top, 71 bottom. Second-side assembly supports functional zoning and fits the expanded circuits in the retained 88.25 × 41.29 mm outline. No quantified single-side redesign comparison proves it necessary or optimal.</x:v>
      </x:c>
    </x:row>
    <x:row r="18" ht="25" customHeight="1">
      <x:c r="A18" s="109"/>
      <x:c r="B18" s="109"/>
      <x:c r="C18" s="109"/>
      <x:c r="D18" s="109"/>
      <x:c r="E18" s="109"/>
      <x:c r="F18" s="109"/>
    </x:row>
    <x:row r="19" ht="60" customHeight="1">
      <x:c r="A19" s="80" t="str">
        <x:v>Setup/stencil difference only. Fixtures, retention/reflow, feeder loading, through-hole work and job-specific charges may alter the actual quote. Total solder-joint count does not double merely because components occupy both sides.</x:v>
      </x:c>
      <x:c r="B19" s="80" t="str">
        <x:v>Setup/stencil difference only. Fixtures, retention/reflow, feeder loading, through-hole work and job-specific charges may alter the actual quote. Total solder-joint count does not double merely because components occupy both sides.</x:v>
      </x:c>
      <x:c r="C19" s="80" t="str">
        <x:v>Setup/stencil difference only. Fixtures, retention/reflow, feeder loading, through-hole work and job-specific charges may alter the actual quote. Total solder-joint count does not double merely because components occupy both sides.</x:v>
      </x:c>
      <x:c r="D19" s="80" t="str">
        <x:v>Setup/stencil difference only. Fixtures, retention/reflow, feeder loading, through-hole work and job-specific charges may alter the actual quote. Total solder-joint count does not double merely because components occupy both sides.</x:v>
      </x:c>
      <x:c r="E19" s="80" t="str">
        <x:v>Setup/stencil difference only. Fixtures, retention/reflow, feeder loading, through-hole work and job-specific charges may alter the actual quote. Total solder-joint count does not double merely because components occupy both sides.</x:v>
      </x:c>
      <x:c r="F19" s="80" t="str">
        <x:v>Setup/stencil difference only. Fixtures, retention/reflow, feeder loading, through-hole work and job-specific charges may alter the actual quote. Total solder-joint count does not double merely because components occupy both sides.</x:v>
      </x:c>
    </x:row>
    <x:row r="20" ht="25" customHeight="1">
      <x:c r="A20" s="109"/>
      <x:c r="B20" s="109"/>
      <x:c r="C20" s="109"/>
      <x:c r="D20" s="109"/>
      <x:c r="E20" s="109"/>
      <x:c r="F20" s="109"/>
    </x:row>
    <x:row r="21" ht="45" customHeight="1">
      <x:c r="A21" s="78" t="str">
        <x:v>Source: https://jlcpcb.com/help/article/pcb-assembly-price — updated 2026-08-20, accessed 2026-09-07.</x:v>
      </x:c>
      <x:c r="B21" s="78" t="str">
        <x:v>Source: https://jlcpcb.com/help/article/pcb-assembly-price — updated 2026-08-20, accessed 2026-09-07.</x:v>
      </x:c>
      <x:c r="C21" s="78" t="str">
        <x:v>Source: https://jlcpcb.com/help/article/pcb-assembly-price — updated 2026-08-20, accessed 2026-09-07.</x:v>
      </x:c>
      <x:c r="D21" s="78" t="str">
        <x:v>Source: https://jlcpcb.com/help/article/pcb-assembly-price — updated 2026-08-20, accessed 2026-09-07.</x:v>
      </x:c>
      <x:c r="E21" s="78" t="str">
        <x:v>Source: https://jlcpcb.com/help/article/pcb-assembly-price — updated 2026-08-20, accessed 2026-09-07.</x:v>
      </x:c>
      <x:c r="F21" s="78" t="str">
        <x:v>Source: https://jlcpcb.com/help/article/pcb-assembly-price — updated 2026-08-20, accessed 2026-09-07.</x:v>
      </x:c>
    </x:row>
    <x:row r="22" ht="25" customHeight="1">
      <x:c r="A22" s="109"/>
      <x:c r="B22" s="109"/>
      <x:c r="C22" s="109"/>
      <x:c r="D22" s="109"/>
      <x:c r="E22" s="109"/>
      <x:c r="F22" s="109"/>
    </x:row>
    <x:row r="23" ht="25" customHeight="1">
      <x:c r="A23" s="109"/>
      <x:c r="B23" s="109"/>
      <x:c r="C23" s="109"/>
      <x:c r="D23" s="109"/>
      <x:c r="E23" s="109"/>
      <x:c r="F23" s="109"/>
    </x:row>
    <x:row r="24" ht="25" customHeight="1">
      <x:c r="A24" s="109"/>
      <x:c r="B24" s="109"/>
      <x:c r="C24" s="109"/>
      <x:c r="D24" s="109"/>
      <x:c r="E24" s="109"/>
      <x:c r="F24" s="109"/>
    </x:row>
  </x:sheetData>
  <x:mergeCells>
    <x:mergeCell ref="A1:F1"/>
    <x:mergeCell ref="A3:F3"/>
    <x:mergeCell ref="A17:F17"/>
    <x:mergeCell ref="A19:F19"/>
    <x:mergeCell ref="A21:F21"/>
  </x:mergeCells>
  <x:pageMargins left="0.7" right="0.7" top="0.75" bottom="0.75" header="0.3" footer="0.3"/>
  <x:legacyDrawing xmlns:r="http://schemas.openxmlformats.org/officeDocument/2006/relationships" r:id="Ra63f98c813374b4d"/>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3" hidden="0" customWidth="1"/>
    <x:col min="3" max="3" width="62" hidden="0" customWidth="1"/>
    <x:col min="4" max="4" width="80" hidden="0" customWidth="1"/>
    <x:col min="5" max="5" width="70" hidden="0" customWidth="1"/>
    <x:col min="6" max="6" width="24" hidden="0" customWidth="1"/>
    <x:col min="7" max="7" width="18" hidden="0" customWidth="1"/>
    <x:col min="8" max="8" width="18" hidden="0" customWidth="1"/>
    <x:col min="9" max="9" width="60" hidden="0" customWidth="1"/>
    <x:col min="10" max="10" width="75" hidden="0" customWidth="1"/>
    <x:col min="11" max="11" width="90" hidden="0" customWidth="1"/>
    <x:col min="12" max="12" width="78" hidden="0" customWidth="1"/>
    <x:col min="13" max="13" width="22" hidden="0" customWidth="1"/>
    <x:col min="14" max="14" width="22" hidden="0" customWidth="1"/>
    <x:col min="15" max="15" width="13" hidden="0" customWidth="1"/>
  </x:cols>
  <x:sheetData>
    <x:row r="1" ht="32" customHeight="1">
      <x:c r="A1" s="244" t="str">
        <x:v>HISTORICAL / SUPERSEDED — Board Vetting | Current review: RVB22 Current</x:v>
      </x:c>
      <x:c r="B1" s="244" t="str">
        <x:v>HISTORICAL | Board Vetting | predecessor evidence retained</x:v>
      </x:c>
      <x:c r="C1" s="244" t="str">
        <x:v>HISTORICAL | Board Vetting | predecessor evidence retained</x:v>
      </x:c>
      <x:c r="D1" s="244" t="str">
        <x:v>HISTORICAL | Board Vetting | predecessor evidence retained</x:v>
      </x:c>
      <x:c r="E1" s="244" t="str">
        <x:v>HISTORICAL | Board Vetting | predecessor evidence retained</x:v>
      </x:c>
      <x:c r="F1" s="244" t="str">
        <x:v>HISTORICAL | Board Vetting | predecessor evidence retained</x:v>
      </x:c>
      <x:c r="G1" s="244" t="str">
        <x:v>HISTORICAL | Board Vetting | predecessor evidence retained</x:v>
      </x:c>
      <x:c r="H1" s="244" t="str">
        <x:v>HISTORICAL | Board Vetting | predecessor evidence retained</x:v>
      </x:c>
      <x:c r="I1" s="140" t="str">
        <x:v>HISTORICAL | Board Vetting | predecessor evidence retained</x:v>
      </x:c>
      <x:c r="J1" s="140" t="str">
        <x:v>HISTORICAL | Board Vetting | predecessor evidence retained</x:v>
      </x:c>
      <x:c r="K1" s="140" t="str">
        <x:v>HISTORICAL | Board Vetting | predecessor evidence retained</x:v>
      </x:c>
      <x:c r="L1" s="140" t="str">
        <x:v>HISTORICAL | Board Vetting | predecessor evidence retained</x:v>
      </x:c>
      <x:c r="M1" s="140" t="str">
        <x:v>HISTORICAL | Board Vetting | predecessor evidence retained</x:v>
      </x:c>
      <x:c r="N1" s="140" t="str">
        <x:v>HISTORICAL | Board Vetting | predecessor evidence retained</x:v>
      </x:c>
      <x:c r="O1" s="140" t="str">
        <x:v>HISTORICAL | Board Vetting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c r="I2" s="145" t="str">
        <x:v>These dated predecessor observations are preserved. Current source corrections and criterion dispositions are in Online Resolution and Final Review. This historical sheet is not current release authority.</x:v>
      </x:c>
      <x:c r="J2" s="145" t="str">
        <x:v>These dated predecessor observations are preserved. Current source corrections and criterion dispositions are in Online Resolution and Final Review. This historical sheet is not current release authority.</x:v>
      </x:c>
      <x:c r="K2" s="145" t="str">
        <x:v>These dated predecessor observations are preserved. Current source corrections and criterion dispositions are in Online Resolution and Final Review. This historical sheet is not current release authority.</x:v>
      </x:c>
      <x:c r="L2" s="145" t="str">
        <x:v>These dated predecessor observations are preserved. Current source corrections and criterion dispositions are in Online Resolution and Final Review. This historical sheet is not current release authority.</x:v>
      </x:c>
      <x:c r="M2" s="145" t="str">
        <x:v>These dated predecessor observations are preserved. Current source corrections and criterion dispositions are in Online Resolution and Final Review. This historical sheet is not current release authority.</x:v>
      </x:c>
      <x:c r="N2" s="145" t="str">
        <x:v>These dated predecessor observations are preserved. Current source corrections and criterion dispositions are in Online Resolution and Final Review. This historical sheet is not current release authority.</x:v>
      </x:c>
      <x:c r="O2" s="145" t="str">
        <x:v>These dated predecessor observations are preserved. Current source corrections and criterion dispositions are in Online Resolution and Final Review. This historical sheet is not current release authority.</x:v>
      </x:c>
    </x:row>
    <x:row r="3" ht="26" customHeight="1">
      <x:c r="A3" s="104"/>
      <x:c r="B3" s="104"/>
      <x:c r="C3" s="104"/>
      <x:c r="D3" s="104"/>
      <x:c r="E3" s="104"/>
      <x:c r="F3" s="104"/>
      <x:c r="G3" s="104"/>
      <x:c r="H3" s="104"/>
      <x:c r="I3" s="104"/>
      <x:c r="J3" s="104"/>
      <x:c r="K3" s="104"/>
      <x:c r="L3" s="104"/>
      <x:c r="M3" s="104"/>
      <x:c r="N3" s="104"/>
      <x:c r="O3" s="104"/>
    </x:row>
    <x:row r="4" ht="45" customHeight="1">
      <x:c r="A4" s="122" t="str">
        <x:v>Question ID</x:v>
      </x:c>
      <x:c r="B4" s="122" t="str">
        <x:v>Domain</x:v>
      </x:c>
      <x:c r="C4" s="122" t="str">
        <x:v>Expected condition</x:v>
      </x:c>
      <x:c r="D4" s="122" t="str">
        <x:v>Observed actual board / source</x:v>
      </x:c>
      <x:c r="E4" s="122" t="str">
        <x:v>Specific delta</x:v>
      </x:c>
      <x:c r="F4" s="122" t="str">
        <x:v>Evidence status</x:v>
      </x:c>
      <x:c r="G4" s="122" t="str">
        <x:v>Criterion closure</x:v>
      </x:c>
      <x:c r="H4" s="122" t="str">
        <x:v>RVB-17 closure</x:v>
      </x:c>
      <x:c r="I4" s="122" t="str">
        <x:v>Verification method</x:v>
      </x:c>
      <x:c r="J4" s="122" t="str">
        <x:v>Actual objects / coordinates</x:v>
      </x:c>
      <x:c r="K4" s="122" t="str">
        <x:v>Evidence path / locator</x:v>
      </x:c>
      <x:c r="L4" s="122" t="str">
        <x:v>Remaining work / limitations</x:v>
      </x:c>
      <x:c r="M4" s="122" t="str">
        <x:v>Source investigation complete</x:v>
      </x:c>
      <x:c r="N4" s="122" t="str">
        <x:v>Physical evidence needed</x:v>
      </x:c>
      <x:c r="O4" s="122" t="str">
        <x:v>Priority</x:v>
      </x:c>
    </x:row>
    <x:row r="5" ht="125" customHeight="1">
      <x:c r="A5" s="104" t="str">
        <x:v>CFG-01</x:v>
      </x:c>
      <x:c r="B5" s="104" t="str">
        <x:v>Configuration and review scope</x:v>
      </x:c>
      <x:c r="C5" s="104" t="str">
        <x:v>One configuration cover sheet ties the physical board to CAD, populated BOM, rework list, harness and flashed binary.</x:v>
      </x:c>
      <x:c r="D5" s="104" t="str">
        <x:v>Exact PCB/project, factory population and compiled2.1.1 images are byte-bound to RVB-17. No as-built serial/MAC, fitted harness or flashed-device readback is supplied.</x:v>
      </x:c>
      <x:c r="E5" s="104" t="str">
        <x:v>As-designed identity is established; the requested physical configuration cover sheet cannot be completed from CAD.</x:v>
      </x:c>
      <x:c r="F5" s="104" t="str">
        <x:v>OPEN</x:v>
      </x:c>
      <x:c r="G5" s="104" t="str">
        <x:v>OPEN</x:v>
      </x:c>
      <x:c r="H5" s="104" t="str">
        <x:v>OPEN</x:v>
      </x:c>
      <x:c r="I5" s="104" t="str">
        <x:v>Direct inspection of named current source, configuration/requirements and source-bound evidence; native geometry/circuit details cross-referenced to the specialist lanes.</x:v>
      </x:c>
      <x:c r="J5" s="104" t="str">
        <x:v>GR86_CCA_RevB PCB SHA256 f23c4385941ab87ff8dc43a9206b3c1a3de1032e80f3947fb21943ea2b56e9ca</x:v>
      </x:c>
      <x:c r="K5" s="104" t="str">
        <x:v>audit/board_vetting_20260908/BASELINE_BINDING.json — 3766 predecessor files and all critical source hashes verified
qualification/productization/FIRMWARE_PRODUCT_REVIEW.md — current2.1.1 source contract, calibration and state limits
audit/board_vetting_20260908/lanes/mechanics.json — native envelope, F1, Tag and probe measurements</x:v>
      </x:c>
      <x:c r="L5" s="104" t="str">
        <x:v>Record actual unit, accessories and verified flashed-image identity.</x:v>
      </x:c>
      <x:c r="M5" s="104" t="str">
        <x:v>YES</x:v>
      </x:c>
      <x:c r="N5" s="104" t="str">
        <x:v>YES</x:v>
      </x:c>
      <x:c r="O5" s="104" t="str">
        <x:v>P0</x:v>
      </x:c>
    </x:row>
    <x:row r="6" ht="125" customHeight="1">
      <x:c r="A6" s="104" t="str">
        <x:v>CFG-02</x:v>
      </x:c>
      <x:c r="B6" s="104" t="str">
        <x:v>Configuration and review scope</x:v>
      </x:c>
      <x:c r="C6" s="104" t="str">
        <x:v>Photographs and continuity evidence account for every bodge, removed part, isolation link and test supply.</x:v>
      </x:c>
      <x:c r="D6" s="104" t="str">
        <x:v>The reviewed copper and population are unchanged from the saved candidate. Rev A rework is historical; no photographs or continuity records of assembled Rev B are supplied.</x:v>
      </x:c>
      <x:c r="E6" s="104" t="str">
        <x:v>No as-built/as-tested reconciliation can be inferred from an unchanged CAD hash.</x:v>
      </x:c>
      <x:c r="F6" s="104" t="str">
        <x:v>OPEN</x:v>
      </x:c>
      <x:c r="G6" s="104" t="str">
        <x:v>OPEN</x:v>
      </x:c>
      <x:c r="H6" s="104" t="str">
        <x:v>OPEN</x:v>
      </x:c>
      <x:c r="I6" s="104" t="str">
        <x:v>Direct inspection of named current source, configuration/requirements and source-bound evidence; native geometry/circuit details cross-referenced to the specialist lanes.</x:v>
      </x:c>
      <x:c r="J6" s="104" t="str">
        <x:v>GR86_CCA_RevB PCB SHA256 f23c4385941ab87ff8dc43a9206b3c1a3de1032e80f3947fb21943ea2b56e9ca</x:v>
      </x:c>
      <x:c r="K6" s="104" t="str">
        <x:v>audit/board_vetting_20260908/BASELINE_BINDING.json — 3766 predecessor files and all critical source hashes verified
audit/REV_A_COMPONENT_MASTER.csv — preserved Rev A physical/source evidence</x:v>
      </x:c>
      <x:c r="L6" s="104" t="str">
        <x:v>Reconcile first-article population and every physical alteration against this design.</x:v>
      </x:c>
      <x:c r="M6" s="104" t="str">
        <x:v>YES</x:v>
      </x:c>
      <x:c r="N6" s="104" t="str">
        <x:v>YES</x:v>
      </x:c>
      <x:c r="O6" s="104" t="str">
        <x:v>P0</x:v>
      </x:c>
    </x:row>
    <x:row r="7" ht="125" customHeight="1">
      <x:c r="A7" s="104" t="str">
        <x:v>CFG-03</x:v>
      </x:c>
      <x:c r="B7" s="104" t="str">
        <x:v>Configuration and review scope</x:v>
      </x:c>
      <x:c r="C7" s="104" t="str">
        <x:v>The review charter identifies the requested decision, constraints, approvers and prohibited operations.</x:v>
      </x:c>
      <x:c r="D7" s="104" t="str">
        <x:v>This task is a direct source/PCB design-vetting review with delegated engineering judgment. Fabrication, supplier action and physical operation are outside this action.</x:v>
      </x:c>
      <x:c r="E7" s="104" t="str">
        <x:v>Review scope is explicit; prior wording implying exhaustive board vetting is corrected.</x:v>
      </x:c>
      <x:c r="F7" s="104" t="str">
        <x:v>VERIFIED</x:v>
      </x:c>
      <x:c r="G7" s="104" t="str">
        <x:v>CLOSED</x:v>
      </x:c>
      <x:c r="H7" s="104" t="str">
        <x:v>CLOSED</x:v>
      </x:c>
      <x:c r="I7" s="104" t="str">
        <x:v>Direct inspection of named current source, configuration/requirements and source-bound evidence; native geometry/circuit details cross-referenced to the specialist lanes.</x:v>
      </x:c>
      <x:c r="J7" s="104" t="str">
        <x:v>GR86_CCA_RevB PCB SHA256 f23c4385941ab87ff8dc43a9206b3c1a3de1032e80f3947fb21943ea2b56e9ca</x:v>
      </x:c>
      <x:c r="K7" s="104" t="str">
        <x:v>audit/board_vetting_20260908/VETTING_METHOD.md — scope and allowed evidence</x:v>
      </x:c>
      <x:c r="L7" s="104" t="str">
        <x:v>None for defining this review scope.</x:v>
      </x:c>
      <x:c r="M7" s="104" t="str">
        <x:v>YES</x:v>
      </x:c>
      <x:c r="N7" s="104" t="str">
        <x:v>NO</x:v>
      </x:c>
      <x:c r="O7" s="104" t="str">
        <x:v>P0</x:v>
      </x:c>
    </x:row>
    <x:row r="8" ht="125" customHeight="1">
      <x:c r="A8" s="104" t="str">
        <x:v>CFG-04</x:v>
      </x:c>
      <x:c r="B8" s="104" t="str">
        <x:v>Configuration and review scope</x:v>
      </x:c>
      <x:c r="C8" s="104" t="str">
        <x:v>Evidence precedence and a dated supersession log; no historical issue disappears without disposition.</x:v>
      </x:c>
      <x:c r="D8" s="104" t="str">
        <x:v>The review found additional active-looking historical package, firmware, issue and redline records that disagree with the actual candidate.</x:v>
      </x:c>
      <x:c r="E8" s="104" t="str">
        <x:v>Prior CLOSED disposition overstated complete supersession. Examples include SOIC CAN versus actual DRB, v2/uncompiled firmware versus v4/compiled, and a redline row claiming no PCB.</x:v>
      </x:c>
      <x:c r="F8" s="104" t="str">
        <x:v>OPEN</x:v>
      </x:c>
      <x:c r="G8" s="104" t="str">
        <x:v>OPEN</x:v>
      </x:c>
      <x:c r="H8" s="104" t="str">
        <x:v>CLOSED</x:v>
      </x:c>
      <x:c r="I8" s="104" t="str">
        <x:v>Direct inspection of named current source, configuration/requirements and source-bound evidence; native geometry/circuit details cross-referenced to the specialist lanes.</x:v>
      </x:c>
      <x:c r="J8" s="104" t="str">
        <x:v>GR86_CCA_RevB PCB SHA256 f23c4385941ab87ff8dc43a9206b3c1a3de1032e80f3947fb21943ea2b56e9ca</x:v>
      </x:c>
      <x:c r="K8" s="104" t="str">
        <x:v>qualification/PACKAGE_ACCEPTANCE_REVIEW.md — superseded package/population statements
qualification/FIRMWARE_ELECTRICAL_CONTRACT.md — superseded v2/uncompiled statements
audit/CONTROLLED_REDLINE_CROSSWALK.csv — RL-010 outdated no-PCB statement
audit/board_vetting_20260908/BOARD_VETTING_SUMMARY.md — specific board/software/document deltas and unresolved evidence</x:v>
      </x:c>
      <x:c r="L8" s="104" t="str">
        <x:v>Use the new authority index and complete the remaining documentation reconciliation before release.</x:v>
      </x:c>
      <x:c r="M8" s="104" t="str">
        <x:v>YES</x:v>
      </x:c>
      <x:c r="N8" s="104" t="str">
        <x:v>NO</x:v>
      </x:c>
      <x:c r="O8" s="104" t="str">
        <x:v>P0</x:v>
      </x:c>
    </x:row>
    <x:row r="9" ht="125" customHeight="1">
      <x:c r="A9" s="104" t="str">
        <x:v>CFG-05</x:v>
      </x:c>
      <x:c r="B9" s="104" t="str">
        <x:v>Configuration and review scope</x:v>
      </x:c>
      <x:c r="C9" s="104" t="str">
        <x:v>Named blockers, objective acceptance criteria and authorized sign-off; a status label alone is not closure.</x:v>
      </x:c>
      <x:c r="D9" s="104" t="str">
        <x:v>Overall HOLD is correct, but the prior grouped actions do not provide numerical acceptance criteria for every system-performance and installation condition.</x:v>
      </x:c>
      <x:c r="E9" s="104" t="str">
        <x:v>Named actions alone did not satisfy this criterion; prior CLOSED is downgraded.</x:v>
      </x:c>
      <x:c r="F9" s="104" t="str">
        <x:v>OPEN</x:v>
      </x:c>
      <x:c r="G9" s="104" t="str">
        <x:v>OPEN</x:v>
      </x:c>
      <x:c r="H9" s="104" t="str">
        <x:v>CLOSED</x:v>
      </x:c>
      <x:c r="I9" s="104" t="str">
        <x:v>Direct inspection of named current source, configuration/requirements and source-bound evidence; native geometry/circuit details cross-referenced to the specialist lanes.</x:v>
      </x:c>
      <x:c r="J9" s="104" t="str">
        <x:v>GR86_CCA_RevB PCB SHA256 f23c4385941ab87ff8dc43a9206b3c1a3de1032e80f3947fb21943ea2b56e9ca</x:v>
      </x:c>
      <x:c r="K9" s="104" t="str">
        <x:v>qualification/productization/PRODUCT_REQUIREMENTS.md — requirements1–8 and accepted inputs
audit/board_vetting_20260908/BOARD_VETTING_SUMMARY.md — specific board/software/document deltas and unresolved evidence</x:v>
      </x:c>
      <x:c r="L9" s="104" t="str">
        <x:v>Close or define each specific delta and its acceptance basis; do not blanket-pass an OPEN criterion.</x:v>
      </x:c>
      <x:c r="M9" s="104" t="str">
        <x:v>YES</x:v>
      </x:c>
      <x:c r="N9" s="104" t="str">
        <x:v>NO</x:v>
      </x:c>
      <x:c r="O9" s="104" t="str">
        <x:v>P0</x:v>
      </x:c>
    </x:row>
    <x:row r="10" ht="125" customHeight="1">
      <x:c r="A10" s="104" t="str">
        <x:v>CFG-06</x:v>
      </x:c>
      <x:c r="B10" s="104" t="str">
        <x:v>Configuration and review scope</x:v>
      </x:c>
      <x:c r="C10" s="104" t="str">
        <x:v>Variant matrix with DNP, jumper defaults, antenna options and compatible firmware.</x:v>
      </x:c>
      <x:c r="D10" s="104" t="str">
        <x:v>Current standard population is144 factory refs, U401 manual, R301/R306 DNP and SJ301 open. External RF is fitted; J202/J203 are fitted optional-access features. Only this standard assembly is released as the candidate dataset.</x:v>
      </x:c>
      <x:c r="E10" s="104" t="str">
        <x:v>Native population agrees with current product files; no alternate harness/active-CAN variant is implicitly approved.</x:v>
      </x:c>
      <x:c r="F10" s="104" t="str">
        <x:v>VERIFIED</x:v>
      </x:c>
      <x:c r="G10" s="104" t="str">
        <x:v>CLOSED</x:v>
      </x:c>
      <x:c r="H10" s="104" t="str">
        <x:v>CLOSED</x:v>
      </x:c>
      <x:c r="I10" s="104" t="str">
        <x:v>Direct inspection of named current source, configuration/requirements and source-bound evidence; native geometry/circuit details cross-referenced to the specialist lanes.</x:v>
      </x:c>
      <x:c r="J10" s="104" t="str">
        <x:v>GR86_CCA_RevB PCB SHA256 f23c4385941ab87ff8dc43a9206b3c1a3de1032e80f3947fb21943ea2b56e9ca</x:v>
      </x:c>
      <x:c r="K10" s="104" t="str">
        <x:v>audit/board_vetting_20260908/lanes/layout_mfg.json — actual land patterns, converter loops and manufacturing geometry
audit/board_vetting_20260908/lanes/digital_can.json — native digital/CAN and source timing results
manufacturing/product/OUTPUT_CHECKS.json — native BOM/CPL/population parity</x:v>
      </x:c>
      <x:c r="L10" s="104" t="str">
        <x:v>A future population change must update CAD/BOM/CPL/default firmware together.</x:v>
      </x:c>
      <x:c r="M10" s="104" t="str">
        <x:v>YES</x:v>
      </x:c>
      <x:c r="N10" s="104" t="str">
        <x:v>NO</x:v>
      </x:c>
      <x:c r="O10" s="104" t="str">
        <x:v>P1</x:v>
      </x:c>
    </x:row>
    <x:row r="11" ht="125" customHeight="1">
      <x:c r="A11" s="104" t="str">
        <x:v>CFG-07</x:v>
      </x:c>
      <x:c r="B11" s="104" t="str">
        <x:v>Configuration and review scope</x:v>
      </x:c>
      <x:c r="C11" s="104" t="str">
        <x:v>Assumptions register with owner, verification method and required closure gate.</x:v>
      </x:c>
      <x:c r="D11" s="104" t="str">
        <x:v>Prior assumptions cover many electrical limits but lack complete owner/verification/gate allocation; this direct pass adds current threshold, return, clamp-placement and timing limitations.</x:v>
      </x:c>
      <x:c r="E11" s="104" t="str">
        <x:v>Assumption visibility is incomplete without the new concrete deltas; an existing assumptions file is insufficient closure.</x:v>
      </x:c>
      <x:c r="F11" s="104" t="str">
        <x:v>OPEN</x:v>
      </x:c>
      <x:c r="G11" s="104" t="str">
        <x:v>OPEN</x:v>
      </x:c>
      <x:c r="H11" s="104" t="str">
        <x:v>OPEN</x:v>
      </x:c>
      <x:c r="I11" s="104" t="str">
        <x:v>Direct inspection of named current source, configuration/requirements and source-bound evidence; native geometry/circuit details cross-referenced to the specialist lanes.</x:v>
      </x:c>
      <x:c r="J11" s="104" t="str">
        <x:v>GR86_CCA_RevB PCB SHA256 f23c4385941ab87ff8dc43a9206b3c1a3de1032e80f3947fb21943ea2b56e9ca</x:v>
      </x:c>
      <x:c r="K11" s="104" t="str">
        <x:v>audit/board_vetting_20260908/BOARD_VETTING_SUMMARY.md — specific board/software/document deltas and unresolved evidence
audit/board_vetting_20260908/lanes/power.json — current part stress, fault and threshold calculations
audit/board_vetting_20260908/lanes/analog_thermal.json — actual analog paths and current tolerance/thermal bounds
audit/board_vetting_20260908/lanes/digital_can.json — native digital/CAN and source timing results</x:v>
      </x:c>
      <x:c r="L11" s="104" t="str">
        <x:v>Maintain one current assumption/action list and attach measured or calculated closure to each.</x:v>
      </x:c>
      <x:c r="M11" s="104" t="str">
        <x:v>YES</x:v>
      </x:c>
      <x:c r="N11" s="104" t="str">
        <x:v>NO</x:v>
      </x:c>
      <x:c r="O11" s="104" t="str">
        <x:v>P0</x:v>
      </x:c>
    </x:row>
    <x:row r="12" ht="125" customHeight="1">
      <x:c r="A12" s="104" t="str">
        <x:v>CFG-08</x:v>
      </x:c>
      <x:c r="B12" s="104" t="str">
        <x:v>Configuration and review scope</x:v>
      </x:c>
      <x:c r="C12" s="104" t="str">
        <x:v>Archived tool versions, project-local libraries, generation commands and clean reproducibility check.</x:v>
      </x:c>
      <x:c r="D12" s="104" t="str">
        <x:v>Pinned native9.0.9 successfully opens/checks current source; exact embedded build exists. Full clean drawing/output regeneration and portable populated3D models remain incomplete.</x:v>
      </x:c>
      <x:c r="E12" s="104" t="str">
        <x:v>CAD readability and checker reproduction are established; full clean regeneration is not established.</x:v>
      </x:c>
      <x:c r="F12" s="104" t="str">
        <x:v>OPEN</x:v>
      </x:c>
      <x:c r="G12" s="104" t="str">
        <x:v>OPEN</x:v>
      </x:c>
      <x:c r="H12" s="104" t="str">
        <x:v>OPEN</x:v>
      </x:c>
      <x:c r="I12" s="104" t="str">
        <x:v>Direct inspection of named current source, configuration/requirements and source-bound evidence; native geometry/circuit details cross-referenced to the specialist lanes.</x:v>
      </x:c>
      <x:c r="J12" s="104" t="str">
        <x:v>GR86_CCA_RevB PCB SHA256 f23c4385941ab87ff8dc43a9206b3c1a3de1032e80f3947fb21943ea2b56e9ca</x:v>
      </x:c>
      <x:c r="K12" s="104" t="str">
        <x:v>audit/board_vetting_20260908/BASELINE_BINDING.json — 3766 predecessor files and all critical source hashes verified
audit/board_vetting_20260908/lanes/layout_mfg.json — actual land patterns, converter loops and manufacturing geometry
audit/board_vetting_20260908/lanes/mechanics.json — native envelope, F1, Tag and probe measurements
tools/release_checks/README.md — current workflow and remaining drawing-export path limitation</x:v>
      </x:c>
      <x:c r="L12" s="104" t="str">
        <x:v>Demonstrate complete release regeneration in a clean environment, including current assembly models and all packet copies.</x:v>
      </x:c>
      <x:c r="M12" s="104" t="str">
        <x:v>YES</x:v>
      </x:c>
      <x:c r="N12" s="104" t="str">
        <x:v>NO</x:v>
      </x:c>
      <x:c r="O12" s="104" t="str">
        <x:v>P1</x:v>
      </x:c>
    </x:row>
    <x:row r="13" ht="125" customHeight="1">
      <x:c r="A13" s="104" t="str">
        <x:v>CFG-09</x:v>
      </x:c>
      <x:c r="B13" s="104" t="str">
        <x:v>Configuration and review scope</x:v>
      </x:c>
      <x:c r="C13" s="104" t="str">
        <x:v>System boundary diagram and representative hardware configuration.</x:v>
      </x:c>
      <x:c r="D13" s="104" t="str">
        <x:v>Electrical system boundary is defined, but actual vehicle year/ASC source, antenna/pigtail, harness length/build, enclosure and phone are not a representative measured baseline.</x:v>
      </x:c>
      <x:c r="E13" s="104" t="str">
        <x:v>The source audit includes those interfaces; installed-system vetting remains limited by missing actual configuration.</x:v>
      </x:c>
      <x:c r="F13" s="104" t="str">
        <x:v>OPEN</x:v>
      </x:c>
      <x:c r="G13" s="104" t="str">
        <x:v>OPEN</x:v>
      </x:c>
      <x:c r="H13" s="104" t="str">
        <x:v>OPEN</x:v>
      </x:c>
      <x:c r="I13" s="104" t="str">
        <x:v>Direct inspection of named current source, configuration/requirements and source-bound evidence; native geometry/circuit details cross-referenced to the specialist lanes.</x:v>
      </x:c>
      <x:c r="J13" s="104" t="str">
        <x:v>GR86_CCA_RevB PCB SHA256 f23c4385941ab87ff8dc43a9206b3c1a3de1032e80f3947fb21943ea2b56e9ca</x:v>
      </x:c>
      <x:c r="K13" s="104" t="str">
        <x:v>qualification/productization/PRODUCT_REQUIREMENTS.md — requirements1–8 and accepted inputs
audit/board_vetting_20260908/lanes/mechanics.json — native envelope, F1, Tag and probe measurements
audit/board_vetting_20260908/lanes/rf_ground.json — actual copper graph, vias, RF and signal reference paths</x:v>
      </x:c>
      <x:c r="L13" s="104" t="str">
        <x:v>Freeze and measure the installed accessory/vehicle configuration.</x:v>
      </x:c>
      <x:c r="M13" s="104" t="str">
        <x:v>YES</x:v>
      </x:c>
      <x:c r="N13" s="104" t="str">
        <x:v>YES</x:v>
      </x:c>
      <x:c r="O13" s="104" t="str">
        <x:v>P1</x:v>
      </x:c>
    </x:row>
    <x:row r="14" ht="125" customHeight="1">
      <x:c r="A14" s="104" t="str">
        <x:v>CFG-10</x:v>
      </x:c>
      <x:c r="B14" s="104" t="str">
        <x:v>Configuration and review scope</x:v>
      </x:c>
      <x:c r="C14" s="104" t="str">
        <x:v>Bench wiring authorization and labels follow the historical safety constraints until a new approved disposition.</x:v>
      </x:c>
      <x:c r="D14" s="104" t="str">
        <x:v>Rev A original raw12V failure and external-rail-injection workaround remain documented. No Rev A physical operation was performed during this review.</x:v>
      </x:c>
      <x:c r="E14" s="104" t="str">
        <x:v>Prohibited historical power-path evidence remains segregated from new-source verification.</x:v>
      </x:c>
      <x:c r="F14" s="104" t="str">
        <x:v>VERIFIED</x:v>
      </x:c>
      <x:c r="G14" s="104" t="str">
        <x:v>CLOSED</x:v>
      </x:c>
      <x:c r="H14" s="104" t="str">
        <x:v>CLOSED</x:v>
      </x:c>
      <x:c r="I14" s="104" t="str">
        <x:v>Direct inspection of named current source, configuration/requirements and source-bound evidence; native geometry/circuit details cross-referenced to the specialist lanes.</x:v>
      </x:c>
      <x:c r="J14" s="104" t="str">
        <x:v>GR86_CCA_RevB PCB SHA256 f23c4385941ab87ff8dc43a9206b3c1a3de1032e80f3947fb21943ea2b56e9ca</x:v>
      </x:c>
      <x:c r="K14" s="104" t="str">
        <x:v>INITIAL_ENGINEERING_ASSESSMENT.md — original Rev A power failure and bypass scope
audit/REV_A_COMPONENT_MASTER.csv — B1/B2/C3 bench dispositions</x:v>
      </x:c>
      <x:c r="L14" s="104" t="str">
        <x:v>Retain existing Rev A restrictions unless new physical evidence supersedes them.</x:v>
      </x:c>
      <x:c r="M14" s="104" t="str">
        <x:v>YES</x:v>
      </x:c>
      <x:c r="N14" s="104" t="str">
        <x:v>NO</x:v>
      </x:c>
      <x:c r="O14" s="104" t="str">
        <x:v>P0</x:v>
      </x:c>
    </x:row>
    <x:row r="15" ht="125" customHeight="1">
      <x:c r="A15" s="104" t="str">
        <x:v>REQ-01</x:v>
      </x:c>
      <x:c r="B15" s="104" t="str">
        <x:v>Requirements and interfaces</x:v>
      </x:c>
      <x:c r="C15" s="104" t="str">
        <x:v>A written CAN non-interference requirement includes startup, programming, faults and firmware recovery.</x:v>
      </x:c>
      <x:c r="D15" s="104" t="str">
        <x:v>Native shipped CAN TX isolation R301 is DNP, TXD has recessive pull-up, termination is open, and firmware uses listen-only without a transmit API.</x:v>
      </x:c>
      <x:c r="E15" s="104" t="str">
        <x:v>The passive design requirement and normal-mode implementation are present. Fault behavior and actual vehicle non-interference remain separate criteria.</x:v>
      </x:c>
      <x:c r="F15" s="104" t="str">
        <x:v>VERIFIED</x:v>
      </x:c>
      <x:c r="G15" s="104" t="str">
        <x:v>CLOSED</x:v>
      </x:c>
      <x:c r="H15" s="104" t="str">
        <x:v>CLOSED</x:v>
      </x:c>
      <x:c r="I15" s="104" t="str">
        <x:v>Direct inspection of named current source, configuration/requirements and source-bound evidence; native geometry/circuit details cross-referenced to the specialist lanes.</x:v>
      </x:c>
      <x:c r="J15" s="104" t="str">
        <x:v>GR86_CCA_RevB PCB SHA256 f23c4385941ab87ff8dc43a9206b3c1a3de1032e80f3947fb21943ea2b56e9ca</x:v>
      </x:c>
      <x:c r="K15" s="104" t="str">
        <x:v>qualification/productization/PRODUCT_REQUIREMENTS.md — requirements1–8 and accepted inputs
audit/board_vetting_20260908/lanes/digital_can.json — native digital/CAN and source timing results</x:v>
      </x:c>
      <x:c r="L15" s="104" t="str">
        <x:v>Preserve these defaults on all standard units.</x:v>
      </x:c>
      <x:c r="M15" s="104" t="str">
        <x:v>YES</x:v>
      </x:c>
      <x:c r="N15" s="104" t="str">
        <x:v>NO</x:v>
      </x:c>
      <x:c r="O15" s="104" t="str">
        <x:v>P0</x:v>
      </x:c>
    </x:row>
    <x:row r="16" ht="125" customHeight="1">
      <x:c r="A16" s="104" t="str">
        <x:v>REQ-02</x:v>
      </x:c>
      <x:c r="B16" s="104" t="str">
        <x:v>Requirements and interfaces</x:v>
      </x:c>
      <x:c r="C16" s="104" t="str">
        <x:v>Verified vehicle interface documentation, harness pinout and observed network characteristics; no OBD or wire-color assumptions.</x:v>
      </x:c>
      <x:c r="D16" s="104" t="str">
        <x:v>Source targets Gen2 and contains a GR86_2022 profile. Physical ASC tap/network traffic and supported model-year compatibility are not supplied.</x:v>
      </x:c>
      <x:c r="E16" s="104" t="str">
        <x:v>A profile filename and pinout do not verify every Gen2 vehicle/model year.</x:v>
      </x:c>
      <x:c r="F16" s="104" t="str">
        <x:v>OPEN</x:v>
      </x:c>
      <x:c r="G16" s="104" t="str">
        <x:v>OPEN</x:v>
      </x:c>
      <x:c r="H16" s="104" t="str">
        <x:v>OPEN</x:v>
      </x:c>
      <x:c r="I16" s="104" t="str">
        <x:v>Direct inspection of named current source, configuration/requirements and source-bound evidence; native geometry/circuit details cross-referenced to the specialist lanes.</x:v>
      </x:c>
      <x:c r="J16" s="104" t="str">
        <x:v>GR86_CCA_RevB PCB SHA256 f23c4385941ab87ff8dc43a9206b3c1a3de1032e80f3947fb21943ea2b56e9ca</x:v>
      </x:c>
      <x:c r="K16" s="104" t="str">
        <x:v>qualification/productization/PRODUCT_REQUIREMENTS.md — requirements1–8 and accepted inputs
audit/board_vetting_20260908/lanes/digital_can.json — native digital/CAN and source timing results
audit/board_vetting_20260908/lanes/mechanics.json — native envelope, F1, Tag and probe measurements</x:v>
      </x:c>
      <x:c r="L16" s="104" t="str">
        <x:v>Record actual vehicle/tap identity, service cavities and observed500kbit/s traffic.</x:v>
      </x:c>
      <x:c r="M16" s="104" t="str">
        <x:v>YES</x:v>
      </x:c>
      <x:c r="N16" s="104" t="str">
        <x:v>YES</x:v>
      </x:c>
      <x:c r="O16" s="104" t="str">
        <x:v>P0</x:v>
      </x:c>
    </x:row>
    <x:row r="17" ht="125" customHeight="1">
      <x:c r="A17" s="104" t="str">
        <x:v>REQ-03</x:v>
      </x:c>
      <x:c r="B17" s="104" t="str">
        <x:v>Requirements and interfaces</x:v>
      </x:c>
      <x:c r="C17" s="104" t="str">
        <x:v>Interface specification distinguishes required Classical CAN support from any future CAN FD capability.</x:v>
      </x:c>
      <x:c r="D17" s="104" t="str">
        <x:v>Classical500kbit/s, identifier/profile filters and queues are explicit in source. Worst sustained/burst workload and minimum retained per-channel rates remain unspecified.</x:v>
      </x:c>
      <x:c r="E17" s="104" t="str">
        <x:v>The current firmware budget can be calculated, but a contractual maximum workload/acceptable coalescing is missing.</x:v>
      </x:c>
      <x:c r="F17" s="104" t="str">
        <x:v>OPEN</x:v>
      </x:c>
      <x:c r="G17" s="104" t="str">
        <x:v>OPEN</x:v>
      </x:c>
      <x:c r="H17" s="104" t="str">
        <x:v>OPEN</x:v>
      </x:c>
      <x:c r="I17" s="104" t="str">
        <x:v>Direct inspection of named current source, configuration/requirements and source-bound evidence; native geometry/circuit details cross-referenced to the specialist lanes.</x:v>
      </x:c>
      <x:c r="J17" s="104" t="str">
        <x:v>GR86_CCA_RevB PCB SHA256 f23c4385941ab87ff8dc43a9206b3c1a3de1032e80f3947fb21943ea2b56e9ca</x:v>
      </x:c>
      <x:c r="K17" s="104" t="str">
        <x:v>audit/board_vetting_20260908/lanes/digital_can.json — native digital/CAN and source timing results
qualification/productization/FIRMWARE_PRODUCT_REVIEW.md — current2.1.1 source contract, calibration and state limits</x:v>
      </x:c>
      <x:c r="L17" s="104" t="str">
        <x:v>Define sustained/burst source loads, retained signal cadence and loss/latency acceptance.</x:v>
      </x:c>
      <x:c r="M17" s="104" t="str">
        <x:v>YES</x:v>
      </x:c>
      <x:c r="N17" s="104" t="str">
        <x:v>NO</x:v>
      </x:c>
      <x:c r="O17" s="104" t="str">
        <x:v>P1</x:v>
      </x:c>
    </x:row>
    <x:row r="18" ht="125" customHeight="1">
      <x:c r="A18" s="104" t="str">
        <x:v>REQ-04</x:v>
      </x:c>
      <x:c r="B18" s="104" t="str">
        <x:v>Requirements and interfaces</x:v>
      </x:c>
      <x:c r="C18" s="104" t="str">
        <x:v>Requirement table separates absolute error, repeatability, noise and response time across operating conditions.</x:v>
      </x:c>
      <x:c r="D18" s="104" t="str">
        <x:v>0–150psi transfer and conditional static error are calculated. Actual nominal filtering attenuates100ms pressure events; required minimum event duration/depth and total latency are not defined.</x:v>
      </x:c>
      <x:c r="E18" s="104" t="str">
        <x:v>No complete numerical pressure performance requirement exists against which to declare the present dynamic response acceptable.</x:v>
      </x:c>
      <x:c r="F18" s="104" t="str">
        <x:v>OPEN</x:v>
      </x:c>
      <x:c r="G18" s="104" t="str">
        <x:v>OPEN</x:v>
      </x:c>
      <x:c r="H18" s="104" t="str">
        <x:v>OPEN</x:v>
      </x:c>
      <x:c r="I18" s="104" t="str">
        <x:v>Direct inspection of named current source, configuration/requirements and source-bound evidence; native geometry/circuit details cross-referenced to the specialist lanes.</x:v>
      </x:c>
      <x:c r="J18" s="104" t="str">
        <x:v>GR86_CCA_RevB PCB SHA256 f23c4385941ab87ff8dc43a9206b3c1a3de1032e80f3947fb21943ea2b56e9ca</x:v>
      </x:c>
      <x:c r="K18" s="104" t="str">
        <x:v>audit/board_vetting_20260908/lanes/analog_thermal.json — actual analog paths and current tolerance/thermal bounds
audit/erb_20260907/lanes/ANALOG_OBSERVABILITY_SCREEN.json — nominal dynamic/alias model</x:v>
      </x:c>
      <x:c r="L18" s="104" t="str">
        <x:v>Define static accuracy/repeatability/noise and minimum event/latency limits, then validate the measured channel.</x:v>
      </x:c>
      <x:c r="M18" s="104" t="str">
        <x:v>YES</x:v>
      </x:c>
      <x:c r="N18" s="104" t="str">
        <x:v>NO</x:v>
      </x:c>
      <x:c r="O18" s="104" t="str">
        <x:v>P1</x:v>
      </x:c>
    </x:row>
    <x:row r="19" ht="125" customHeight="1">
      <x:c r="A19" s="104" t="str">
        <x:v>REQ-05</x:v>
      </x:c>
      <x:c r="B19" s="104" t="str">
        <x:v>Requirements and interfaces</x:v>
      </x:c>
      <x:c r="C19" s="104" t="str">
        <x:v>Mode-specific GNSS acceptance limits and a defined external-antenna configuration.</x:v>
      </x:c>
      <x:c r="D19" s="104" t="str">
        <x:v>115200baud/10Hz negotiation and stale-fix logic are implemented. Exact external antenna, acquisition/accuracy and PPS epoch limits are not frozen.</x:v>
      </x:c>
      <x:c r="E19" s="104" t="str">
        <x:v>Source update-rate intent is known; complete navigation/timing/accessory acceptance remains undefined.</x:v>
      </x:c>
      <x:c r="F19" s="104" t="str">
        <x:v>OPEN</x:v>
      </x:c>
      <x:c r="G19" s="104" t="str">
        <x:v>OPEN</x:v>
      </x:c>
      <x:c r="H19" s="104" t="str">
        <x:v>OPEN</x:v>
      </x:c>
      <x:c r="I19" s="104" t="str">
        <x:v>Direct inspection of named current source, configuration/requirements and source-bound evidence; native geometry/circuit details cross-referenced to the specialist lanes.</x:v>
      </x:c>
      <x:c r="J19" s="104" t="str">
        <x:v>GR86_CCA_RevB PCB SHA256 f23c4385941ab87ff8dc43a9206b3c1a3de1032e80f3947fb21943ea2b56e9ca</x:v>
      </x:c>
      <x:c r="K19" s="104" t="str">
        <x:v>audit/board_vetting_20260908/lanes/rf_ground.json — actual copper graph, vias, RF and signal reference paths
audit/board_vetting_20260908/lanes/digital_can.json — native digital/CAN and source timing results
qualification/productization/PRODUCT_REQUIREMENTS.md — requirements1–8 and accepted inputs</x:v>
      </x:c>
      <x:c r="L19" s="104" t="str">
        <x:v>Select the antenna/pigtail and numerical mode-specific GPS criteria.</x:v>
      </x:c>
      <x:c r="M19" s="104" t="str">
        <x:v>YES</x:v>
      </x:c>
      <x:c r="N19" s="104" t="str">
        <x:v>NO</x:v>
      </x:c>
      <x:c r="O19" s="104" t="str">
        <x:v>P1</x:v>
      </x:c>
    </x:row>
    <x:row r="20" ht="125" customHeight="1">
      <x:c r="A20" s="104" t="str">
        <x:v>REQ-06</x:v>
      </x:c>
      <x:c r="B20" s="104" t="str">
        <x:v>Requirements and interfaces</x:v>
      </x:c>
      <x:c r="C20" s="104" t="str">
        <x:v>Requirements identify the actual phone/app operating modes, not merely successful pairing.</x:v>
      </x:c>
      <x:c r="D20" s="104" t="str">
        <x:v>RaceChrono DIY transport and nominal notification budget are defined. Direct source testing identifies a rate-budget implementation delta; actual phone/range/recovery/allowed loss requirements are absent.</x:v>
      </x:c>
      <x:c r="E20" s="104" t="str">
        <x:v>Successful compilation/protocol encoding cannot establish the requested transport performance.</x:v>
      </x:c>
      <x:c r="F20" s="104" t="str">
        <x:v>OPEN</x:v>
      </x:c>
      <x:c r="G20" s="104" t="str">
        <x:v>OPEN</x:v>
      </x:c>
      <x:c r="H20" s="104" t="str">
        <x:v>OPEN</x:v>
      </x:c>
      <x:c r="I20" s="104" t="str">
        <x:v>Direct inspection of named current source, configuration/requirements and source-bound evidence; native geometry/circuit details cross-referenced to the specialist lanes.</x:v>
      </x:c>
      <x:c r="J20" s="104" t="str">
        <x:v>GR86_CCA_RevB PCB SHA256 f23c4385941ab87ff8dc43a9206b3c1a3de1032e80f3947fb21943ea2b56e9ca</x:v>
      </x:c>
      <x:c r="K20" s="104" t="str">
        <x:v>audit/board_vetting_20260908/lanes/digital_can.json — native digital/CAN and source timing results
qualification/productization/FIRMWARE_PRODUCT_REVIEW.md — current2.1.1 source contract, calibration and state limits</x:v>
      </x:c>
      <x:c r="L20" s="104" t="str">
        <x:v>Resolve the software budget delta and define/test representative phone and delivery requirements.</x:v>
      </x:c>
      <x:c r="M20" s="104" t="str">
        <x:v>YES</x:v>
      </x:c>
      <x:c r="N20" s="104" t="str">
        <x:v>NO</x:v>
      </x:c>
      <x:c r="O20" s="104" t="str">
        <x:v>P1</x:v>
      </x:c>
    </x:row>
    <x:row r="21" ht="125" customHeight="1">
      <x:c r="A21" s="104" t="str">
        <x:v>REQ-07</x:v>
      </x:c>
      <x:c r="B21" s="104" t="str">
        <x:v>Requirements and interfaces</x:v>
      </x:c>
      <x:c r="C21" s="104" t="str">
        <x:v>Supply, input, temperature and transient envelopes with explicit allowed functional degradation.</x:v>
      </x:c>
      <x:c r="D21" s="104" t="str">
        <x:v>Normal9.5–16V operation, elevated/reverse24V screens and accepted crank resets are distinguished from bounded transient survival. The fresh power lane widens UV/OV threshold bounds for resistor TCR.</x:v>
      </x:c>
      <x:c r="E21" s="104" t="str">
        <x:v>The envelope distinction is present. Updated calculated bounds replace narrower old figures; physical transient/thermal survival remains unverified.</x:v>
      </x:c>
      <x:c r="F21" s="104" t="str">
        <x:v>CALCULATED</x:v>
      </x:c>
      <x:c r="G21" s="104" t="str">
        <x:v>CLOSED</x:v>
      </x:c>
      <x:c r="H21" s="104" t="str">
        <x:v>CLOSED</x:v>
      </x:c>
      <x:c r="I21" s="104" t="str">
        <x:v>Direct inspection of named current source, configuration/requirements and source-bound evidence; native geometry/circuit details cross-referenced to the specialist lanes.</x:v>
      </x:c>
      <x:c r="J21" s="104" t="str">
        <x:v>GR86_CCA_RevB PCB SHA256 f23c4385941ab87ff8dc43a9206b3c1a3de1032e80f3947fb21943ea2b56e9ca</x:v>
      </x:c>
      <x:c r="K21" s="104" t="str">
        <x:v>audit/board_vetting_20260908/lanes/power.json — current part stress, fault and threshold calculations
qualification/productization/PRODUCT_REQUIREMENTS.md — requirements1–8 and accepted inputs
calculations/POWER_ARCHITECTURE_REVIEW.md — operating/survival allocations</x:v>
      </x:c>
      <x:c r="L21" s="104" t="str">
        <x:v>Retain finite source/temperature assumptions; actual survival tests remain under separate criteria.</x:v>
      </x:c>
      <x:c r="M21" s="104" t="str">
        <x:v>YES</x:v>
      </x:c>
      <x:c r="N21" s="104" t="str">
        <x:v>NO</x:v>
      </x:c>
      <x:c r="O21" s="104" t="str">
        <x:v>P0</x:v>
      </x:c>
    </x:row>
    <x:row r="22" ht="125" customHeight="1">
      <x:c r="A22" s="104" t="str">
        <x:v>REQ-08</x:v>
      </x:c>
      <x:c r="B22" s="104" t="str">
        <x:v>Requirements and interfaces</x:v>
      </x:c>
      <x:c r="C22" s="104" t="str">
        <x:v>State/output table specifies invalid/stale flags and recovery without presenting old values as current.</x:v>
      </x:c>
      <x:c r="D22" s="104" t="str">
        <x:v>Current2.1.1 defines oil invalid flags, GPS stale handling and bounded CAN cache age. Direct review finds further diagnostic service-latency and notification-budget deltas.</x:v>
      </x:c>
      <x:c r="E22" s="104" t="str">
        <x:v>The complete fault/recovery output behavior has not been vetted on a phone, and new source timing gaps remain.</x:v>
      </x:c>
      <x:c r="F22" s="104" t="str">
        <x:v>OPEN</x:v>
      </x:c>
      <x:c r="G22" s="104" t="str">
        <x:v>OPEN</x:v>
      </x:c>
      <x:c r="H22" s="104" t="str">
        <x:v>OPEN</x:v>
      </x:c>
      <x:c r="I22" s="104" t="str">
        <x:v>Direct inspection of named current source, configuration/requirements and source-bound evidence; native geometry/circuit details cross-referenced to the specialist lanes.</x:v>
      </x:c>
      <x:c r="J22" s="104" t="str">
        <x:v>GR86_CCA_RevB PCB SHA256 f23c4385941ab87ff8dc43a9206b3c1a3de1032e80f3947fb21943ea2b56e9ca</x:v>
      </x:c>
      <x:c r="K22" s="104" t="str">
        <x:v>audit/board_vetting_20260908/lanes/digital_can.json — native digital/CAN and source timing results
qualification/productization/FIRMWARE_PRODUCT_REVIEW.md — current2.1.1 source contract, calibration and state limits</x:v>
      </x:c>
      <x:c r="L22" s="104" t="str">
        <x:v>Resolve the new timing/delivery deltas and test actual stale/invalid display/recovery.</x:v>
      </x:c>
      <x:c r="M22" s="104" t="str">
        <x:v>YES</x:v>
      </x:c>
      <x:c r="N22" s="104" t="str">
        <x:v>YES</x:v>
      </x:c>
      <x:c r="O22" s="104" t="str">
        <x:v>P0</x:v>
      </x:c>
    </x:row>
    <x:row r="23" ht="125" customHeight="1">
      <x:c r="A23" s="104" t="str">
        <x:v>REQ-09</x:v>
      </x:c>
      <x:c r="B23" s="104" t="str">
        <x:v>Requirements and interfaces</x:v>
      </x:c>
      <x:c r="C23" s="104" t="str">
        <x:v>Standby requirement includes all regulators, modules, antenna bias, protection leakage and LEDs.</x:v>
      </x:c>
      <x:c r="D23" s="104" t="str">
        <x:v>F1.3 is a required switched source and F1.4 IGN is NC. No independently monitored IGN-off state exists; permanent battery feed would leave the product operating.</x:v>
      </x:c>
      <x:c r="E23" s="104" t="str">
        <x:v>The contract relies on the harness source switching off; no alternative numerical standby/battery-discharge budget is established.</x:v>
      </x:c>
      <x:c r="F23" s="104" t="str">
        <x:v>OPEN</x:v>
      </x:c>
      <x:c r="G23" s="104" t="str">
        <x:v>OPEN</x:v>
      </x:c>
      <x:c r="H23" s="104" t="str">
        <x:v>OPEN</x:v>
      </x:c>
      <x:c r="I23" s="104" t="str">
        <x:v>Direct inspection of named current source, configuration/requirements and source-bound evidence; native geometry/circuit details cross-referenced to the specialist lanes.</x:v>
      </x:c>
      <x:c r="J23" s="104" t="str">
        <x:v>GR86_CCA_RevB PCB SHA256 f23c4385941ab87ff8dc43a9206b3c1a3de1032e80f3947fb21943ea2b56e9ca</x:v>
      </x:c>
      <x:c r="K23" s="104" t="str">
        <x:v>audit/board_vetting_20260908/lanes/mechanics.json — native envelope, F1, Tag and probe measurements
audit/board_vetting_20260908/lanes/power.json — current part stress, fault and threshold calculations
qualification/productization/PRODUCT_REQUIREMENTS.md — requirements1–8 and accepted inputs</x:v>
      </x:c>
      <x:c r="L23" s="104" t="str">
        <x:v>Verify actual source switching/leakage or introduce a specified standby design.</x:v>
      </x:c>
      <x:c r="M23" s="104" t="str">
        <x:v>YES</x:v>
      </x:c>
      <x:c r="N23" s="104" t="str">
        <x:v>YES</x:v>
      </x:c>
      <x:c r="O23" s="104" t="str">
        <x:v>P1</x:v>
      </x:c>
    </x:row>
    <x:row r="24" ht="125" customHeight="1">
      <x:c r="A24" s="104" t="str">
        <x:v>REQ-10</x:v>
      </x:c>
      <x:c r="B24" s="104" t="str">
        <x:v>Requirements and interfaces</x:v>
      </x:c>
      <x:c r="C24" s="104" t="str">
        <x:v>Requirements traceability marks deferred scope and prohibits unsupported vehicle-ready or qualification claims.</x:v>
      </x:c>
      <x:c r="D24" s="104" t="str">
        <x:v>The current review explicitly distinguishes native design, calculated performance, conditional limits and unperformed physical/product claims.</x:v>
      </x:c>
      <x:c r="E24" s="104" t="str">
        <x:v>Prototype/engineering limits are visible; this does not itself meet those missing limits.</x:v>
      </x:c>
      <x:c r="F24" s="104" t="str">
        <x:v>VERIFIED</x:v>
      </x:c>
      <x:c r="G24" s="104" t="str">
        <x:v>CLOSED</x:v>
      </x:c>
      <x:c r="H24" s="104" t="str">
        <x:v>CLOSED</x:v>
      </x:c>
      <x:c r="I24" s="104" t="str">
        <x:v>Direct inspection of named current source, configuration/requirements and source-bound evidence; native geometry/circuit details cross-referenced to the specialist lanes.</x:v>
      </x:c>
      <x:c r="J24" s="104" t="str">
        <x:v>GR86_CCA_RevB PCB SHA256 f23c4385941ab87ff8dc43a9206b3c1a3de1032e80f3947fb21943ea2b56e9ca</x:v>
      </x:c>
      <x:c r="K24" s="104" t="str">
        <x:v>qualification/productization/PRODUCT_REQUIREMENTS.md — requirements1–8 and accepted inputs
audit/board_vetting_20260908/BOARD_VETTING_SUMMARY.md — specific board/software/document deltas and unresolved evidence</x:v>
      </x:c>
      <x:c r="L24" s="104" t="str">
        <x:v>Keep distribution claims aligned with actual evidence.</x:v>
      </x:c>
      <x:c r="M24" s="104" t="str">
        <x:v>YES</x:v>
      </x:c>
      <x:c r="N24" s="104" t="str">
        <x:v>NO</x:v>
      </x:c>
      <x:c r="O24" s="104" t="str">
        <x:v>P1</x:v>
      </x:c>
    </x:row>
    <x:row r="25" ht="125" customHeight="1">
      <x:c r="A25" s="104" t="str">
        <x:v>LIB-01</x:v>
      </x:c>
      <x:c r="B25" s="104" t="str">
        <x:v>Symbols, footprints and connectivity</x:v>
      </x:c>
      <x:c r="C25" s="104" t="str">
        <x:v>Exact selected MPN physical pin/function must match symbol, pad and net.</x:v>
      </x:c>
      <x:c r="D25" s="104" t="str">
        <x:v>Fresh native 480 pin keys/497 physical pads match current matrix and XML; no absent/extra keys. Independently dimension-checked19 selected critical footprints; manufacturer maps cover remaining critical parts.</x:v>
      </x:c>
      <x:c r="E25" s="104" t="str">
        <x:v>No native pin/function mismatch detected. Active PACKAGE_ACCEPTANCE_REVIEW contains obsolete U301/U502 package names; current independent gold maps and actual board agree.</x:v>
      </x:c>
      <x:c r="F25" s="104" t="str">
        <x:v>VERIFIED</x:v>
      </x:c>
      <x:c r="G25" s="104" t="str">
        <x:v>CLOSED</x:v>
      </x:c>
      <x:c r="H25" s="104" t="str">
        <x:v>CLOSED</x:v>
      </x:c>
      <x:c r="I25" s="104" t="str">
        <x:v>Read actual native PCB objects/filled copper; dimensional/path calculations and exact manufacturer/reference comparison where applicable; source-bound outputs and requirement inspected.</x:v>
      </x:c>
      <x:c r="J25" s="104" t="str">
        <x:v>U101
U121
U151
U201
U301
U401
U501
U502
F1
J201</x:v>
      </x:c>
      <x:c r="K25" s="104" t="str">
        <x:v>audit/board_vetting_20260908/layout_mfg/manufacturing_native_evidence.json — native_matrix_mismatches; critical_native_pin_maps
audit/board_vetting_20260908/layout_mfg/DIRECT_BOARD_REVIEW.md — LIB-01</x:v>
      </x:c>
      <x:c r="L25" s="104" t="str">
        <x:v>Correct conflicting active package-review text; do not use it to approve substitutions.</x:v>
      </x:c>
      <x:c r="M25" s="104" t="str">
        <x:v>YES</x:v>
      </x:c>
      <x:c r="N25" s="104" t="str">
        <x:v>NO</x:v>
      </x:c>
      <x:c r="O25" s="104" t="str">
        <x:v>P0</x:v>
      </x:c>
    </x:row>
    <x:row r="26" ht="125" customHeight="1">
      <x:c r="A26" s="104" t="str">
        <x:v>LIB-02</x:v>
      </x:c>
      <x:c r="B26" s="104" t="str">
        <x:v>Symbols, footprints and connectivity</x:v>
      </x:c>
      <x:c r="C26" s="104" t="str">
        <x:v>Physical pin1/side/rotation must be reconstructible from placed pads and manufacturer top view.</x:v>
      </x:c>
      <x:c r="D26" s="104" t="str">
        <x:v>Native absolute pad1 positions and local rotation captured for19 measured package checks. Manufacturer/accepted pad size and pin1–2 pitch all pass, including bottom U301/U501/U502 mirror transforms.</x:v>
      </x:c>
      <x:c r="E26" s="104" t="str">
        <x:v>No orientation reversal in checked physical geometry. Supplier reel-zero orientation has not been accepted.</x:v>
      </x:c>
      <x:c r="F26" s="104" t="str">
        <x:v>VERIFIED</x:v>
      </x:c>
      <x:c r="G26" s="104" t="str">
        <x:v>CLOSED</x:v>
      </x:c>
      <x:c r="H26" s="104" t="str">
        <x:v>CLOSED</x:v>
      </x:c>
      <x:c r="I26" s="104" t="str">
        <x:v>Read actual native PCB objects/filled copper; dimensional/path calculations and exact manufacturer/reference comparison where applicable; source-bound outputs and requirement inspected.</x:v>
      </x:c>
      <x:c r="J26" s="104" t="str">
        <x:v>U121 F.Cu(47,26.5)
U151 B.Cu(35,13)
U301 B.Cu(20.4,9.5)
U501 B.Cu(18.5,25.5)</x:v>
      </x:c>
      <x:c r="K26" s="104" t="str">
        <x:v>audit/board_vetting_20260908/layout_mfg/DIRECT_LAYOUT_MEASUREMENTS.json — package_numeric_checks
audit/board_vetting_20260908/layout_mfg/DIRECT_BOARD_REVIEW.md — LIB-02</x:v>
      </x:c>
      <x:c r="L26" s="104" t="str">
        <x:v>Incoming reel/model-to-pad1 acceptance and first-article polarity inspection remain.</x:v>
      </x:c>
      <x:c r="M26" s="104" t="str">
        <x:v>YES</x:v>
      </x:c>
      <x:c r="N26" s="104" t="str">
        <x:v>YES</x:v>
      </x:c>
      <x:c r="O26" s="104" t="str">
        <x:v>P0</x:v>
      </x:c>
    </x:row>
    <x:row r="27" ht="125" customHeight="1">
      <x:c r="A27" s="104" t="str">
        <x:v>LIB-03</x:v>
      </x:c>
      <x:c r="B27" s="104" t="str">
        <x:v>Symbols, footprints and connectivity</x:v>
      </x:c>
      <x:c r="C27" s="104" t="str">
        <x:v>Do not inherit known RevA pin-map/connectivity defects.</x:v>
      </x:c>
      <x:c r="D27" s="104" t="str">
        <x:v>AP62200 removed; LM5164/LM63615 architecture used. Actual ESP EN3/GPIO0pad27, TCAN CANL6/CANH7 and crossed GPS UART match rebuilt contract.</x:v>
      </x:c>
      <x:c r="E27" s="104" t="str">
        <x:v>RevA connectivity defects are absent from these rebuilt paths; no physical receive/vehicle success inferred.</x:v>
      </x:c>
      <x:c r="F27" s="104" t="str">
        <x:v>VERIFIED</x:v>
      </x:c>
      <x:c r="G27" s="104" t="str">
        <x:v>CLOSED</x:v>
      </x:c>
      <x:c r="H27" s="104" t="str">
        <x:v>CLOSED</x:v>
      </x:c>
      <x:c r="I27" s="104" t="str">
        <x:v>Read actual native PCB objects/filled copper; dimensional/path calculations and exact manufacturer/reference comparison where applicable; source-bound outputs and requirement inspected.</x:v>
      </x:c>
      <x:c r="J27" s="104" t="str">
        <x:v>U121
U151
U201.3
U201.27
U301.6
U301.7
U401.9
U401.10</x:v>
      </x:c>
      <x:c r="K27" s="104" t="str">
        <x:v>audit/board_vetting_20260908/layout_mfg/manufacturing_native_evidence.json — critical_native_pin_maps
audit/board_vetting_20260908/layout_mfg/DIRECT_BOARD_REVIEW.md — LIB-03</x:v>
      </x:c>
      <x:c r="L27" s="104" t="str">
        <x:v>Reopen on source/part/variant changes. No physical assembly is represented as tested.</x:v>
      </x:c>
      <x:c r="M27" s="104" t="str">
        <x:v>YES</x:v>
      </x:c>
      <x:c r="N27" s="104" t="str">
        <x:v>NO</x:v>
      </x:c>
      <x:c r="O27" s="104" t="str">
        <x:v>P0</x:v>
      </x:c>
    </x:row>
    <x:row r="28" ht="125" customHeight="1">
      <x:c r="A28" s="104" t="str">
        <x:v>LIB-04</x:v>
      </x:c>
      <x:c r="B28" s="104" t="str">
        <x:v>Symbols, footprints and connectivity</x:v>
      </x:c>
      <x:c r="C28" s="104" t="str">
        <x:v>Every intended two-terminal device must span distinct correct electrical nodes.</x:v>
      </x:c>
      <x:c r="D28" s="104" t="str">
        <x:v>Fresh full-board scan found zero same-net two-terminal references. Native electrical structure checks include independent feedback/divider/protection contracts.</x:v>
      </x:c>
      <x:c r="E28" s="104" t="str">
        <x:v>No collapsed passive found; ordinary passives were included.</x:v>
      </x:c>
      <x:c r="F28" s="104" t="str">
        <x:v>VERIFIED</x:v>
      </x:c>
      <x:c r="G28" s="104" t="str">
        <x:v>CLOSED</x:v>
      </x:c>
      <x:c r="H28" s="104" t="str">
        <x:v>CLOSED</x:v>
      </x:c>
      <x:c r="I28" s="104" t="str">
        <x:v>Read actual native PCB objects/filled copper; dimensional/path calculations and exact manufacturer/reference comparison where applicable; source-bound outputs and requirement inspected.</x:v>
      </x:c>
      <x:c r="J28" s="104" t="str">
        <x:v>All two-terminal purchased components
R122/R123
R511/R512
R521/R522</x:v>
      </x:c>
      <x:c r="K28" s="104" t="str">
        <x:v>audit/board_vetting_20260908/layout_mfg/manufacturing_native_evidence.json — same_net_two_terminal=[]
audit/board_vetting_20260908/layout_mfg/DIRECT_BOARD_REVIEW.md — LIB-04</x:v>
      </x:c>
      <x:c r="L28" s="104" t="str">
        <x:v>Reopen on source/part/variant changes. No physical assembly is represented as tested.</x:v>
      </x:c>
      <x:c r="M28" s="104" t="str">
        <x:v>YES</x:v>
      </x:c>
      <x:c r="N28" s="104" t="str">
        <x:v>NO</x:v>
      </x:c>
      <x:c r="O28" s="104" t="str">
        <x:v>P0</x:v>
      </x:c>
    </x:row>
    <x:row r="29" ht="125" customHeight="1">
      <x:c r="A29" s="104" t="str">
        <x:v>LIB-05</x:v>
      </x:c>
      <x:c r="B29" s="104" t="str">
        <x:v>Symbols, footprints and connectivity</x:v>
      </x:c>
      <x:c r="C29" s="104" t="str">
        <x:v>Duplicates/NC/hidden supplies must be deliberate.</x:v>
      </x:c>
      <x:c r="D29" s="104" t="str">
        <x:v>Only repeated numbered pad groups: ESP41 thirteen GND instances, Q101.2 five common drain instances, J401.2 two GND shells. Unused pins are explicit unconnected nets; no hidden-supply ERC waiver.</x:v>
      </x:c>
      <x:c r="E29" s="104" t="str">
        <x:v>No unexplained duplicate or unexpected missing power connection found.</x:v>
      </x:c>
      <x:c r="F29" s="104" t="str">
        <x:v>VERIFIED</x:v>
      </x:c>
      <x:c r="G29" s="104" t="str">
        <x:v>CLOSED</x:v>
      </x:c>
      <x:c r="H29" s="104" t="str">
        <x:v>CLOSED</x:v>
      </x:c>
      <x:c r="I29" s="104" t="str">
        <x:v>Read actual native PCB objects/filled copper; dimensional/path calculations and exact manufacturer/reference comparison where applicable; source-bound outputs and requirement inspected.</x:v>
      </x:c>
      <x:c r="J29" s="104" t="str">
        <x:v>U201.41
Q101.2
J401.2
all generated unconnected nets</x:v>
      </x:c>
      <x:c r="K29" s="104" t="str">
        <x:v>audit/board_vetting_20260908/layout_mfg/manufacturing_native_evidence.json — duplicate_pad_groups; unnetted_physical_pins
audit/board_vetting_20260908/layout_mfg/DIRECT_BOARD_REVIEW.md — LIB-05</x:v>
      </x:c>
      <x:c r="L29" s="104" t="str">
        <x:v>Reopen on source/part/variant changes. No physical assembly is represented as tested.</x:v>
      </x:c>
      <x:c r="M29" s="104" t="str">
        <x:v>YES</x:v>
      </x:c>
      <x:c r="N29" s="104" t="str">
        <x:v>NO</x:v>
      </x:c>
      <x:c r="O29" s="104" t="str">
        <x:v>P0</x:v>
      </x:c>
    </x:row>
    <x:row r="30" ht="125" customHeight="1">
      <x:c r="A30" s="104" t="str">
        <x:v>LIB-06</x:v>
      </x:c>
      <x:c r="B30" s="104" t="str">
        <x:v>Symbols, footprints and connectivity</x:v>
      </x:c>
      <x:c r="C30" s="104" t="str">
        <x:v>Labels/ports must preserve distinct physical nets and directions.</x:v>
      </x:c>
      <x:c r="D30" s="104" t="str">
        <x:v>All 480 current matrix rows match final copper net assignment; power-stage nodes and OIL_EFUSE_RTN remain distinct, GPS TX/RX actual endpoints crossed.</x:v>
      </x:c>
      <x:c r="E30" s="104" t="str">
        <x:v>No global collision found by complete native map plus critical semantic contracts.</x:v>
      </x:c>
      <x:c r="F30" s="104" t="str">
        <x:v>VERIFIED</x:v>
      </x:c>
      <x:c r="G30" s="104" t="str">
        <x:v>CLOSED</x:v>
      </x:c>
      <x:c r="H30" s="104" t="str">
        <x:v>CLOSED</x:v>
      </x:c>
      <x:c r="I30" s="104" t="str">
        <x:v>Read actual native PCB objects/filled copper; dimensional/path calculations and exact manufacturer/reference comparison where applicable; source-bound outputs and requirement inspected.</x:v>
      </x:c>
      <x:c r="J30" s="104" t="str">
        <x:v>PROTECTED_12V
5V_VIN
5V_SOURCE
OIL_EFUSE_RTN
GPS_TX_MCU
GPS_RX_BUFFER</x:v>
      </x:c>
      <x:c r="K30" s="104" t="str">
        <x:v>audit/board_vetting_20260908/layout_mfg/manufacturing_native_evidence.json — native_matrix_mismatches=[]
audit/board_vetting_20260908/layout_mfg/DIRECT_BOARD_REVIEW.md — LIB-06</x:v>
      </x:c>
      <x:c r="L30" s="104" t="str">
        <x:v>Reopen on source/part/variant changes. No physical assembly is represented as tested.</x:v>
      </x:c>
      <x:c r="M30" s="104" t="str">
        <x:v>YES</x:v>
      </x:c>
      <x:c r="N30" s="104" t="str">
        <x:v>NO</x:v>
      </x:c>
      <x:c r="O30" s="104" t="str">
        <x:v>P0</x:v>
      </x:c>
    </x:row>
    <x:row r="31" ht="125" customHeight="1">
      <x:c r="A31" s="104" t="str">
        <x:v>LIB-07</x:v>
      </x:c>
      <x:c r="B31" s="104" t="str">
        <x:v>Symbols, footprints and connectivity</x:v>
      </x:c>
      <x:c r="C31" s="104" t="str">
        <x:v>N8R2 variant restrictions and GPIO allocation must match firmware.</x:v>
      </x:c>
      <x:c r="D31" s="104" t="str">
        <x:v>U201 is ESP32-S3-WROOM-1-N8R2;35/36/37 and old strap LED3/46 unused. CAN5/4, GPS18/17/16, oil1/2, UART43/44 and EN/GPIO0 map to actual pads.</x:v>
      </x:c>
      <x:c r="E31" s="104" t="str">
        <x:v>No forbidden N8R2 pad usage found. Old RevA firmware is not an unchanged drop-in.</x:v>
      </x:c>
      <x:c r="F31" s="104" t="str">
        <x:v>VERIFIED</x:v>
      </x:c>
      <x:c r="G31" s="104" t="str">
        <x:v>CLOSED</x:v>
      </x:c>
      <x:c r="H31" s="104" t="str">
        <x:v>CLOSED</x:v>
      </x:c>
      <x:c r="I31" s="104" t="str">
        <x:v>Read actual native PCB objects/filled copper; dimensional/path calculations and exact manufacturer/reference comparison where applicable; source-bound outputs and requirement inspected.</x:v>
      </x:c>
      <x:c r="J31" s="104" t="str">
        <x:v>U201
GPIO35/36/37
GPIO3/46
GPIO1/2
GPIO4/5
GPIO16/17/18</x:v>
      </x:c>
      <x:c r="K31" s="104" t="str">
        <x:v>audit/board_vetting_20260908/layout_mfg/manufacturing_native_evidence.json — critical_native_pin_maps.U201
audit/board_vetting_20260908/layout_mfg/DIRECT_BOARD_REVIEW.md — LIB-07</x:v>
      </x:c>
      <x:c r="L31" s="104" t="str">
        <x:v>Reopen on source/part/variant changes. No physical assembly is represented as tested.</x:v>
      </x:c>
      <x:c r="M31" s="104" t="str">
        <x:v>YES</x:v>
      </x:c>
      <x:c r="N31" s="104" t="str">
        <x:v>NO</x:v>
      </x:c>
      <x:c r="O31" s="104" t="str">
        <x:v>P1</x:v>
      </x:c>
    </x:row>
    <x:row r="32" ht="125" customHeight="1">
      <x:c r="A32" s="104" t="str">
        <x:v>LIB-08</x:v>
      </x:c>
      <x:c r="B32" s="104" t="str">
        <x:v>Symbols, footprints and connectivity</x:v>
      </x:c>
      <x:c r="C32" s="104" t="str">
        <x:v>Exposed pads and shells must have correct geometry, return and heat-spreading connections.</x:v>
      </x:c>
      <x:c r="D32" s="104" t="str">
        <x:v>Measured EP U121 2.95×4.9GND, U151 3.4×5GND, U301 1.65×2.4GND, U501 3.4×5privateRTN.5 / 6 / 3 / 4 same-net vias within EP+1.5 mm respectively; ESP/shell repeated grounds correct.</x:v>
      </x:c>
      <x:c r="E32" s="104" t="str">
        <x:v>No wrong EP net or missing local thermal-via connection found. Effective thermal resistance depends on actual solder/copper/process.</x:v>
      </x:c>
      <x:c r="F32" s="104" t="str">
        <x:v>VERIFIED</x:v>
      </x:c>
      <x:c r="G32" s="104" t="str">
        <x:v>CLOSED</x:v>
      </x:c>
      <x:c r="H32" s="104" t="str">
        <x:v>CLOSED</x:v>
      </x:c>
      <x:c r="I32" s="104" t="str">
        <x:v>Read actual native PCB objects/filled copper; dimensional/path calculations and exact manufacturer/reference comparison where applicable; source-bound outputs and requirement inspected.</x:v>
      </x:c>
      <x:c r="J32" s="104" t="str">
        <x:v>U121.9
U151.17
U301.9
U501.17
U201.41
J401.2</x:v>
      </x:c>
      <x:c r="K32" s="104" t="str">
        <x:v>audit/board_vetting_20260908/layout_mfg/DIRECT_LAYOUT_MEASUREMENTS.json — EP_checks; zone_connections
audit/board_vetting_20260908/layout_mfg/DIRECT_BOARD_REVIEW.md — LIB-08</x:v>
      </x:c>
      <x:c r="L32" s="104" t="str">
        <x:v>Verify exposed-pad solder coverage/voids and actual temperature rise.</x:v>
      </x:c>
      <x:c r="M32" s="104" t="str">
        <x:v>YES</x:v>
      </x:c>
      <x:c r="N32" s="104" t="str">
        <x:v>YES</x:v>
      </x:c>
      <x:c r="O32" s="104" t="str">
        <x:v>P0</x:v>
      </x:c>
    </x:row>
    <x:row r="33" ht="125" customHeight="1">
      <x:c r="A33" s="104" t="str">
        <x:v>LIB-09</x:v>
      </x:c>
      <x:c r="B33" s="104" t="str">
        <x:v>Symbols, footprints and connectivity</x:v>
      </x:c>
      <x:c r="C33" s="104" t="str">
        <x:v>Normal/reverse current paths and physical polarity must agree with exact parts.</x:v>
      </x:c>
      <x:c r="D33" s="104" t="str">
        <x:v>Q101 physicalG1/D2/S3 and D101K1/A2 connect upstream-drain/source-protected paths; D104K1gate/A2source. ADC BEA clamp1K/2 A and LEDs1K/2 A match actual copper.</x:v>
      </x:c>
      <x:c r="E33" s="104" t="str">
        <x:v>No reversed MOSFET or clamp/LED polarity found in placed net map.</x:v>
      </x:c>
      <x:c r="F33" s="104" t="str">
        <x:v>VERIFIED</x:v>
      </x:c>
      <x:c r="G33" s="104" t="str">
        <x:v>CLOSED</x:v>
      </x:c>
      <x:c r="H33" s="104" t="str">
        <x:v>CLOSED</x:v>
      </x:c>
      <x:c r="I33" s="104" t="str">
        <x:v>Read actual native PCB objects/filled copper; dimensional/path calculations and exact manufacturer/reference comparison where applicable; source-bound outputs and requirement inspected.</x:v>
      </x:c>
      <x:c r="J33" s="104" t="str">
        <x:v>Q101.1/2/3
D101
D103
D104
D511/D512/D521/D522
D601–606</x:v>
      </x:c>
      <x:c r="K33" s="104" t="str">
        <x:v>audit/board_vetting_20260908/layout_mfg/manufacturing_native_evidence.json — critical_native_pin_maps; native_matrix_mismatches
audit/board_vetting_20260908/layout_mfg/DIRECT_BOARD_REVIEW.md — LIB-09</x:v>
      </x:c>
      <x:c r="L33" s="104" t="str">
        <x:v>Incoming marked parts and installed polarity still require inspection.</x:v>
      </x:c>
      <x:c r="M33" s="104" t="str">
        <x:v>YES</x:v>
      </x:c>
      <x:c r="N33" s="104" t="str">
        <x:v>YES</x:v>
      </x:c>
      <x:c r="O33" s="104" t="str">
        <x:v>P0</x:v>
      </x:c>
    </x:row>
    <x:row r="34" ht="125" customHeight="1">
      <x:c r="A34" s="104" t="str">
        <x:v>LIB-10</x:v>
      </x:c>
      <x:c r="B34" s="104" t="str">
        <x:v>Symbols, footprints and connectivity</x:v>
      </x:c>
      <x:c r="C34" s="104" t="str">
        <x:v>Populated links/options must not bypass protection or force vehicle termination/TX.</x:v>
      </x:c>
      <x:c r="D34" s="104" t="str">
        <x:v>R301 hardwareTX link and R306120 Ω absent; SJ301 remains separate pads/open. Required power links and external antennaR406 fitted. Fresh BOM/CPL matches factory selection.</x:v>
      </x:c>
      <x:c r="E34" s="104" t="str">
        <x:v>No unintended populated bypass found. Bench changes are a separate variant.</x:v>
      </x:c>
      <x:c r="F34" s="104" t="str">
        <x:v>VERIFIED</x:v>
      </x:c>
      <x:c r="G34" s="104" t="str">
        <x:v>CLOSED</x:v>
      </x:c>
      <x:c r="H34" s="104" t="str">
        <x:v>CLOSED</x:v>
      </x:c>
      <x:c r="I34" s="104" t="str">
        <x:v>Read actual native PCB objects/filled copper; dimensional/path calculations and exact manufacturer/reference comparison where applicable; source-bound outputs and requirement inspected.</x:v>
      </x:c>
      <x:c r="J34" s="104" t="str">
        <x:v>R301
R306
SJ301
R128
R151
R406</x:v>
      </x:c>
      <x:c r="K34" s="104" t="str">
        <x:v>audit/board_vetting_20260908/layout_mfg/manufacturing_native_evidence.json — factory_BOM_mismatch=[]; factory_CPL_mismatch=[]
audit/board_vetting_20260908/layout_mfg/DIRECT_BOARD_REVIEW.md — LIB-10</x:v>
      </x:c>
      <x:c r="L34" s="104" t="str">
        <x:v>Reopen on source/part/variant changes. No physical assembly is represented as tested.</x:v>
      </x:c>
      <x:c r="M34" s="104" t="str">
        <x:v>YES</x:v>
      </x:c>
      <x:c r="N34" s="104" t="str">
        <x:v>NO</x:v>
      </x:c>
      <x:c r="O34" s="104" t="str">
        <x:v>P1</x:v>
      </x:c>
    </x:row>
    <x:row r="35" ht="200" customHeight="1">
      <x:c r="A35" s="104" t="str">
        <x:v>WCA-01</x:v>
      </x:c>
      <x:c r="B35" s="104" t="str">
        <x:v>Worst-case circuit and component analysis</x:v>
      </x:c>
      <x:c r="C35" s="104" t="str">
        <x:v>Per-pin and per-part stress table distinguishes operating margin from survival margin.</x:v>
      </x:c>
      <x:c r="D35" s="104" t="str">
        <x:v>LTC VIN58.24 V allocation&lt;60 V operating, gate69.39 V&lt;73 V operating; buck VIN52.79 V allocation&lt;100 V. Main3.3 V static3.25–3.35 V&lt;ESP3.6 V. All 111 current passive identities/nets reconciled.</x:v>
      </x:c>
      <x:c r="E35" s="104" t="str">
        <x:v>Old register only identified stale stress-table coverage. Current voltage/current screens now exist, with operating and abnormal scenarios separated.</x:v>
      </x:c>
      <x:c r="F35" s="104" t="str">
        <x:v>CALCULATED</x:v>
      </x:c>
      <x:c r="G35" s="104" t="str">
        <x:v>OPEN</x:v>
      </x:c>
      <x:c r="H35" s="104" t="str">
        <x:v>OPEN</x:v>
      </x:c>
      <x:c r="I35" s="104" t="str">
        <x:v>Native KiCad pad/net extraction; exact selected-part comparison; deterministic calculations and circuit-state tracing. No physical pass is inferred.</x:v>
      </x:c>
      <x:c r="J35" s="104" t="str">
        <x:v>{"reference":"U101","layer":"B.Cu","x_mm":33,"y_mm":30.5,"nets":["GND","INPUT_FAULT_N","INPUT_GATE_DRIVE","INPUT_OV","INPUT_SHDN","INPUT_UV","PROTECTED_12V","PROTECT_CTRL_VIN"]}
{"reference":"Q101","layer":"F.Cu","x_mm":33.299999,"y_mm":29,"nets":["INPUT_GATE","PROTECTED_12V","REV_BLOCKED_12V"]}
{"reference":"U121","layer":"F.Cu","x_mm":47,"y_mm":26.5,"nets":["","5V_BST","5V_EN","5V_FB","5V_PGOOD","5V_RON","5V_SW","5V_VIN","GND"]}
{"reference":"U151","layer":"B.Cu","x_mm":35,"y_mm":13,"nets":["","3V3_BOOT","3V3_PGOOD","3V3_SOURCE","3V3_SW","3V3_VCC_INTERNAL","3V3_VIN","GND","unconnected-(U151-NC-Pad14)"]}
{"reference":"U403","layer":"F.Cu","x_mm":39,"y_mm":6,"nets":["GND","GPS_3V3","GPS_5V_IN","unconnected-(U403-NC-Pad4)"]}</x:v>
      </x:c>
      <x:c r="K35" s="104" t="str">
        <x:v>audit/board_vetting_20260908/lanes/power_evidence/native_power_objects.json — parts.U101,Q101,U121,U151,U403
audit/board_vetting_20260908/lanes/power_evidence/power_calculations.json — gate_clamps; GPS_LDO; coupled_load_screen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35" s="104" t="str">
        <x:v>Full pin dynamic stress needs measured ringing/partial-power and exact harness waveform; engineering allocations are not guaranteed clamps.</x:v>
      </x:c>
      <x:c r="M35" s="104" t="str">
        <x:v>NO</x:v>
      </x:c>
      <x:c r="N35" s="104" t="str">
        <x:v>YES</x:v>
      </x:c>
      <x:c r="O35" s="104" t="str">
        <x:v>P0</x:v>
      </x:c>
    </x:row>
    <x:row r="36" ht="170" customHeight="1">
      <x:c r="A36" s="104" t="str">
        <x:v>WCA-02</x:v>
      </x:c>
      <x:c r="B36" s="104" t="str">
        <x:v>Worst-case circuit and component analysis</x:v>
      </x:c>
      <x:c r="C36" s="104" t="str">
        <x:v>Worst-case calculations cover normal bias and credible transient/fault currents.</x:v>
      </x:c>
      <x:c r="D36" s="104" t="str">
        <x:v>111-part schedule includes every resistor; 8 changed MPNs and8 added passives reconciled. R104/R126 use0.1 W/75 V ERA limits, R515/R525 use220 ohm/150ppm; R507 uses exact1.5 W HP pulse family. No normal allocated resistor stress exceeds selected rating.</x:v>
      </x:c>
      <x:c r="E36" s="104" t="str">
        <x:v>Consolidation gap closed for identity and static stress. Pulse/repetition and arbitrary failed-component current remain separately scoped.</x:v>
      </x:c>
      <x:c r="F36" s="104" t="str">
        <x:v>CALCULATED</x:v>
      </x:c>
      <x:c r="G36" s="104" t="str">
        <x:v>OPEN</x:v>
      </x:c>
      <x:c r="H36" s="104" t="str">
        <x:v>OPEN</x:v>
      </x:c>
      <x:c r="I36" s="104" t="str">
        <x:v>Native KiCad pad/net extraction; exact selected-part comparison; deterministic calculations and circuit-state tracing. No physical pass is inferred.</x:v>
      </x:c>
      <x:c r="J36" s="104" t="str">
        <x:v>{"reference":"R104","layer":"B.Cu","x_mm":27.8,"y_mm":29.6,"nets":["GND","INPUT_OV"]}
{"reference":"R126","layer":"F.Cu","x_mm":46.8,"y_mm":36.8,"nets":["5V_EN","GND"]}
{"reference":"R515","layer":"B.Cu","x_mm":86.25,"y_mm":27.9,"nets":["ADC_NODE","OIL_AMP_OUT"]}
{"reference":"R525","layer":"B.Cu","x_mm":85.1,"y_mm":25.8,"nets":["OIL_EXCITATION_ADC","OIL_EXC_AMP_OUT"]}
{"reference":"R507","layer":"F.Cu","x_mm":17.5,"y_mm":15.5,"nets":["OIL_5V","OIL_EFUSE_OUT"]}
{"reference":"R101","layer":"B.Cu","x_mm":26,"y_mm":37,"nets":["PROTECT_CTRL_VIN","REV_BLOCKED_12V"]}
{"reference":"R110","layer":"F.Cu","x_mm":31.4,"y_mm":16.399999,"nets":["5V_VIN","BUCK_FEED"]}</x:v>
      </x:c>
      <x:c r="K36" s="104" t="str">
        <x:v>audit/board_vetting_20260908/lanes/power_evidence/native_power_objects.json — parts.R104,R126,R515,R525,R507,R101,R110
audit/board_vetting_20260908/lanes/power_evidence/power_calculations.json — CURRENT_PASSIVE_STRESS.csv all resistor rows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6" s="104" t="str">
        <x:v>Resistor hot-board film temperature and declared surge repetition need confirmation; internal UART shorts can over-stress33 ohm links.</x:v>
      </x:c>
      <x:c r="M36" s="104" t="str">
        <x:v>YES</x:v>
      </x:c>
      <x:c r="N36" s="104" t="str">
        <x:v>YES</x:v>
      </x:c>
      <x:c r="O36" s="104" t="str">
        <x:v>P1</x:v>
      </x:c>
    </x:row>
    <x:row r="37" ht="215" customHeight="1">
      <x:c r="A37" s="104" t="str">
        <x:v>WCA-03</x:v>
      </x:c>
      <x:c r="B37" s="104" t="str">
        <x:v>Worst-case circuit and component analysis</x:v>
      </x:c>
      <x:c r="C37" s="104" t="str">
        <x:v>Selected-part curves and minimum/maximum effective capacitance used in circuit calculations.</x:v>
      </x:c>
      <x:c r="D37" s="104" t="str">
        <x:v>Actual C127/128 nominal44 uF gives20.748 uF biased allocation; C155–157 gives37.901 uF; each GPS22 uF gives&gt;=10.374 uF allocation. C504–506 yield5.508 uF at24 V versus5 uF requirement.</x:v>
      </x:c>
      <x:c r="E37" s="104" t="str">
        <x:v>All current caps appear in stress schedule. Minimum values remain typical-curve and aging/lot allocations, not measured all-lot guarantees.</x:v>
      </x:c>
      <x:c r="F37" s="104" t="str">
        <x:v>CALCULATED</x:v>
      </x:c>
      <x:c r="G37" s="104" t="str">
        <x:v>OPEN</x:v>
      </x:c>
      <x:c r="H37" s="104" t="str">
        <x:v>OPEN</x:v>
      </x:c>
      <x:c r="I37" s="104" t="str">
        <x:v>Native KiCad pad/net extraction; exact selected-part comparison; deterministic calculations and circuit-state tracing. No physical pass is inferred.</x:v>
      </x:c>
      <x:c r="J37" s="104" t="str">
        <x:v>{"reference":"C127","layer":"F.Cu","x_mm":58,"y_mm":38,"nets":["5V_SOURCE","GND"]}
{"reference":"C128","layer":"F.Cu","x_mm":63,"y_mm":38,"nets":["5V_SOURCE","GND"]}
{"reference":"C155","layer":"B.Cu","x_mm":26,"y_mm":22,"nets":["3V3_SOURCE","GND"]}
{"reference":"C156","layer":"B.Cu","x_mm":31.1,"y_mm":22,"nets":["3V3_SOURCE","GND"]}
{"reference":"C157","layer":"B.Cu","x_mm":36.2,"y_mm":22,"nets":["3V3_SOURCE","GND"]}
{"reference":"C401","layer":"F.Cu","x_mm":34.9,"y_mm":7,"nets":["GND","GPS_5V_IN"]}
{"reference":"C402","layer":"F.Cu","x_mm":43,"y_mm":7,"nets":["GND","GPS_3V3"]}
{"reference":"C504","layer":"F.Cu","x_mm":22,"y_mm":24.25,"nets":["GND","OIL_EFUSE_OUT"]}
{"reference":"C505","layer":"F.Cu","x_mm":21.25,"y_mm":20,"nets":["GND","OIL_EFUSE_OUT"]}
{"reference":"C506","layer":"F.Cu","x_mm":16.25,"y_mm":21.25,"nets":["GND","OIL_EFUSE_OUT"]}</x:v>
      </x:c>
      <x:c r="K37" s="104" t="str">
        <x:v>audit/board_vetting_20260908/lanes/power_evidence/native_power_objects.json — parts.C127,C128,C155,C156,C157,C401,C402,C504,C505,C506
audit/board_vetting_20260908/lanes/power_evidence/power_calculations.json — CURRENT_PASSIVE_STRESS.csv capacitor rows; calculations/EFFECTIVE_CAPACITANCE.json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7" s="104" t="str">
        <x:v>Exact operating bias/age effective-C distribution and installed response remain OPEN; not all small decouplers have manufacturer guaranteed minimum C.</x:v>
      </x:c>
      <x:c r="M37" s="104" t="str">
        <x:v>NO</x:v>
      </x:c>
      <x:c r="N37" s="104" t="str">
        <x:v>YES</x:v>
      </x:c>
      <x:c r="O37" s="104" t="str">
        <x:v>P1</x:v>
      </x:c>
    </x:row>
    <x:row r="38" ht="170" customHeight="1">
      <x:c r="A38" s="104" t="str">
        <x:v>WCA-04</x:v>
      </x:c>
      <x:c r="B38" s="104" t="str">
        <x:v>Worst-case circuit and component analysis</x:v>
      </x:c>
      <x:c r="C38" s="104" t="str">
        <x:v>Peak/RMS current calculations, current-limit corner and selected-part derating.</x:v>
      </x:c>
      <x:c r="D38" s="104" t="str">
        <x:v>With low5 V/high3.3 V and85%main efficiency plus122 mA oil short,5 V demand0.8553 A; L121 peak65V1.06834 A leaves0.18166 A to1.25 A minimum limit. L151 normal0.75 A corner peak1.037 A.</x:v>
      </x:c>
      <x:c r="E38" s="104" t="str">
        <x:v>Old0.7917 A budget used nominal rails. Expanded coupled screen still passes adopted corner. L1512.7 A maximum fault exceeds2.1A10%-droop point but below3.3A20%-droop25C point.</x:v>
      </x:c>
      <x:c r="F38" s="104" t="str">
        <x:v>CALCULATED</x:v>
      </x:c>
      <x:c r="G38" s="104" t="str">
        <x:v>OPEN</x:v>
      </x:c>
      <x:c r="H38" s="104" t="str">
        <x:v>OPEN</x:v>
      </x:c>
      <x:c r="I38" s="104" t="str">
        <x:v>Native KiCad pad/net extraction; exact selected-part comparison; deterministic calculations and circuit-state tracing. No physical pass is inferred.</x:v>
      </x:c>
      <x:c r="J38" s="104" t="str">
        <x:v>{"reference":"L121","layer":"F.Cu","x_mm":60,"y_mm":29,"nets":["5V_SOURCE","5V_SW"]}
{"reference":"L151","layer":"B.Cu","x_mm":25.7,"y_mm":16.5,"nets":["3V3_SOURCE","3V3_SW"]}
{"reference":"U121","layer":"F.Cu","x_mm":47,"y_mm":26.5,"nets":["","5V_BST","5V_EN","5V_FB","5V_PGOOD","5V_RON","5V_SW","5V_VIN","GND"]}
{"reference":"U151","layer":"B.Cu","x_mm":35,"y_mm":13,"nets":["","3V3_BOOT","3V3_PGOOD","3V3_SOURCE","3V3_SW","3V3_VCC_INTERNAL","3V3_VIN","GND","unconnected-(U151-NC-Pad14)"]}</x:v>
      </x:c>
      <x:c r="K38" s="104" t="str">
        <x:v>audit/board_vetting_20260908/lanes/power_evidence/native_power_objects.json — parts.L121,L151,U121,U151
audit/board_vetting_20260908/lanes/power_evidence/power_calculations.json — coupled_load_screen; L151_fault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38" s="104" t="str">
        <x:v>330 kHz floor, hot inductance and converter efficiency are allocations; actual fault/hiccup peak and core temperature require waveform checks.</x:v>
      </x:c>
      <x:c r="M38" s="104" t="str">
        <x:v>YES</x:v>
      </x:c>
      <x:c r="N38" s="104" t="str">
        <x:v>YES</x:v>
      </x:c>
      <x:c r="O38" s="104" t="str">
        <x:v>P0</x:v>
      </x:c>
    </x:row>
    <x:row r="39" ht="170" customHeight="1">
      <x:c r="A39" s="104" t="str">
        <x:v>WCA-05</x:v>
      </x:c>
      <x:c r="B39" s="104" t="str">
        <x:v>Worst-case circuit and component analysis</x:v>
      </x:c>
      <x:c r="C39" s="104" t="str">
        <x:v>Worst-temperature leakage/capacitance sensitivity analysis using exact parts.</x:v>
      </x:c>
      <x:c r="D39" s="104" t="str">
        <x:v>D301/D501 ESD2CAN24 on bus/oil; D402 TPD1E05U06 on RF; D511/512/521/522 externalADCclamps. Actual nets agree with intended channels.</x:v>
      </x:c>
      <x:c r="E39" s="104" t="str">
        <x:v>Protection exists; leakage/capacitance are performance loads, not eliminated by correct continuity. ADC100 uA loading and RF discontinuity model limits remain.</x:v>
      </x:c>
      <x:c r="F39" s="104" t="str">
        <x:v>OPEN</x:v>
      </x:c>
      <x:c r="G39" s="104" t="str">
        <x:v>OPEN</x:v>
      </x:c>
      <x:c r="H39" s="104" t="str">
        <x:v>OPEN</x:v>
      </x:c>
      <x:c r="I39" s="104" t="str">
        <x:v>Native KiCad pad/net extraction; exact selected-part comparison; deterministic calculations and circuit-state tracing. No physical pass is inferred.</x:v>
      </x:c>
      <x:c r="J39" s="104" t="str">
        <x:v>{"reference":"D301","layer":"B.Cu","x_mm":14.6,"y_mm":9.5,"nets":["CANH","CANL","GND"]}
{"reference":"D501","layer":"B.Cu","x_mm":14.2,"y_mm":20.5,"nets":["GND","OIL_5V","OIL_SIG"]}
{"reference":"D402","layer":"B.Cu","x_mm":63.6,"y_mm":12.3,"nets":["","GND","GPS_EXT_ANT"]}
{"reference":"D511","layer":"F.Cu","x_mm":86.9,"y_mm":35.1,"nets":["","+3V3","ADC_NODE"]}
{"reference":"D512","layer":"F.Cu","x_mm":84,"y_mm":38,"nets":["","ADC_NODE","GND"]}
{"reference":"D521","layer":"F.Cu","x_mm":79.5,"y_mm":35.1,"nets":["","+3V3","OIL_EXCITATION_ADC"]}
{"reference":"D522","layer":"F.Cu","x_mm":81.8,"y_mm":38,"nets":["","GND","OIL_EXCITATION_ADC"]}</x:v>
      </x:c>
      <x:c r="K39" s="104" t="str">
        <x:v>audit/board_vetting_20260908/lanes/power_evidence/native_power_objects.json — parts.D301,D501,D402,D511,D512,D521,D522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39" s="104" t="str">
        <x:v>See analog and RF lanes for exact leakage/capacitance performance; hot installed leakage/RF path still requires evidence.</x:v>
      </x:c>
      <x:c r="M39" s="104" t="str">
        <x:v>NO</x:v>
      </x:c>
      <x:c r="N39" s="104" t="str">
        <x:v>YES</x:v>
      </x:c>
      <x:c r="O39" s="104" t="str">
        <x:v>P1</x:v>
      </x:c>
    </x:row>
    <x:row r="40" ht="185" customHeight="1">
      <x:c r="A40" s="104" t="str">
        <x:v>WCA-06</x:v>
      </x:c>
      <x:c r="B40" s="104" t="str">
        <x:v>Worst-case circuit and component analysis</x:v>
      </x:c>
      <x:c r="C40" s="104" t="str">
        <x:v>VOH/VOL versus VIH/VIL margins plus pin-injection/back-power analysis.</x:v>
      </x:c>
      <x:c r="D40" s="104" t="str">
        <x:v>GPS crossing uses two SN74LVC2G125 devices powered on receiver domains, with Ioff; R407–411 define idle states. TCAN VCC/VIO share main 3.3 V. Tag VTREF shares3.3 V directly.</x:v>
      </x:c>
      <x:c r="E40" s="104" t="str">
        <x:v>Native receiver-domain buffers avoid direct GPS/main GPIO supply crossing. Tag UART remains a fixture-controlled back-power path.</x:v>
      </x:c>
      <x:c r="F40" s="104" t="str">
        <x:v>CALCULATED</x:v>
      </x:c>
      <x:c r="G40" s="104" t="str">
        <x:v>OPEN</x:v>
      </x:c>
      <x:c r="H40" s="104" t="str">
        <x:v>OPEN</x:v>
      </x:c>
      <x:c r="I40" s="104" t="str">
        <x:v>Native KiCad pad/net extraction; exact selected-part comparison; deterministic calculations and circuit-state tracing. No physical pass is inferred.</x:v>
      </x:c>
      <x:c r="J40" s="104" t="str">
        <x:v>{"reference":"U402","layer":"F.Cu","x_mm":65.3,"y_mm":19.6,"nets":["+3V3","GND","GPS_PPS_BUFFER","GPS_PPS_RAW","GPS_TX_BUFFER","GPS_TX_RAW"]}
{"reference":"U404","layer":"F.Cu","x_mm":60,"y_mm":19.6,"nets":["GND","GPS_3V3","GPS_FIX_RAW","GPS_RX_BUFFER","GPS_SEARCH_BUFFER","GPS_TX_MCU"]}
{"reference":"U301","layer":"B.Cu","x_mm":20.4,"y_mm":9.5,"nets":["","+3V3","CANH","CANL","CAN_RXD","CAN_TXD","GND"]}
{"reference":"R410","layer":"B.Cu","x_mm":63.6,"y_mm":20.4,"nets":["+3V3","GPS_TX_MCU"]}
{"reference":"R411","layer":"B.Cu","x_mm":60.9,"y_mm":20.4,"nets":["GND","GPS_TX_MCU"]}
{"reference":"J201","layer":"F.Cu","x_mm":71,"y_mm":6,"nets":["","+3V3","ESP_EN","ESP_GPIO0","GND","UART0_RX","UART0_TX"]}</x:v>
      </x:c>
      <x:c r="K40" s="104" t="str">
        <x:v>audit/board_vetting_20260908/lanes/power_evidence/native_power_objects.json — parts.U402,U404,U301,R410,R411,J201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0" s="104" t="str">
        <x:v>All actual interfaces must remain inside source/destination logic thresholds during rail edges; Ioff is finite leakage, not galvanic isolation.</x:v>
      </x:c>
      <x:c r="M40" s="104" t="str">
        <x:v>YES</x:v>
      </x:c>
      <x:c r="N40" s="104" t="str">
        <x:v>YES</x:v>
      </x:c>
      <x:c r="O40" s="104" t="str">
        <x:v>P0</x:v>
      </x:c>
    </x:row>
    <x:row r="41" ht="200" customHeight="1">
      <x:c r="A41" s="104" t="str">
        <x:v>WCA-07</x:v>
      </x:c>
      <x:c r="B41" s="104" t="str">
        <x:v>Worst-case circuit and component analysis</x:v>
      </x:c>
      <x:c r="C41" s="104" t="str">
        <x:v>Physical pin route, polarity and worst-case brightness/current calculation.</x:v>
      </x:c>
      <x:c r="D41" s="104" t="str">
        <x:v>D601–606: ESP GPIO→1kohm→LED anode; cathodes GND. GPS search LED comes from buffered FIX via R4051kohm. Even zero-Vf LED fault screens &lt;3.674 mA per channel and13.23mW resistor at3.6 V with tolerance/TCR.</x:v>
      </x:c>
      <x:c r="E41" s="104" t="str">
        <x:v>No collapsed LED resistor or wrong polarity observed in native nets; electrical paths checked independently, not inferred from silk.</x:v>
      </x:c>
      <x:c r="F41" s="104" t="str">
        <x:v>CALCULATED</x:v>
      </x:c>
      <x:c r="G41" s="104" t="str">
        <x:v>OPEN</x:v>
      </x:c>
      <x:c r="H41" s="104" t="str">
        <x:v>OPEN</x:v>
      </x:c>
      <x:c r="I41" s="104" t="str">
        <x:v>Native KiCad pad/net extraction; exact selected-part comparison; deterministic calculations and circuit-state tracing. No physical pass is inferred.</x:v>
      </x:c>
      <x:c r="J41" s="104" t="str">
        <x:v>{"reference":"R601","layer":"F.Cu","x_mm":17,"y_mm":6,"nets":["LED_PWR","LED_PWR_A"]}
{"reference":"R602","layer":"F.Cu","x_mm":20,"y_mm":6,"nets":["LED_BLE","LED_BLE_A"]}
{"reference":"R603","layer":"F.Cu","x_mm":23,"y_mm":6,"nets":["LED_CAN","LED_CAN_A"]}
{"reference":"R604","layer":"F.Cu","x_mm":26,"y_mm":6,"nets":["LED_GPS","LED_GPS_A"]}
{"reference":"R605","layer":"F.Cu","x_mm":29,"y_mm":6,"nets":["LED_SYS","LED_SYS_A"]}
{"reference":"R606","layer":"F.Cu","x_mm":32,"y_mm":6,"nets":["LED_OIL","LED_OIL_A"]}
{"reference":"D601","layer":"F.Cu","x_mm":17,"y_mm":3,"nets":["GND","LED_PWR_A"]}
{"reference":"D401","layer":"F.Cu","x_mm":30,"y_mm":9.5,"nets":["GND","GPS_SEARCH_LED_A"]}
{"reference":"R405","layer":"F.Cu","x_mm":28,"y_mm":12.2,"nets":["GPS_SEARCH_BUFFER","GPS_SEARCH_LED_A"]}</x:v>
      </x:c>
      <x:c r="K41" s="104" t="str">
        <x:v>audit/board_vetting_20260908/lanes/power_evidence/native_power_objects.json — parts.R601,R602,R603,R604,R605,R606,D601,D401,R405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audit/board_vetting_20260908/lanes/power_evidence/CURRENT_PASSIVE_STRESS.csv — All111 current R/C/L references; selected identity, actual pad nets, normal and abnormal stress
audit/board_vetting_20260908/lanes/power_evidence/README.md — Direct checks, numerical deltas, source limits and reproduction
audit/board_vetting_20260908/lanes/power_evidence/README.md — Direct checks, numerical deltas, source limits and reproduction</x:v>
      </x:c>
      <x:c r="L41" s="104" t="str">
        <x:v>Brightness and solder polarity need assembled inspection; sum of all LED allocations remains inside0.75 A main budget.</x:v>
      </x:c>
      <x:c r="M41" s="104" t="str">
        <x:v>YES</x:v>
      </x:c>
      <x:c r="N41" s="104" t="str">
        <x:v>YES</x:v>
      </x:c>
      <x:c r="O41" s="104" t="str">
        <x:v>P1</x:v>
      </x:c>
    </x:row>
    <x:row r="42" ht="230" customHeight="1">
      <x:c r="A42" s="104" t="str">
        <x:v>WCA-08</x:v>
      </x:c>
      <x:c r="B42" s="104" t="str">
        <x:v>Worst-case circuit and component analysis</x:v>
      </x:c>
      <x:c r="C42" s="104" t="str">
        <x:v>Worst populated-variant budget rather than isolated best-case calculations.</x:v>
      </x:c>
      <x:c r="D42" s="104" t="str">
        <x:v>Normal5 V current0.7070 A at90%main efficiency and rail extremes, versus prior nominal0.6825 A;85%maineff gives0.7408 A. Main0.75 A allocation includes ESP/BLE, CAN, logic andLEDs; GPS100 mA includes antenna.</x:v>
      </x:c>
      <x:c r="E42" s="104" t="str">
        <x:v>Simultaneous budgets are recalculated at rail corners; optional120 ohm/TXD fitted bench mode is not production configuration.</x:v>
      </x:c>
      <x:c r="F42" s="104" t="str">
        <x:v>CALCULATED</x:v>
      </x:c>
      <x:c r="G42" s="104" t="str">
        <x:v>OPEN</x:v>
      </x:c>
      <x:c r="H42" s="104" t="str">
        <x:v>CLOSED</x:v>
      </x:c>
      <x:c r="I42" s="104" t="str">
        <x:v>Native KiCad pad/net extraction; exact selected-part comparison; deterministic calculations and circuit-state tracing. No physical pass is inferred.</x:v>
      </x:c>
      <x:c r="J42"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
{"reference":"R301","layer":"B.Cu","x_mm":26,"y_mm":8,"nets":["CAN_TXD","CAN_TX_MCU"]}
{"reference":"R306","layer":"B.Cu","x_mm":14.8,"y_mm":3.8,"nets":["CANH","CAN_TERM_LINK"]}</x:v>
      </x:c>
      <x:c r="K42" s="104" t="str">
        <x:v>audit/board_vetting_20260908/lanes/power_evidence/native_power_objects.json — parts.U121,U151,U403,U501,R301,R306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2" s="104" t="str">
        <x:v>Exact real radio/antenna load peaks and timing remain unmeasured; cannot consume full1.5 A downstream rating through1 A upstream stage.</x:v>
      </x:c>
      <x:c r="M42" s="104" t="str">
        <x:v>YES</x:v>
      </x:c>
      <x:c r="N42" s="104" t="str">
        <x:v>YES</x:v>
      </x:c>
      <x:c r="O42" s="104" t="str">
        <x:v>P1</x:v>
      </x:c>
    </x:row>
    <x:row r="43" ht="125" customHeight="1">
      <x:c r="A43" s="104" t="str">
        <x:v>WCA-09</x:v>
      </x:c>
      <x:c r="B43" s="104" t="str">
        <x:v>Worst-case circuit and component analysis</x:v>
      </x:c>
      <x:c r="C43" s="104" t="str">
        <x:v>Tolerance method and distributions stated; deterministic limits used for safety-critical stress.</x:v>
      </x:c>
      <x:c r="D43" s="104" t="str">
        <x:v>Current stress and thresholds use deterministic interval corners. UV/OV recalculated with independent resistor±0.1% and±25ppm/K over100K, comparator/reference/leakage corners.</x:v>
      </x:c>
      <x:c r="E43" s="104" t="str">
        <x:v>Old threshold math omitted resistorTCR. UVoff7.324–7.667 V; UVon7.622–8.149 V; OVoff27.365–28.621 V; OVrecover25.586–27.494 V. No RSS credited toward survival.</x:v>
      </x:c>
      <x:c r="F43" s="104" t="str">
        <x:v>CALCULATED</x:v>
      </x:c>
      <x:c r="G43" s="104" t="str">
        <x:v>CLOSED</x:v>
      </x:c>
      <x:c r="H43" s="104" t="str">
        <x:v>CLOSED</x:v>
      </x:c>
      <x:c r="I43" s="104" t="str">
        <x:v>Native KiCad pad/net extraction; exact selected-part comparison; deterministic calculations and circuit-state tracing. No physical pass is inferred.</x:v>
      </x:c>
      <x:c r="J43" s="104" t="str">
        <x:v>{"reference":"R102","layer":"B.Cu","x_mm":28.5,"y_mm":25.1,"nets":["INPUT_UV","REV_BLOCKED_12V"]}
{"reference":"R103","layer":"B.Cu","x_mm":27.8,"y_mm":27.5,"nets":["INPUT_OV","INPUT_UV"]}
{"reference":"R104","layer":"B.Cu","x_mm":27.8,"y_mm":29.6,"nets":["GND","INPUT_OV"]}
{"reference":"U101","layer":"B.Cu","x_mm":33,"y_mm":30.5,"nets":["GND","INPUT_FAULT_N","INPUT_GATE_DRIVE","INPUT_OV","INPUT_SHDN","INPUT_UV","PROTECTED_12V","PROTECT_CTRL_VIN"]}</x:v>
      </x:c>
      <x:c r="K43" s="104" t="str">
        <x:v>audit/board_vetting_20260908/lanes/power_evidence/native_power_objects.json — parts.R102,R103,R104,U101
audit/board_vetting_20260908/lanes/power_evidence/power_calculations.json — thresholds_with_TCR_100K_V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3" s="104" t="str">
        <x:v>100K resistor excursion is an engineering thermal envelope; long-term resistance drift is not yet a bounded lifetime requirement.</x:v>
      </x:c>
      <x:c r="M43" s="104" t="str">
        <x:v>YES</x:v>
      </x:c>
      <x:c r="N43" s="104" t="str">
        <x:v>NO</x:v>
      </x:c>
      <x:c r="O43" s="104" t="str">
        <x:v>P1</x:v>
      </x:c>
    </x:row>
    <x:row r="44" ht="140" customHeight="1">
      <x:c r="A44" s="104" t="str">
        <x:v>WCA-10</x:v>
      </x:c>
      <x:c r="B44" s="104" t="str">
        <x:v>Worst-case circuit and component analysis</x:v>
      </x:c>
      <x:c r="C44" s="104" t="str">
        <x:v>Approved vendor list and documented equivalence review for each allowed substitution.</x:v>
      </x:c>
      <x:c r="D44" s="104" t="str">
        <x:v>Native selected MPNs match component contract. U121 is industrial LM5164DDAR; U101 uses automotive #W; D104 selected B15Q tighter bin; L121 exact MSS1246T-473MLC retained.</x:v>
      </x:c>
      <x:c r="E44" s="104" t="str">
        <x:v>Exact selected grades and alternative changes independently recovered. Non-Q1 regulator is not relabeled AEC-Q100.</x:v>
      </x:c>
      <x:c r="F44" s="104" t="str">
        <x:v>VERIFIED</x:v>
      </x:c>
      <x:c r="G44" s="104" t="str">
        <x:v>OPEN</x:v>
      </x:c>
      <x:c r="H44" s="104" t="str">
        <x:v>OPEN</x:v>
      </x:c>
      <x:c r="I44" s="104" t="str">
        <x:v>Native KiCad pad/net extraction; exact selected-part comparison; deterministic calculations and circuit-state tracing. No physical pass is inferred.</x:v>
      </x:c>
      <x:c r="J44" s="104" t="str">
        <x:v>{"reference":"U101","layer":"B.Cu","x_mm":33,"y_mm":30.5,"nets":["GND","INPUT_FAULT_N","INPUT_GATE_DRIVE","INPUT_OV","INPUT_SHDN","INPUT_UV","PROTECTED_12V","PROTECT_CTRL_VIN"]}
{"reference":"U121","layer":"F.Cu","x_mm":47,"y_mm":26.5,"nets":["","5V_BST","5V_EN","5V_FB","5V_PGOOD","5V_RON","5V_SW","5V_VIN","GND"]}
{"reference":"D104","layer":"F.Cu","x_mm":41,"y_mm":31.8,"nets":["INPUT_GATE","PROTECTED_12V"]}
{"reference":"L121","layer":"F.Cu","x_mm":60,"y_mm":29,"nets":["5V_SOURCE","5V_SW"]}</x:v>
      </x:c>
      <x:c r="K44" s="104" t="str">
        <x:v>audit/board_vetting_20260908/lanes/power_evidence/native_power_objects.json — parts.U101,U121,D104,L121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4" s="104" t="str">
        <x:v>Lifecycle/stock allocation are time-sensitive procurement tasks; electrical substitutions require renewed approval.</x:v>
      </x:c>
      <x:c r="M44" s="104" t="str">
        <x:v>YES</x:v>
      </x:c>
      <x:c r="N44" s="104" t="str">
        <x:v>NO</x:v>
      </x:c>
      <x:c r="O44" s="104" t="str">
        <x:v>P1</x:v>
      </x:c>
    </x:row>
    <x:row r="45" ht="140" customHeight="1">
      <x:c r="A45" s="104" t="str">
        <x:v>PWR-01</x:v>
      </x:c>
      <x:c r="B45" s="104" t="str">
        <x:v>Automotive power entry and protection</x:v>
      </x:c>
      <x:c r="C45" s="104" t="str">
        <x:v>Agreed waveform envelope includes source impedance, duration, repetition and allowed functional status.</x:v>
      </x:c>
      <x:c r="D45" s="104" t="str">
        <x:v>F1.3 feeds all power; F1.4 is NC. Declared screens: 9.5–16 V normal; 24 V and −24 V for60 s; 101 V load dump with5–10 ms rise,400 ms duration and0.5–4 ohm source; ±150 V fast pulses through50 ohm. Crank resets are accepted.</x:v>
      </x:c>
      <x:c r="E45" s="104" t="str">
        <x:v>The actual board implements switched supply only. OEM source impedance and waveform remain engineering assumptions.</x:v>
      </x:c>
      <x:c r="F45" s="104" t="str">
        <x:v>DESIGN INTENT</x:v>
      </x:c>
      <x:c r="G45" s="104" t="str">
        <x:v>OPEN</x:v>
      </x:c>
      <x:c r="H45" s="104" t="str">
        <x:v>OPEN</x:v>
      </x:c>
      <x:c r="I45" s="104" t="str">
        <x:v>Native KiCad pad/net extraction; exact selected-part comparison; deterministic calculations and circuit-state tracing. No physical pass is inferred.</x:v>
      </x:c>
      <x:c r="J45" s="104" t="str">
        <x:v>{"reference":"F1","layer":"F.Cu","x_mm":8.3,"y_mm":23.5,"nets":["","CANH","CANL","GND","OIL_5V","OIL_SIG","RAW_12V","unconnected-(F1-SPARE_NC-Pad10)","unconnected-(F1-SPARE_NC-Pad11)","unconnected-(F1-SPARE_NC-Pad12)","unconnected-(F1-SPARE_NC-Pad4)"]}
{"reference":"F101","layer":"F.Cu","x_mm":10,"y_mm":32.5,"nets":["FUSED_12V","RAW_12V"]}
{"reference":"U101","layer":"B.Cu","x_mm":33,"y_mm":30.5,"nets":["GND","INPUT_FAULT_N","INPUT_GATE_DRIVE","INPUT_OV","INPUT_SHDN","INPUT_UV","PROTECTED_12V","PROTECT_CTRL_VIN"]}</x:v>
      </x:c>
      <x:c r="K45" s="104" t="str">
        <x:v>audit/board_vetting_20260908/lanes/power_evidence/native_power_objects.json — parts.F1,F101,U101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5" s="104" t="str">
        <x:v>Define the actual ASC/harness electrical envelope and source fuse. These screens are not an ISO/OEM certification.</x:v>
      </x:c>
      <x:c r="M45" s="104" t="str">
        <x:v>NO</x:v>
      </x:c>
      <x:c r="N45" s="104" t="str">
        <x:v>YES</x:v>
      </x:c>
      <x:c r="O45" s="104" t="str">
        <x:v>P0</x:v>
      </x:c>
    </x:row>
    <x:row r="46" ht="215" customHeight="1">
      <x:c r="A46" s="104" t="str">
        <x:v>PWR-02</x:v>
      </x:c>
      <x:c r="B46" s="104" t="str">
        <x:v>Automotive power entry and protection</x:v>
      </x:c>
      <x:c r="C46" s="104" t="str">
        <x:v>Traced normal and fault current paths with voltage, energy and clearing-time budgets.</x:v>
      </x:c>
      <x:c r="D46" s="104" t="str">
        <x:v>Native path is F1.3→F101→D101 anode→REV_BLOCKED cathode→Q101 drain2/source3→PROTECTED→R109→R110→buck. D103 cathode is PROTECTED; anode is GND.</x:v>
      </x:c>
      <x:c r="E46" s="104" t="str">
        <x:v>The FET body diode opposes normal forward conduction while off. Separate D101 supplies reverse blocking. Fuse clearing energy remains unbounded.</x:v>
      </x:c>
      <x:c r="F46" s="104" t="str">
        <x:v>CALCULATED</x:v>
      </x:c>
      <x:c r="G46" s="104" t="str">
        <x:v>OPEN</x:v>
      </x:c>
      <x:c r="H46" s="104" t="str">
        <x:v>OPEN</x:v>
      </x:c>
      <x:c r="I46" s="104" t="str">
        <x:v>Native KiCad pad/net extraction; exact selected-part comparison; deterministic calculations and circuit-state tracing. No physical pass is inferred.</x:v>
      </x:c>
      <x:c r="J46" s="104" t="str">
        <x:v>{"reference":"F1","layer":"F.Cu","x_mm":8.3,"y_mm":23.5,"nets":["","CANH","CANL","GND","OIL_5V","OIL_SIG","RAW_12V","unconnected-(F1-SPARE_NC-Pad10)","unconnected-(F1-SPARE_NC-Pad11)","unconnected-(F1-SPARE_NC-Pad12)","unconnected-(F1-SPARE_NC-Pad4)"]}
{"reference":"F101","layer":"F.Cu","x_mm":10,"y_mm":32.5,"nets":["FUSED_12V","RAW_12V"]}
{"reference":"D101","layer":"F.Cu","x_mm":23.4,"y_mm":32.5,"nets":["FUSED_12V","REV_BLOCKED_12V"]}
{"reference":"Q101","layer":"F.Cu","x_mm":33.299999,"y_mm":29,"nets":["INPUT_GATE","PROTECTED_12V","REV_BLOCKED_12V"]}
{"reference":"D103","layer":"F.Cu","x_mm":37.5,"y_mm":37.5,"nets":["GND","PROTECTED_12V"]}
{"reference":"R109","layer":"F.Cu","x_mm":34.2,"y_mm":23,"nets":["BUCK_FEED","PROTECTED_12V"]}
{"reference":"R110","layer":"F.Cu","x_mm":31.4,"y_mm":16.399999,"nets":["5V_VIN","BUCK_FEED"]}</x:v>
      </x:c>
      <x:c r="K46" s="104" t="str">
        <x:v>audit/board_vetting_20260908/lanes/power_evidence/native_power_objects.json — parts.F1,F101,D101,Q101,D103,R109,R110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46" s="104" t="str">
        <x:v>Installed prospective fault current, clearing time and thermal containment need the actual harness/fuse contract and tests.</x:v>
      </x:c>
      <x:c r="M46" s="104" t="str">
        <x:v>YES</x:v>
      </x:c>
      <x:c r="N46" s="104" t="str">
        <x:v>YES</x:v>
      </x:c>
      <x:c r="O46" s="104" t="str">
        <x:v>P0</x:v>
      </x:c>
    </x:row>
    <x:row r="47" ht="185" customHeight="1">
      <x:c r="A47" s="104" t="str">
        <x:v>PWR-03</x:v>
      </x:c>
      <x:c r="B47" s="104" t="str">
        <x:v>Automotive power entry and protection</x:v>
      </x:c>
      <x:c r="C47" s="104" t="str">
        <x:v>Worst-case clamp calculation lies within approved downstream stress limits with margin.</x:v>
      </x:c>
      <x:c r="D47" s="104" t="str">
        <x:v>D103 clamp allocation is38.9 V×1.10 hot+10 V ringing=52.79 V. Exact D104 B15 hot screen16.60 V gives69.39 V maximum allocated gate voltage. Controller VIN58.24 V leaves1.76 V to60 V operating limit.</x:v>
      </x:c>
      <x:c r="E47" s="104" t="str">
        <x:v>The selected B15 part tightens the historical69.69 V gate screen to69.39 V. Dynamic clamp margins remain conditional allocations.</x:v>
      </x:c>
      <x:c r="F47" s="104" t="str">
        <x:v>CALCULATED</x:v>
      </x:c>
      <x:c r="G47" s="104" t="str">
        <x:v>OPEN</x:v>
      </x:c>
      <x:c r="H47" s="104" t="str">
        <x:v>OPEN</x:v>
      </x:c>
      <x:c r="I47" s="104" t="str">
        <x:v>Native KiCad pad/net extraction; exact selected-part comparison; deterministic calculations and circuit-state tracing. No physical pass is inferred.</x:v>
      </x:c>
      <x:c r="J47" s="104" t="str">
        <x:v>{"reference":"D103","layer":"F.Cu","x_mm":37.5,"y_mm":37.5,"nets":["GND","PROTECTED_12V"]}
{"reference":"D104","layer":"F.Cu","x_mm":41,"y_mm":31.8,"nets":["INPUT_GATE","PROTECTED_12V"]}
{"reference":"D102","layer":"B.Cu","x_mm":35,"y_mm":38.5,"nets":["GND","PROTECT_CTRL_VIN"]}
{"reference":"R101","layer":"B.Cu","x_mm":26,"y_mm":37,"nets":["PROTECT_CTRL_VIN","REV_BLOCKED_12V"]}
{"reference":"U101","layer":"B.Cu","x_mm":33,"y_mm":30.5,"nets":["GND","INPUT_FAULT_N","INPUT_GATE_DRIVE","INPUT_OV","INPUT_SHDN","INPUT_UV","PROTECTED_12V","PROTECT_CTRL_VIN"]}
{"reference":"Q101","layer":"F.Cu","x_mm":33.299999,"y_mm":29,"nets":["INPUT_GATE","PROTECTED_12V","REV_BLOCKED_12V"]}</x:v>
      </x:c>
      <x:c r="K47" s="104" t="str">
        <x:v>audit/board_vetting_20260908/lanes/power_evidence/native_power_objects.json — parts.D103,D104,D102,R101,U101,Q101
audit/board_vetting_20260908/lanes/power_evidence/power_calculations.json — gate_clamps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7" s="104" t="str">
        <x:v>Measure actual current, temperature, overshoot and rise time. The controller has only1.76 V allocated operating headroom.</x:v>
      </x:c>
      <x:c r="M47" s="104" t="str">
        <x:v>YES</x:v>
      </x:c>
      <x:c r="N47" s="104" t="str">
        <x:v>YES</x:v>
      </x:c>
      <x:c r="O47" s="104" t="str">
        <x:v>P0</x:v>
      </x:c>
    </x:row>
    <x:row r="48" ht="170" customHeight="1">
      <x:c r="A48" s="104" t="str">
        <x:v>PWR-04</x:v>
      </x:c>
      <x:c r="B48" s="104" t="str">
        <x:v>Automotive power entry and protection</x:v>
      </x:c>
      <x:c r="C48" s="104" t="str">
        <x:v>Transient energy, pulse derating, MOSFET SOA and thermal recovery evidence.</x:v>
      </x:c>
      <x:c r="D48" s="104" t="str">
        <x:v>The series disconnect interrupts slow load dump; D103 is not assigned the whole101 V/400 ms pulse. R101 has a0.687 W load-dump screen with resistance tolerance. Input capacitor charging alone is below77 mA.</x:v>
      </x:c>
      <x:c r="E48" s="104" t="str">
        <x:v>Loss of the series disconnect exposes the TVS to energy outside its accepted screen. Current rating and fuse I²t do not prove semiconductor survival.</x:v>
      </x:c>
      <x:c r="F48" s="104" t="str">
        <x:v>OPEN</x:v>
      </x:c>
      <x:c r="G48" s="104" t="str">
        <x:v>OPEN</x:v>
      </x:c>
      <x:c r="H48" s="104" t="str">
        <x:v>OPEN</x:v>
      </x:c>
      <x:c r="I48" s="104" t="str">
        <x:v>Native KiCad pad/net extraction; exact selected-part comparison; deterministic calculations and circuit-state tracing. No physical pass is inferred.</x:v>
      </x:c>
      <x:c r="J48" s="104" t="str">
        <x:v>{"reference":"Q101","layer":"F.Cu","x_mm":33.299999,"y_mm":29,"nets":["INPUT_GATE","PROTECTED_12V","REV_BLOCKED_12V"]}
{"reference":"D103","layer":"F.Cu","x_mm":37.5,"y_mm":37.5,"nets":["GND","PROTECTED_12V"]}
{"reference":"R101","layer":"B.Cu","x_mm":26,"y_mm":37,"nets":["PROTECT_CTRL_VIN","REV_BLOCKED_12V"]}
{"reference":"C103","layer":"F.Cu","x_mm":26.3,"y_mm":21,"nets":["GND","PROTECTED_12V"]}
{"reference":"C121","layer":"F.Cu","x_mm":39,"y_mm":21.4,"nets":["5V_VIN","GND"]}
{"reference":"C122","layer":"B.Cu","x_mm":41.6,"y_mm":25.2,"nets":["5V_VIN","GND"]}
{"reference":"C129","layer":"B.Cu","x_mm":43.2,"y_mm":30.5,"nets":["5V_VIN","GND"]}</x:v>
      </x:c>
      <x:c r="K48" s="104" t="str">
        <x:v>audit/board_vetting_20260908/lanes/power_evidence/native_power_objects.json — parts.Q101,D103,R101,C103,C121,C122,C129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8" s="104" t="str">
        <x:v>Verify MOSFET VDS×ID, initial case temperature, SOA, gate delay and repetition. No instantaneous low-impedance101 V step survival is claimed.</x:v>
      </x:c>
      <x:c r="M48" s="104" t="str">
        <x:v>NO</x:v>
      </x:c>
      <x:c r="N48" s="104" t="str">
        <x:v>YES</x:v>
      </x:c>
      <x:c r="O48" s="104" t="str">
        <x:v>P0</x:v>
      </x:c>
    </x:row>
    <x:row r="49" ht="230" customHeight="1">
      <x:c r="A49" s="104" t="str">
        <x:v>PWR-05</x:v>
      </x:c>
      <x:c r="B49" s="104" t="str">
        <x:v>Automotive power entry and protection</x:v>
      </x:c>
      <x:c r="C49" s="104" t="str">
        <x:v>Reverse-battery analysis includes USB/debug, sensor, CAN and antenna connections.</x:v>
      </x:c>
      <x:c r="D49" s="104" t="str">
        <x:v>D101.2 is anode at FUSED_12 V; D101.1 is cathode at REV_BLOCKED_12 V. Q101 drain is upstream and source is protected. GPS/CAN/Tag/sensor grounds remain conductive.</x:v>
      </x:c>
      <x:c r="E49" s="104" t="str">
        <x:v>The primary reverse-battery path is physically correct. Externally driven Tag UART or VTREF can bypass this protection.</x:v>
      </x:c>
      <x:c r="F49" s="104" t="str">
        <x:v>CALCULATED</x:v>
      </x:c>
      <x:c r="G49" s="104" t="str">
        <x:v>OPEN</x:v>
      </x:c>
      <x:c r="H49" s="104" t="str">
        <x:v>OPEN</x:v>
      </x:c>
      <x:c r="I49" s="104" t="str">
        <x:v>Native KiCad pad/net extraction; exact selected-part comparison; deterministic calculations and circuit-state tracing. No physical pass is inferred.</x:v>
      </x:c>
      <x:c r="J49" s="104" t="str">
        <x:v>{"reference":"D101","layer":"F.Cu","x_mm":23.4,"y_mm":32.5,"nets":["FUSED_12V","REV_BLOCKED_12V"]}
{"reference":"Q101","layer":"F.Cu","x_mm":33.299999,"y_mm":29,"nets":["INPUT_GATE","PROTECTED_12V","REV_BLOCKED_12V"]}
{"reference":"J201","layer":"F.Cu","x_mm":71,"y_mm":6,"nets":["","+3V3","ESP_EN","ESP_GPIO0","GND","UART0_RX","UART0_TX"]}
{"reference":"F1","layer":"F.Cu","x_mm":8.3,"y_mm":23.5,"nets":["","CANH","CANL","GND","OIL_5V","OIL_SIG","RAW_12V","unconnected-(F1-SPARE_NC-Pad10)","unconnected-(F1-SPARE_NC-Pad11)","unconnected-(F1-SPARE_NC-Pad12)","unconnected-(F1-SPARE_NC-Pad4)"]}
{"reference":"U402","layer":"F.Cu","x_mm":65.3,"y_mm":19.6,"nets":["+3V3","GND","GPS_PPS_BUFFER","GPS_PPS_RAW","GPS_TX_BUFFER","GPS_TX_RAW"]}
{"reference":"U404","layer":"F.Cu","x_mm":60,"y_mm":19.6,"nets":["GND","GPS_3V3","GPS_FIX_RAW","GPS_RX_BUFFER","GPS_SEARCH_BUFFER","GPS_TX_MCU"]}</x:v>
      </x:c>
      <x:c r="K49" s="104" t="str">
        <x:v>audit/board_vetting_20260908/lanes/power_evidence/native_power_objects.json — parts.D101,Q101,J201,F1,U402,U404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49" s="104" t="str">
        <x:v>Bound secondary powered-cable and ground-loss cases. The fixture must not drive VTREF or UART into an unpowered MCU.</x:v>
      </x:c>
      <x:c r="M49" s="104" t="str">
        <x:v>YES</x:v>
      </x:c>
      <x:c r="N49" s="104" t="str">
        <x:v>YES</x:v>
      </x:c>
      <x:c r="O49" s="104" t="str">
        <x:v>P0</x:v>
      </x:c>
    </x:row>
    <x:row r="50" ht="125" customHeight="1">
      <x:c r="A50" s="104" t="str">
        <x:v>PWR-06</x:v>
      </x:c>
      <x:c r="B50" s="104" t="str">
        <x:v>Automotive power entry and protection</x:v>
      </x:c>
      <x:c r="C50" s="104" t="str">
        <x:v>Upstream/downstream fuse coordination, wire rating and sustained fault-current analysis.</x:v>
      </x:c>
      <x:c r="D50" s="104" t="str">
        <x:v>F101 protects the downstream input path. A bridge from RAW F1.3 to adjacent GND F1.2 or F1.9 is upstream of F101 and bypasses the board fuse.</x:v>
      </x:c>
      <x:c r="E50" s="104" t="str">
        <x:v>Actual pad adjacency demonstrates why source-side harness fusing is required.</x:v>
      </x:c>
      <x:c r="F50" s="104" t="str">
        <x:v>HOLD</x:v>
      </x:c>
      <x:c r="G50" s="104" t="str">
        <x:v>OPEN</x:v>
      </x:c>
      <x:c r="H50" s="104" t="str">
        <x:v>OPEN</x:v>
      </x:c>
      <x:c r="I50" s="104" t="str">
        <x:v>Native KiCad pad/net extraction; exact selected-part comparison; deterministic calculations and circuit-state tracing. No physical pass is inferred.</x:v>
      </x:c>
      <x:c r="J50" s="104" t="str">
        <x:v>{"reference":"F1","layer":"F.Cu","x_mm":8.3,"y_mm":23.5,"nets":["","CANH","CANL","GND","OIL_5V","OIL_SIG","RAW_12V","unconnected-(F1-SPARE_NC-Pad10)","unconnected-(F1-SPARE_NC-Pad11)","unconnected-(F1-SPARE_NC-Pad12)","unconnected-(F1-SPARE_NC-Pad4)"]}
{"reference":"F101","layer":"F.Cu","x_mm":10,"y_mm":32.5,"nets":["FUSED_12V","RAW_12V"]}
{"reference":"D103","layer":"F.Cu","x_mm":37.5,"y_mm":37.5,"nets":["GND","PROTECTED_12V"]}</x:v>
      </x:c>
      <x:c r="K50" s="104" t="str">
        <x:v>audit/board_vetting_20260908/lanes/power_evidence/native_power_objects.json — parts.F1,F101,D103
audit/board_vetting_20260908/lanes/power_evidence/power_calculations.json — F1_nearest_pad_bridges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0" s="104" t="str">
        <x:v>Specify upstream fuse rating/location, wire rating and prospective current; calculate clearing energy and test containment.</x:v>
      </x:c>
      <x:c r="M50" s="104" t="str">
        <x:v>NO</x:v>
      </x:c>
      <x:c r="N50" s="104" t="str">
        <x:v>YES</x:v>
      </x:c>
      <x:c r="O50" s="104" t="str">
        <x:v>P0</x:v>
      </x:c>
    </x:row>
    <x:row r="51" ht="140" customHeight="1">
      <x:c r="A51" s="104" t="str">
        <x:v>PWR-07</x:v>
      </x:c>
      <x:c r="B51" s="104" t="str">
        <x:v>Automotive power entry and protection</x:v>
      </x:c>
      <x:c r="C51" s="104" t="str">
        <x:v>Independent schematic/netlist inspection and assembled continuity check.</x:v>
      </x:c>
      <x:c r="D51" s="104" t="str">
        <x:v>C101 connects controller VIN to GND; C103 connects PROTECTED_12 V to GND; C121/C122/C129/C123 connect5V_VIN to GND. All are100 V-rated shunt capacitors.</x:v>
      </x:c>
      <x:c r="E51" s="104" t="str">
        <x:v>The RevA series-capacitor power-input defect is absent from actual RevB pads and netlist.</x:v>
      </x:c>
      <x:c r="F51" s="104" t="str">
        <x:v>VERIFIED</x:v>
      </x:c>
      <x:c r="G51" s="104" t="str">
        <x:v>OPEN</x:v>
      </x:c>
      <x:c r="H51" s="104" t="str">
        <x:v>OPEN</x:v>
      </x:c>
      <x:c r="I51" s="104" t="str">
        <x:v>Native KiCad pad/net extraction; exact selected-part comparison; deterministic calculations and circuit-state tracing. No physical pass is inferred.</x:v>
      </x:c>
      <x:c r="J51" s="104" t="str">
        <x:v>{"reference":"C101","layer":"B.Cu","x_mm":32.5,"y_mm":34.5,"nets":["GND","PROTECT_CTRL_VIN"]}
{"reference":"C103","layer":"F.Cu","x_mm":26.3,"y_mm":21,"nets":["GND","PROTECTED_12V"]}
{"reference":"C121","layer":"F.Cu","x_mm":39,"y_mm":21.4,"nets":["5V_VIN","GND"]}
{"reference":"C122","layer":"B.Cu","x_mm":41.6,"y_mm":25.2,"nets":["5V_VIN","GND"]}
{"reference":"C123","layer":"F.Cu","x_mm":42.15,"y_mm":24.8,"nets":["5V_VIN","GND"]}
{"reference":"C129","layer":"B.Cu","x_mm":43.2,"y_mm":30.5,"nets":["5V_VIN","GND"]}</x:v>
      </x:c>
      <x:c r="K51" s="104" t="str">
        <x:v>audit/board_vetting_20260908/lanes/power_evidence/native_power_objects.json — parts.C101,C103,C121,C122,C123,C129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1" s="104" t="str">
        <x:v>Assembled continuity and polarity inspection remain required. No RevB hardware has been tested.</x:v>
      </x:c>
      <x:c r="M51" s="104" t="str">
        <x:v>YES</x:v>
      </x:c>
      <x:c r="N51" s="104" t="str">
        <x:v>YES</x:v>
      </x:c>
      <x:c r="O51" s="104" t="str">
        <x:v>P0</x:v>
      </x:c>
    </x:row>
    <x:row r="52" ht="170" customHeight="1">
      <x:c r="A52" s="104" t="str">
        <x:v>PWR-08</x:v>
      </x:c>
      <x:c r="B52" s="104" t="str">
        <x:v>Automotive power entry and protection</x:v>
      </x:c>
      <x:c r="C52" s="104" t="str">
        <x:v>FMEA records prevention, detection, containment and accepted residual risk.</x:v>
      </x:c>
      <x:c r="D52" s="104" t="str">
        <x:v>There is no independent overvoltage protection for main5 V, main3.3 V or GPS3.3 V. U121 high-side short or R122 open/R123 short can elevate5 V; U151 high-side short puts about5 V on3.3 V; U403 pass short puts about5 V on GPS.</x:v>
      </x:c>
      <x:c r="E52" s="104" t="str">
        <x:v>The board does not provide universal downstream survival after these single component faults. This does not invalidate ordinary regulation.</x:v>
      </x:c>
      <x:c r="F52" s="104" t="str">
        <x:v>HOLD</x:v>
      </x:c>
      <x:c r="G52" s="104" t="str">
        <x:v>OPEN</x:v>
      </x:c>
      <x:c r="H52" s="104" t="str">
        <x:v>OPEN</x:v>
      </x:c>
      <x:c r="I52" s="104" t="str">
        <x:v>Native KiCad pad/net extraction; exact selected-part comparison; deterministic calculations and circuit-state tracing. No physical pass is inferred.</x:v>
      </x:c>
      <x:c r="J52" s="104" t="str">
        <x:v>{"reference":"U121","layer":"F.Cu","x_mm":47,"y_mm":26.5,"nets":["","5V_BST","5V_EN","5V_FB","5V_PGOOD","5V_RON","5V_SW","5V_VIN","GND"]}
{"reference":"R122","layer":"F.Cu","x_mm":49.4,"y_mm":33,"nets":["5V_FB","5V_SOURCE"]}
{"reference":"R123","layer":"F.Cu","x_mm":49.4,"y_mm":30.7,"nets":["5V_FB","GND"]}
{"reference":"U151","layer":"B.Cu","x_mm":35,"y_mm":13,"nets":["","3V3_BOOT","3V3_PGOOD","3V3_SOURCE","3V3_SW","3V3_VCC_INTERNAL","3V3_VIN","GND","unconnected-(U151-NC-Pad14)"]}
{"reference":"U403","layer":"F.Cu","x_mm":39,"y_mm":6,"nets":["GND","GPS_3V3","GPS_5V_IN","unconnected-(U403-NC-Pad4)"]}</x:v>
      </x:c>
      <x:c r="K52" s="104" t="str">
        <x:v>audit/board_vetting_20260908/lanes/power_evidence/native_power_objects.json — parts.U121,R122,R123,U151,U403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2" s="104" t="str">
        <x:v>Define required fault containment and acceptable loss. Add independent protection if needed; vehicle and external energy propagation remain unresolved.</x:v>
      </x:c>
      <x:c r="M52" s="104" t="str">
        <x:v>NO</x:v>
      </x:c>
      <x:c r="N52" s="104" t="str">
        <x:v>YES</x:v>
      </x:c>
      <x:c r="O52" s="104" t="str">
        <x:v>P0</x:v>
      </x:c>
    </x:row>
    <x:row r="53" ht="155" customHeight="1">
      <x:c r="A53" s="104" t="str">
        <x:v>PWR-09</x:v>
      </x:c>
      <x:c r="B53" s="104" t="str">
        <x:v>Automotive power entry and protection</x:v>
      </x:c>
      <x:c r="C53" s="104" t="str">
        <x:v>Impedance/stability assessment and startup/load transient bench results.</x:v>
      </x:c>
      <x:c r="D53" s="104" t="str">
        <x:v>The actual filter is R1100.47 ohm with at least2.31 uF local capacitance by allocation. A reduced constant-power model requires L&lt;R×C×V²/P:11.38 uH at7.36 V and18.96 uH at9.5 V for5.17 W input.</x:v>
      </x:c>
      <x:c r="E53" s="104" t="str">
        <x:v>A conditional stability boundary is now calculated. The full system also includes C103, converter control and parasitics.</x:v>
      </x:c>
      <x:c r="F53" s="104" t="str">
        <x:v>CALCULATED</x:v>
      </x:c>
      <x:c r="G53" s="104" t="str">
        <x:v>OPEN</x:v>
      </x:c>
      <x:c r="H53" s="104" t="str">
        <x:v>OPEN</x:v>
      </x:c>
      <x:c r="I53" s="104" t="str">
        <x:v>Native KiCad pad/net extraction; exact selected-part comparison; deterministic calculations and circuit-state tracing. No physical pass is inferred.</x:v>
      </x:c>
      <x:c r="J53" s="104" t="str">
        <x:v>{"reference":"R110","layer":"F.Cu","x_mm":31.4,"y_mm":16.399999,"nets":["5V_VIN","BUCK_FEED"]}
{"reference":"C121","layer":"F.Cu","x_mm":39,"y_mm":21.4,"nets":["5V_VIN","GND"]}
{"reference":"C122","layer":"B.Cu","x_mm":41.6,"y_mm":25.2,"nets":["5V_VIN","GND"]}
{"reference":"C129","layer":"B.Cu","x_mm":43.2,"y_mm":30.5,"nets":["5V_VIN","GND"]}
{"reference":"C103","layer":"F.Cu","x_mm":26.3,"y_mm":21,"nets":["GND","PROTECTED_12V"]}
{"reference":"U121","layer":"F.Cu","x_mm":47,"y_mm":26.5,"nets":["","5V_BST","5V_EN","5V_FB","5V_PGOOD","5V_RON","5V_SW","5V_VIN","GND"]}</x:v>
      </x:c>
      <x:c r="K53" s="104" t="str">
        <x:v>audit/board_vetting_20260908/lanes/power_evidence/native_power_objects.json — parts.R110,C121,C122,C129,C103,U121
audit/board_vetting_20260908/lanes/power_evidence/power_calculations.json — input_filter_CPL_model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3" s="104" t="str">
        <x:v>Define source/harness inductance, review full impedance and measure line/load ringing. The reduced model is not a measured stability pass.</x:v>
      </x:c>
      <x:c r="M53" s="104" t="str">
        <x:v>NO</x:v>
      </x:c>
      <x:c r="N53" s="104" t="str">
        <x:v>YES</x:v>
      </x:c>
      <x:c r="O53" s="104" t="str">
        <x:v>P1</x:v>
      </x:c>
    </x:row>
    <x:row r="54" ht="140" customHeight="1">
      <x:c r="A54" s="104" t="str">
        <x:v>PWR-10</x:v>
      </x:c>
      <x:c r="B54" s="104" t="str">
        <x:v>Automotive power entry and protection</x:v>
      </x:c>
      <x:c r="C54" s="104" t="str">
        <x:v>IGN electrical contract covers floating input, contact bounce, reverse connection and abnormal vehicle voltage.</x:v>
      </x:c>
      <x:c r="D54" s="104" t="str">
        <x:v>F1.4 IGN is NC. Switched power enters F1.3 and uses the complete input protection and UV/OV circuit.</x:v>
      </x:c>
      <x:c r="E54" s="104" t="str">
        <x:v>A separate ignition detector is inapplicable to the selected architecture.</x:v>
      </x:c>
      <x:c r="F54" s="104" t="str">
        <x:v>VERIFIED</x:v>
      </x:c>
      <x:c r="G54" s="104" t="str">
        <x:v>N/A</x:v>
      </x:c>
      <x:c r="H54" s="104" t="str">
        <x:v>N/A</x:v>
      </x:c>
      <x:c r="I54" s="104" t="str">
        <x:v>Native KiCad pad/net extraction; exact selected-part comparison; deterministic calculations and circuit-state tracing. No physical pass is inferred.</x:v>
      </x:c>
      <x:c r="J54" s="104" t="str">
        <x:v>{"reference":"F1","layer":"F.Cu","x_mm":8.3,"y_mm":23.5,"nets":["","CANH","CANL","GND","OIL_5V","OIL_SIG","RAW_12V","unconnected-(F1-SPARE_NC-Pad10)","unconnected-(F1-SPARE_NC-Pad11)","unconnected-(F1-SPARE_NC-Pad12)","unconnected-(F1-SPARE_NC-Pad4)"]}
{"reference":"U101","layer":"B.Cu","x_mm":33,"y_mm":30.5,"nets":["GND","INPUT_FAULT_N","INPUT_GATE_DRIVE","INPUT_OV","INPUT_SHDN","INPUT_UV","PROTECTED_12V","PROTECT_CTRL_VIN"]}</x:v>
      </x:c>
      <x:c r="K54" s="104" t="str">
        <x:v>audit/board_vetting_20260908/lanes/power_evidence/native_power_objects.json — parts.F1,U101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4" s="104" t="str">
        <x:v>The harness must use the agreed switched feed; a permanently live installation would require another power/sleep review.</x:v>
      </x:c>
      <x:c r="M54" s="104" t="str">
        <x:v>YES</x:v>
      </x:c>
      <x:c r="N54" s="104" t="str">
        <x:v>NO</x:v>
      </x:c>
      <x:c r="O54" s="104" t="str">
        <x:v>P0</x:v>
      </x:c>
    </x:row>
    <x:row r="55" ht="170" customHeight="1">
      <x:c r="A55" s="104" t="str">
        <x:v>PWR-11</x:v>
      </x:c>
      <x:c r="B55" s="104" t="str">
        <x:v>Automotive power entry and protection</x:v>
      </x:c>
      <x:c r="C55" s="104" t="str">
        <x:v>Inrush waveform with realistic harness impedance and maximum capacitance.</x:v>
      </x:c>
      <x:c r="D55" s="104" t="str">
        <x:v>C103+C121/C122/C129+C123 total8.9 uF nominal. The10 nF gate-slew branch and20–60 uA allocation give1581–7843 V/s and at most76.8 mA capacitive inrush.</x:v>
      </x:c>
      <x:c r="E55" s="104" t="str">
        <x:v>R107/C102 is separate from the10 ohm gate lead. Downstream converter startup load is additional to this capacitor-only result.</x:v>
      </x:c>
      <x:c r="F55" s="104" t="str">
        <x:v>CALCULATED</x:v>
      </x:c>
      <x:c r="G55" s="104" t="str">
        <x:v>OPEN</x:v>
      </x:c>
      <x:c r="H55" s="104" t="str">
        <x:v>OPEN</x:v>
      </x:c>
      <x:c r="I55" s="104" t="str">
        <x:v>Native KiCad pad/net extraction; exact selected-part comparison; deterministic calculations and circuit-state tracing. No physical pass is inferred.</x:v>
      </x:c>
      <x:c r="J55" s="104" t="str">
        <x:v>{"reference":"R106","layer":"B.Cu","x_mm":38,"y_mm":29,"nets":["INPUT_GATE","INPUT_GATE_DRIVE"]}
{"reference":"R107","layer":"B.Cu","x_mm":38,"y_mm":31.5,"nets":["INPUT_GATE_DRIVE","INPUT_GATE_SLEW"]}
{"reference":"C102","layer":"B.Cu","x_mm":37.3,"y_mm":34.2,"nets":["GND","INPUT_GATE_SLEW"]}
{"reference":"Q101","layer":"F.Cu","x_mm":33.299999,"y_mm":29,"nets":["INPUT_GATE","PROTECTED_12V","REV_BLOCKED_12V"]}
{"reference":"C103","layer":"F.Cu","x_mm":26.3,"y_mm":21,"nets":["GND","PROTECTED_12V"]}
{"reference":"U121","layer":"F.Cu","x_mm":47,"y_mm":26.5,"nets":["","5V_BST","5V_EN","5V_FB","5V_PGOOD","5V_RON","5V_SW","5V_VIN","GND"]}</x:v>
      </x:c>
      <x:c r="K55" s="104" t="str">
        <x:v>audit/board_vetting_20260908/lanes/power_evidence/native_power_objects.json — parts.R106,R107,C102,Q101,C103,U121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5" s="104" t="str">
        <x:v>Measure complete startup current and source collapse with the actual harness and maximum downstream capacitance.</x:v>
      </x:c>
      <x:c r="M55" s="104" t="str">
        <x:v>YES</x:v>
      </x:c>
      <x:c r="N55" s="104" t="str">
        <x:v>YES</x:v>
      </x:c>
      <x:c r="O55" s="104" t="str">
        <x:v>P1</x:v>
      </x:c>
    </x:row>
    <x:row r="56" ht="390" customHeight="1">
      <x:c r="A56" s="104" t="str">
        <x:v>PWR-12</x:v>
      </x:c>
      <x:c r="B56" s="104" t="str">
        <x:v>Automotive power entry and protection</x:v>
      </x:c>
      <x:c r="C56" s="104" t="str">
        <x:v>Input sweep/ramp/interruption testing shows safe outputs and reliable recovery.</x:v>
      </x:c>
      <x:c r="D56" s="104" t="str">
        <x:v>U101 UV-off is7.324–7.667 V and UV-on7.622–8.149 V after the diode, with22–45 ms recovery delay. Buck EN is locally divided; main EN follows VIN; ESP EN uses10k/1 uF.</x:v>
      </x:c>
      <x:c r="E56" s="104" t="str">
        <x:v>The source sequence supports intentional crank reset, but RC alone does not guarantee clean recovery after all ramps and short dips.</x:v>
      </x:c>
      <x:c r="F56" s="104" t="str">
        <x:v>CALCULATED</x:v>
      </x:c>
      <x:c r="G56" s="104" t="str">
        <x:v>OPEN</x:v>
      </x:c>
      <x:c r="H56" s="104" t="str">
        <x:v>OPEN</x:v>
      </x:c>
      <x:c r="I56" s="104" t="str">
        <x:v>Native KiCad pad/net extraction; exact selected-part comparison; deterministic calculations and circuit-state tracing. No physical pass is inferred.</x:v>
      </x:c>
      <x:c r="J56" s="104" t="str">
        <x:v>{"reference":"U101","layer":"B.Cu","x_mm":33,"y_mm":30.5,"nets":["GND","INPUT_FAULT_N","INPUT_GATE_DRIVE","INPUT_OV","INPUT_SHDN","INPUT_UV","PROTECTED_12V","PROTECT_CTRL_VIN"]}
{"reference":"R102","layer":"B.Cu","x_mm":28.5,"y_mm":25.1,"nets":["INPUT_UV","REV_BLOCKED_12V"]}
{"reference":"R103","layer":"B.Cu","x_mm":27.8,"y_mm":27.5,"nets":["INPUT_OV","INPUT_UV"]}
{"reference":"R104","layer":"B.Cu","x_mm":27.8,"y_mm":29.6,"nets":["GND","INPUT_OV"]}
{"reference":"U121","layer":"F.Cu","x_mm":47,"y_mm":26.5,"nets":["","5V_BST","5V_EN","5V_FB","5V_PGOOD","5V_RON","5V_SW","5V_VIN","GND"]}
{"reference":"R125","layer":"F.Cu","x_mm":44.3,"y_mm":35,"nets":["5V_EN","5V_VIN"]}
{"reference":"R126","layer":"F.Cu","x_mm":46.8,"y_mm":36.8,"nets":["5V_EN","GND"]}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{"reference":"R201","layer":"F.Cu","x_mm":79.5,"y_mm":11.7,"nets":["+3V3","ESP_EN"]}
{"reference":"C203","layer":"F.Cu","x_mm":82.7,"y_mm":10.8,"nets":["ESP_EN","GND"]}</x:v>
      </x:c>
      <x:c r="K56" s="104" t="str">
        <x:v>audit/board_vetting_20260908/lanes/power_evidence/native_power_objects.json — parts.U101,R102,R103,R104,U121,R125,R126,U201,R201,C203
audit/board_vetting_20260908/lanes/power_evidence/power_calculations.json — thresholds_with_TCR_100K_V;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6" s="104" t="str">
        <x:v>Define and test slow ramps, short outages and repeated crank. Use a supervisor if a guaranteed reset envelope requires one.</x:v>
      </x:c>
      <x:c r="M56" s="104" t="str">
        <x:v>YES</x:v>
      </x:c>
      <x:c r="N56" s="104" t="str">
        <x:v>YES</x:v>
      </x:c>
      <x:c r="O56" s="104" t="str">
        <x:v>P0</x:v>
      </x:c>
    </x:row>
    <x:row r="57" ht="200" customHeight="1">
      <x:c r="A57" s="104" t="str">
        <x:v>REG-01</x:v>
      </x:c>
      <x:c r="B57" s="104" t="str">
        <x:v>5 V, 3.3 V and GPS power rails</x:v>
      </x:c>
      <x:c r="C57" s="104" t="str">
        <x:v>Loads include BLE bursts, GPS acquisition/antenna, CAN, LEDs, sensor and debug states.</x:v>
      </x:c>
      <x:c r="D57" s="104" t="str">
        <x:v>At rail extremes, normal combined5 V demand is0.707 A for90% main conversion efficiency and0.741 A for85%. The85% corner with122 mA oil short demand is0.8553 A.</x:v>
      </x:c>
      <x:c r="E57" s="104" t="str">
        <x:v>This replaces the nominal-only0.6825/0.7917 A comparison. The expanded assumed operating corner remains below1 A.</x:v>
      </x:c>
      <x:c r="F57" s="104" t="str">
        <x:v>CALCULATED</x:v>
      </x:c>
      <x:c r="G57" s="104" t="str">
        <x:v>OPEN</x:v>
      </x:c>
      <x:c r="H57" s="104" t="str">
        <x:v>CLOSED</x:v>
      </x:c>
      <x:c r="I57" s="104" t="str">
        <x:v>Native KiCad pad/net extraction; exact selected-part comparison; deterministic calculations and circuit-state tracing. No physical pass is inferred.</x:v>
      </x:c>
      <x:c r="J57"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x:v>
      </x:c>
      <x:c r="K57" s="104" t="str">
        <x:v>audit/board_vetting_20260908/lanes/power_evidence/native_power_objects.json — parts.U121,U151,U403,U501
audit/board_vetting_20260908/lanes/power_evidence/power_calculations.json — coupled_load_screen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7" s="104" t="str">
        <x:v>Measure actual radio, GPS/antenna and startup peak currents to confirm the allocations.</x:v>
      </x:c>
      <x:c r="M57" s="104" t="str">
        <x:v>YES</x:v>
      </x:c>
      <x:c r="N57" s="104" t="str">
        <x:v>YES</x:v>
      </x:c>
      <x:c r="O57" s="104" t="str">
        <x:v>P0</x:v>
      </x:c>
    </x:row>
    <x:row r="58" ht="170" customHeight="1">
      <x:c r="A58" s="104" t="str">
        <x:v>REG-02</x:v>
      </x:c>
      <x:c r="B58" s="104" t="str">
        <x:v>5 V, 3.3 V and GPS power rails</x:v>
      </x:c>
      <x:c r="C58" s="104" t="str">
        <x:v>Worst-case operating-point calculation and planned measured confirmation.</x:v>
      </x:c>
      <x:c r="D58" s="104" t="str">
        <x:v>The expanded L121 peak is1.0683 A, leaving181.7 mA to the minimum IC peak limit. The100 mA GPS LDO screen including accuracy/load/line terms is0.20984 W and118.1 °C junction at65 °C using253 °C/W.</x:v>
      </x:c>
      <x:c r="E58" s="104" t="str">
        <x:v>The conservative package model leaves6.9 °C to125 °C. The earlier0.205 W estimate omitted load/line terms.</x:v>
      </x:c>
      <x:c r="F58" s="104" t="str">
        <x:v>CALCULATED</x:v>
      </x:c>
      <x:c r="G58" s="104" t="str">
        <x:v>OPEN</x:v>
      </x:c>
      <x:c r="H58" s="104" t="str">
        <x:v>CLOSED</x:v>
      </x:c>
      <x:c r="I58" s="104" t="str">
        <x:v>Native KiCad pad/net extraction; exact selected-part comparison; deterministic calculations and circuit-state tracing. No physical pass is inferred.</x:v>
      </x:c>
      <x:c r="J58" s="104" t="str">
        <x:v>{"reference":"U121","layer":"F.Cu","x_mm":47,"y_mm":26.5,"nets":["","5V_BST","5V_EN","5V_FB","5V_PGOOD","5V_RON","5V_SW","5V_VIN","GND"]}
{"reference":"L121","layer":"F.Cu","x_mm":60,"y_mm":29,"nets":["5V_SOURCE","5V_SW"]}
{"reference":"U151","layer":"B.Cu","x_mm":35,"y_mm":13,"nets":["","3V3_BOOT","3V3_PGOOD","3V3_SOURCE","3V3_SW","3V3_VCC_INTERNAL","3V3_VIN","GND","unconnected-(U151-NC-Pad14)"]}
{"reference":"L151","layer":"B.Cu","x_mm":25.7,"y_mm":16.5,"nets":["3V3_SOURCE","3V3_SW"]}
{"reference":"U403","layer":"F.Cu","x_mm":39,"y_mm":6,"nets":["GND","GPS_3V3","GPS_5V_IN","unconnected-(U403-NC-Pad4)"]}</x:v>
      </x:c>
      <x:c r="K58" s="104" t="str">
        <x:v>audit/board_vetting_20260908/lanes/power_evidence/native_power_objects.json — parts.U121,L121,U151,L151,U403
audit/board_vetting_20260908/lanes/power_evidence/power_calculations.json — coupled_load_screen; GPS_LDO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8" s="104" t="str">
        <x:v>Measure actual board temperature and efficiency. Datasheet package thermal resistance is not a board-specific junction guarantee.</x:v>
      </x:c>
      <x:c r="M58" s="104" t="str">
        <x:v>YES</x:v>
      </x:c>
      <x:c r="N58" s="104" t="str">
        <x:v>YES</x:v>
      </x:c>
      <x:c r="O58" s="104" t="str">
        <x:v>P1</x:v>
      </x:c>
    </x:row>
    <x:row r="59" ht="230" customHeight="1">
      <x:c r="A59" s="104" t="str">
        <x:v>REG-03</x:v>
      </x:c>
      <x:c r="B59" s="104" t="str">
        <x:v>5 V, 3.3 V and GPS power rails</x:v>
      </x:c>
      <x:c r="C59" s="104" t="str">
        <x:v>Pin audit plus reference-design comparison; no collapsed feedback network.</x:v>
      </x:c>
      <x:c r="D59" s="104" t="str">
        <x:v>Native U121 mapping is1GND,2VIN,3EN,4RON,5FB,6PG,7BST,8SW,9thermal GND. The309k/100k divider and43.2k Type3 branch are distinct. U151 FB senses source output; VSEL is GND; RT/MODE are VCC.</x:v>
      </x:c>
      <x:c r="E59" s="104" t="str">
        <x:v>No VIN/FB/SW/BST collision or collapsed feedback exists. Each bootstrap capacitor bridges BOOT and SW as required.</x:v>
      </x:c>
      <x:c r="F59" s="104" t="str">
        <x:v>VERIFIED</x:v>
      </x:c>
      <x:c r="G59" s="104" t="str">
        <x:v>CLOSED</x:v>
      </x:c>
      <x:c r="H59" s="104" t="str">
        <x:v>CLOSED</x:v>
      </x:c>
      <x:c r="I59" s="104" t="str">
        <x:v>Native KiCad pad/net extraction; exact selected-part comparison; deterministic calculations and circuit-state tracing. No physical pass is inferred.</x:v>
      </x:c>
      <x:c r="J59" s="104" t="str">
        <x:v>{"reference":"U121","layer":"F.Cu","x_mm":47,"y_mm":26.5,"nets":["","5V_BST","5V_EN","5V_FB","5V_PGOOD","5V_RON","5V_SW","5V_VIN","GND"]}
{"reference":"R122","layer":"F.Cu","x_mm":49.4,"y_mm":33,"nets":["5V_FB","5V_SOURCE"]}
{"reference":"R123","layer":"F.Cu","x_mm":49.4,"y_mm":30.7,"nets":["5V_FB","GND"]}
{"reference":"R124","layer":"F.Cu","x_mm":52,"y_mm":28.7,"nets":["5V_RIPPLE","5V_SW"]}
{"reference":"C124","layer":"F.Cu","x_mm":51.6,"y_mm":25.1,"nets":["5V_BST","5V_SW"]}
{"reference":"C125","layer":"F.Cu","x_mm":52.4,"y_mm":32.299999,"nets":["5V_RIPPLE","5V_SOURCE"]}
{"reference":"C126","layer":"F.Cu","x_mm":49.4,"y_mm":35.2,"nets":["5V_FB","5V_RIPPLE"]}
{"reference":"U151","layer":"B.Cu","x_mm":35,"y_mm":13,"nets":["","3V3_BOOT","3V3_PGOOD","3V3_SOURCE","3V3_SW","3V3_VCC_INTERNAL","3V3_VIN","GND","unconnected-(U151-NC-Pad14)"]}
{"reference":"C154","layer":"B.Cu","x_mm":30.3,"y_mm":15.2,"nets":["3V3_BOOT","3V3_SW"]}</x:v>
      </x:c>
      <x:c r="K59" s="104" t="str">
        <x:v>audit/board_vetting_20260908/lanes/power_evidence/native_power_objects.json — parts.U121,R122,R123,R124,C124,C125,C126,U151,C154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59" s="104" t="str">
        <x:v>Assembly continuity and operating waveforms remain required.</x:v>
      </x:c>
      <x:c r="M59" s="104" t="str">
        <x:v>YES</x:v>
      </x:c>
      <x:c r="N59" s="104" t="str">
        <x:v>YES</x:v>
      </x:c>
      <x:c r="O59" s="104" t="str">
        <x:v>P0</x:v>
      </x:c>
    </x:row>
    <x:row r="60" ht="200" customHeight="1">
      <x:c r="A60" s="104" t="str">
        <x:v>REG-04</x:v>
      </x:c>
      <x:c r="B60" s="104" t="str">
        <x:v>5 V, 3.3 V and GPS power rails</x:v>
      </x:c>
      <x:c r="C60" s="104" t="str">
        <x:v>Minimum/maximum output and load-step response budget including distribution resistance.</x:v>
      </x:c>
      <x:c r="D60" s="104" t="str">
        <x:v>The5 V steady screen is4.859–5.169 V; main3.3 V is3.25–3.35 V. Adding GPS accuracy/load/line terms gives approximately3.152 V minimum. R507 loses at most36.1 mV at7.5 mA.</x:v>
      </x:c>
      <x:c r="E60" s="104" t="str">
        <x:v>Static headroom remains. A0.5 A/10 us step into32 uF consumes156 mV of the main rail’s250 mV low-side margin before ESR and control response.</x:v>
      </x:c>
      <x:c r="F60" s="104" t="str">
        <x:v>CALCULATED</x:v>
      </x:c>
      <x:c r="G60" s="104" t="str">
        <x:v>OPEN</x:v>
      </x:c>
      <x:c r="H60" s="104" t="str">
        <x:v>OPEN</x:v>
      </x:c>
      <x:c r="I60" s="104" t="str">
        <x:v>Native KiCad pad/net extraction; exact selected-part comparison; deterministic calculations and circuit-state tracing. No physical pass is inferred.</x:v>
      </x:c>
      <x:c r="J60" s="104" t="str">
        <x:v>{"reference":"U121","layer":"F.Cu","x_mm":47,"y_mm":26.5,"nets":["","5V_BST","5V_EN","5V_FB","5V_PGOOD","5V_RON","5V_SW","5V_VIN","GND"]}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{"reference":"R507","layer":"F.Cu","x_mm":17.5,"y_mm":15.5,"nets":["OIL_5V","OIL_EFUSE_OUT"]}
{"reference":"C155","layer":"B.Cu","x_mm":26,"y_mm":22,"nets":["3V3_SOURCE","GND"]}
{"reference":"C156","layer":"B.Cu","x_mm":31.1,"y_mm":22,"nets":["3V3_SOURCE","GND"]}
{"reference":"C157","layer":"B.Cu","x_mm":36.2,"y_mm":22,"nets":["3V3_SOURCE","GND"]}</x:v>
      </x:c>
      <x:c r="K60" s="104" t="str">
        <x:v>audit/board_vetting_20260908/lanes/power_evidence/native_power_objects.json — parts.U121,U151,U403,R507,C155,C156,C157
audit/board_vetting_20260908/lanes/power_evidence/power_calculations.json — GPS_LDO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0" s="104" t="str">
        <x:v>Measure pin-level distribution drop, load steps, startup and overshoot. Steady regulation is not a transient guarantee.</x:v>
      </x:c>
      <x:c r="M60" s="104" t="str">
        <x:v>YES</x:v>
      </x:c>
      <x:c r="N60" s="104" t="str">
        <x:v>YES</x:v>
      </x:c>
      <x:c r="O60" s="104" t="str">
        <x:v>P1</x:v>
      </x:c>
    </x:row>
    <x:row r="61" ht="260" customHeight="1">
      <x:c r="A61" s="104" t="str">
        <x:v>REG-05</x:v>
      </x:c>
      <x:c r="B61" s="104" t="str">
        <x:v>5 V, 3.3 V and GPS power rails</x:v>
      </x:c>
      <x:c r="C61" s="104" t="str">
        <x:v>Exact datasheet equations/reference design and tolerance corners.</x:v>
      </x:c>
      <x:c r="D61" s="104" t="str">
        <x:v>Actual Type3 parts are43.2k,3.3 nF and100 pF. The earlier corner model gives16.0 mV minimum injected ripple versus12 mV target. C124’s2.084–2.367 nF absolute-value screen is inside1.5–2.5 nF.</x:v>
      </x:c>
      <x:c r="E61" s="104" t="str">
        <x:v>Current pad endpoints and selected values match the reference topology. Main buck uses220 nF bootstrap,1 uF VCC,10 uH and three22 uF output capacitors.</x:v>
      </x:c>
      <x:c r="F61" s="104" t="str">
        <x:v>CALCULATED</x:v>
      </x:c>
      <x:c r="G61" s="104" t="str">
        <x:v>OPEN</x:v>
      </x:c>
      <x:c r="H61" s="104" t="str">
        <x:v>OPEN</x:v>
      </x:c>
      <x:c r="I61" s="104" t="str">
        <x:v>Native KiCad pad/net extraction; exact selected-part comparison; deterministic calculations and circuit-state tracing. No physical pass is inferred.</x:v>
      </x:c>
      <x:c r="J61" s="104" t="str">
        <x:v>{"reference":"U121","layer":"F.Cu","x_mm":47,"y_mm":26.5,"nets":["","5V_BST","5V_EN","5V_FB","5V_PGOOD","5V_RON","5V_SW","5V_VIN","GND"]}
{"reference":"L121","layer":"F.Cu","x_mm":60,"y_mm":29,"nets":["5V_SOURCE","5V_SW"]}
{"reference":"R124","layer":"F.Cu","x_mm":52,"y_mm":28.7,"nets":["5V_RIPPLE","5V_SW"]}
{"reference":"C124","layer":"F.Cu","x_mm":51.6,"y_mm":25.1,"nets":["5V_BST","5V_SW"]}
{"reference":"C125","layer":"F.Cu","x_mm":52.4,"y_mm":32.299999,"nets":["5V_RIPPLE","5V_SOURCE"]}
{"reference":"C126","layer":"F.Cu","x_mm":49.4,"y_mm":35.2,"nets":["5V_FB","5V_RIPPLE"]}
{"reference":"U151","layer":"B.Cu","x_mm":35,"y_mm":13,"nets":["","3V3_BOOT","3V3_PGOOD","3V3_SOURCE","3V3_SW","3V3_VCC_INTERNAL","3V3_VIN","GND","unconnected-(U151-NC-Pad14)"]}
{"reference":"L151","layer":"B.Cu","x_mm":25.7,"y_mm":16.5,"nets":["3V3_SOURCE","3V3_SW"]}
{"reference":"C153","layer":"B.Cu","x_mm":29.3,"y_mm":12,"nets":["3V3_VCC_INTERNAL","GND"]}
{"reference":"C154","layer":"B.Cu","x_mm":30.3,"y_mm":15.2,"nets":["3V3_BOOT","3V3_SW"]}</x:v>
      </x:c>
      <x:c r="K61" s="104" t="str">
        <x:v>audit/board_vetting_20260908/lanes/power_evidence/native_power_objects.json — parts.U121,L121,R124,C124,C125,C126,U151,L151,C153,C154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1" s="104" t="str">
        <x:v>Timing and hot inductance allocations remain conditional. Verify stability and response with actual bias, temperature and layout.</x:v>
      </x:c>
      <x:c r="M61" s="104" t="str">
        <x:v>YES</x:v>
      </x:c>
      <x:c r="N61" s="104" t="str">
        <x:v>YES</x:v>
      </x:c>
      <x:c r="O61" s="104" t="str">
        <x:v>P1</x:v>
      </x:c>
    </x:row>
    <x:row r="62" ht="140" customHeight="1">
      <x:c r="A62" s="104" t="str">
        <x:v>REG-06</x:v>
      </x:c>
      <x:c r="B62" s="104" t="str">
        <x:v>5 V, 3.3 V and GPS power rails</x:v>
      </x:c>
      <x:c r="C62" s="104" t="str">
        <x:v>Duty-cycle/minimum-on-time limits and light-load/burst-mode characterization.</x:v>
      </x:c>
      <x:c r="D62" s="104" t="str">
        <x:v>U12131.6k RON gives about451 ns at28 V and194 ns at65 V, above the typical50 ns minimum. The timing screen spans334.8–477.3 kHz. U151 is strapped to400 kHz forced PWM.</x:v>
      </x:c>
      <x:c r="E62" s="104" t="str">
        <x:v>High-line duty cycle is arithmetically feasible. U121 may enter diode emulation and pulse frequency modulation at light load.</x:v>
      </x:c>
      <x:c r="F62" s="104" t="str">
        <x:v>CALCULATED</x:v>
      </x:c>
      <x:c r="G62" s="104" t="str">
        <x:v>OPEN</x:v>
      </x:c>
      <x:c r="H62" s="104" t="str">
        <x:v>OPEN</x:v>
      </x:c>
      <x:c r="I62" s="104" t="str">
        <x:v>Native KiCad pad/net extraction; exact selected-part comparison; deterministic calculations and circuit-state tracing. No physical pass is inferred.</x:v>
      </x:c>
      <x:c r="J62" s="104" t="str">
        <x:v>{"reference":"U121","layer":"F.Cu","x_mm":47,"y_mm":26.5,"nets":["","5V_BST","5V_EN","5V_FB","5V_PGOOD","5V_RON","5V_SW","5V_VIN","GND"]}
{"reference":"R121","layer":"F.Cu","x_mm":44,"y_mm":30.8,"nets":["5V_RON","GND"]}
{"reference":"U151","layer":"B.Cu","x_mm":35,"y_mm":13,"nets":["","3V3_BOOT","3V3_PGOOD","3V3_SOURCE","3V3_SW","3V3_VCC_INTERNAL","3V3_VIN","GND","unconnected-(U151-NC-Pad14)"]}</x:v>
      </x:c>
      <x:c r="K62" s="104" t="str">
        <x:v>audit/board_vetting_20260908/lanes/power_evidence/native_power_objects.json — parts.U121,R121,U151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2" s="104" t="str">
        <x:v>Typical timing values are not guaranteed corners. Measure minimum-load, high-line and startup behavior.</x:v>
      </x:c>
      <x:c r="M62" s="104" t="str">
        <x:v>YES</x:v>
      </x:c>
      <x:c r="N62" s="104" t="str">
        <x:v>YES</x:v>
      </x:c>
      <x:c r="O62" s="104" t="str">
        <x:v>P1</x:v>
      </x:c>
    </x:row>
    <x:row r="63" ht="245" customHeight="1">
      <x:c r="A63" s="104" t="str">
        <x:v>REG-07</x:v>
      </x:c>
      <x:c r="B63" s="104" t="str">
        <x:v>5 V, 3.3 V and GPS power rails</x:v>
      </x:c>
      <x:c r="C63" s="104" t="str">
        <x:v>Annotated current loops and pin-local measurement plan.</x:v>
      </x:c>
      <x:c r="D63" s="104" t="str">
        <x:v>U121 input capacitors C121/C122/C123/C129 and U151 input C151/C152, VCC C153 and BOOT C154 have the correct actual nets. Output capacitors are shunts at their own source rails.</x:v>
      </x:c>
      <x:c r="E63" s="104" t="str">
        <x:v>Decoupling function is electrically verified. The layout lane directly measures loops and return paths instead of assuming proximity from schematic symbols.</x:v>
      </x:c>
      <x:c r="F63" s="104" t="str">
        <x:v>OPEN</x:v>
      </x:c>
      <x:c r="G63" s="104" t="str">
        <x:v>OPEN</x:v>
      </x:c>
      <x:c r="H63" s="104" t="str">
        <x:v>OPEN</x:v>
      </x:c>
      <x:c r="I63" s="104" t="str">
        <x:v>Native KiCad pad/net extraction; exact selected-part comparison; deterministic calculations and circuit-state tracing. No physical pass is inferred.</x:v>
      </x:c>
      <x:c r="J63" s="104" t="str">
        <x:v>{"reference":"U121","layer":"F.Cu","x_mm":47,"y_mm":26.5,"nets":["","5V_BST","5V_EN","5V_FB","5V_PGOOD","5V_RON","5V_SW","5V_VIN","GND"]}
{"reference":"C121","layer":"F.Cu","x_mm":39,"y_mm":21.4,"nets":["5V_VIN","GND"]}
{"reference":"C122","layer":"B.Cu","x_mm":41.6,"y_mm":25.2,"nets":["5V_VIN","GND"]}
{"reference":"C123","layer":"F.Cu","x_mm":42.15,"y_mm":24.8,"nets":["5V_VIN","GND"]}
{"reference":"C129","layer":"B.Cu","x_mm":43.2,"y_mm":30.5,"nets":["5V_VIN","GND"]}
{"reference":"U151","layer":"B.Cu","x_mm":35,"y_mm":13,"nets":["","3V3_BOOT","3V3_PGOOD","3V3_SOURCE","3V3_SW","3V3_VCC_INTERNAL","3V3_VIN","GND","unconnected-(U151-NC-Pad14)"]}
{"reference":"C151","layer":"B.Cu","x_mm":43.2,"y_mm":15.3,"nets":["3V3_VIN","GND"]}
{"reference":"C152","layer":"B.Cu","x_mm":40,"y_mm":13.975,"nets":["3V3_VIN","GND"]}
{"reference":"C153","layer":"B.Cu","x_mm":29.3,"y_mm":12,"nets":["3V3_VCC_INTERNAL","GND"]}
{"reference":"C154","layer":"B.Cu","x_mm":30.3,"y_mm":15.2,"nets":["3V3_BOOT","3V3_SW"]}</x:v>
      </x:c>
      <x:c r="K63" s="104" t="str">
        <x:v>audit/board_vetting_20260908/lanes/power_evidence/native_power_objects.json — parts.U121,C121,C122,C123,C129,U151,C151,C152,C153,C154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3" s="104" t="str">
        <x:v>Use the layout lane’s geometric deltas and measure pin-local ripple/load response.</x:v>
      </x:c>
      <x:c r="M63" s="104" t="str">
        <x:v>NO</x:v>
      </x:c>
      <x:c r="N63" s="104" t="str">
        <x:v>YES</x:v>
      </x:c>
      <x:c r="O63" s="104" t="str">
        <x:v>P1</x:v>
      </x:c>
    </x:row>
    <x:row r="64" ht="140" customHeight="1">
      <x:c r="A64" s="104" t="str">
        <x:v>REG-08</x:v>
      </x:c>
      <x:c r="B64" s="104" t="str">
        <x:v>5 V, 3.3 V and GPS power rails</x:v>
      </x:c>
      <x:c r="C64" s="104" t="str">
        <x:v>Datasheet operating conditions and ripple/desense validation.</x:v>
      </x:c>
      <x:c r="D64" s="104" t="str">
        <x:v>U403 pins1/3 are GPS5 V input,2GND,5GPS3V3 and4NC. C401/C402 each have a10.374 uF effective allocation, above the1 uF stability minimum. Dropout is at most190 mV at150 mA versus over1.4 V input headroom.</x:v>
      </x:c>
      <x:c r="E64" s="104" t="str">
        <x:v>LDO topology, capacitor role and static headroom are supported. Typical60dB PSRR at1 kHz does not prove rejection of400 kHz switching noise.</x:v>
      </x:c>
      <x:c r="F64" s="104" t="str">
        <x:v>CALCULATED</x:v>
      </x:c>
      <x:c r="G64" s="104" t="str">
        <x:v>OPEN</x:v>
      </x:c>
      <x:c r="H64" s="104" t="str">
        <x:v>OPEN</x:v>
      </x:c>
      <x:c r="I64" s="104" t="str">
        <x:v>Native KiCad pad/net extraction; exact selected-part comparison; deterministic calculations and circuit-state tracing. No physical pass is inferred.</x:v>
      </x:c>
      <x:c r="J64" s="104" t="str">
        <x:v>{"reference":"U403","layer":"F.Cu","x_mm":39,"y_mm":6,"nets":["GND","GPS_3V3","GPS_5V_IN","unconnected-(U403-NC-Pad4)"]}
{"reference":"C401","layer":"F.Cu","x_mm":34.9,"y_mm":7,"nets":["GND","GPS_5V_IN"]}
{"reference":"C402","layer":"F.Cu","x_mm":43,"y_mm":7,"nets":["GND","GPS_3V3"]}
{"reference":"C403","layer":"F.Cu","x_mm":43.8,"y_mm":2.4,"nets":["GND","GPS_3V3"]}</x:v>
      </x:c>
      <x:c r="K64" s="104" t="str">
        <x:v>audit/board_vetting_20260908/lanes/power_evidence/native_power_objects.json — parts.U403,C401,C402,C403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4" s="104" t="str">
        <x:v>Measure GPS supply ripple against50mVpp, RF desense and thermal performance.</x:v>
      </x:c>
      <x:c r="M64" s="104" t="str">
        <x:v>YES</x:v>
      </x:c>
      <x:c r="N64" s="104" t="str">
        <x:v>YES</x:v>
      </x:c>
      <x:c r="O64" s="104" t="str">
        <x:v>P1</x:v>
      </x:c>
    </x:row>
    <x:row r="65" ht="215" customHeight="1">
      <x:c r="A65" s="104" t="str">
        <x:v>REG-09</x:v>
      </x:c>
      <x:c r="B65" s="104" t="str">
        <x:v>5 V, 3.3 V and GPS power rails</x:v>
      </x:c>
      <x:c r="C65" s="104" t="str">
        <x:v>Fault-current containment and recovery test with a current-limited representative fixture.</x:v>
      </x:c>
      <x:c r="D65" s="104" t="str">
        <x:v>Healthy U501 limits the oil branch to about117 mA overload/122 mA short, with MODE open for automatic retry. Expanded simultaneous5 V demand is0.8553 A and retains positive converter peak-current margin.</x:v>
      </x:c>
      <x:c r="E65" s="104" t="str">
        <x:v>Static oil-short containment is supported. Reservoir discharge, fast trip and OUT−RTN≥−0.3 V are additional dynamic requirements.</x:v>
      </x:c>
      <x:c r="F65" s="104" t="str">
        <x:v>CALCULATED</x:v>
      </x:c>
      <x:c r="G65" s="104" t="str">
        <x:v>OPEN</x:v>
      </x:c>
      <x:c r="H65" s="104" t="str">
        <x:v>OPEN</x:v>
      </x:c>
      <x:c r="I65" s="104" t="str">
        <x:v>Native KiCad pad/net extraction; exact selected-part comparison; deterministic calculations and circuit-state tracing. No physical pass is inferred.</x:v>
      </x:c>
      <x:c r="J65" s="104" t="str">
        <x:v>{"reference":"U501","layer":"B.Cu","x_mm":18.5,"y_mm":25.5,"nets":["","+5V","GND","OIL_DVDT","OIL_EFUSE_OUT","OIL_EFUSE_RTN","OIL_ILIM","OIL_OVP","OIL_POWER_FAULT_N","OIL_SHDN","OIL_UVLO","unconnected-(U501-IMON-Pad10)","unconnected-(U501-MODE-Pad6)","unconnected-(U501-NC1-Pad4)","unconnected-(U501-NC2-Pad13)"]}
{"reference":"R505","layer":"B.Cu","x_mm":22,"y_mm":31.7,"nets":["OIL_EFUSE_RTN","OIL_ILIM"]}
{"reference":"R507","layer":"F.Cu","x_mm":17.5,"y_mm":15.5,"nets":["OIL_5V","OIL_EFUSE_OUT"]}
{"reference":"C504","layer":"F.Cu","x_mm":22,"y_mm":24.25,"nets":["GND","OIL_EFUSE_OUT"]}
{"reference":"C505","layer":"F.Cu","x_mm":21.25,"y_mm":20,"nets":["GND","OIL_EFUSE_OUT"]}
{"reference":"C506","layer":"F.Cu","x_mm":16.25,"y_mm":21.25,"nets":["GND","OIL_EFUSE_OUT"]}
{"reference":"D502","layer":"F.Cu","x_mm":18.5,"y_mm":10.75,"nets":["GND","OIL_EFUSE_OUT"]}</x:v>
      </x:c>
      <x:c r="K65" s="104" t="str">
        <x:v>audit/board_vetting_20260908/lanes/power_evidence/native_power_objects.json — parts.U501,R505,R507,C504,C505,C506,D502
audit/board_vetting_20260908/lanes/power_evidence/power_calculations.json — coupled_load_screen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65" s="104" t="str">
        <x:v>Measure local/connector short waveforms and shared-rail recovery. The analog lane identifies the distributed clamp/reservoir layout limitation.</x:v>
      </x:c>
      <x:c r="M65" s="104" t="str">
        <x:v>YES</x:v>
      </x:c>
      <x:c r="N65" s="104" t="str">
        <x:v>YES</x:v>
      </x:c>
      <x:c r="O65" s="104" t="str">
        <x:v>P1</x:v>
      </x:c>
    </x:row>
    <x:row r="66" ht="155" customHeight="1">
      <x:c r="A66" s="104" t="str">
        <x:v>REG-10</x:v>
      </x:c>
      <x:c r="B66" s="104" t="str">
        <x:v>5 V, 3.3 V and GPS power rails</x:v>
      </x:c>
      <x:c r="C66" s="104" t="str">
        <x:v>Bring-up schematic states allowed supply combinations, isolation links and current limits.</x:v>
      </x:c>
      <x:c r="D66" s="104" t="str">
        <x:v>R109, R128, R151, R153 and R401 provide input,5 V, main input/output and GPS isolation. Feedback and output capacitors remain on converter source sides when output links are opened.</x:v>
      </x:c>
      <x:c r="E66" s="104" t="str">
        <x:v>Independent bring-up is possible without disconnecting feedback. These are manual links, not automatic cross-power interlocks.</x:v>
      </x:c>
      <x:c r="F66" s="104" t="str">
        <x:v>VERIFIED</x:v>
      </x:c>
      <x:c r="G66" s="104" t="str">
        <x:v>CLOSED</x:v>
      </x:c>
      <x:c r="H66" s="104" t="str">
        <x:v>OPEN</x:v>
      </x:c>
      <x:c r="I66" s="104" t="str">
        <x:v>Native KiCad pad/net extraction; exact selected-part comparison; deterministic calculations and circuit-state tracing. No physical pass is inferred.</x:v>
      </x:c>
      <x:c r="J66" s="104" t="str">
        <x:v>{"reference":"R109","layer":"F.Cu","x_mm":34.2,"y_mm":23,"nets":["BUCK_FEED","PROTECTED_12V"]}
{"reference":"R128","layer":"F.Cu","x_mm":68,"y_mm":38,"nets":["+5V","5V_SOURCE"]}
{"reference":"R151","layer":"B.Cu","x_mm":43,"y_mm":11,"nets":["+5V","3V3_VIN"]}
{"reference":"R153","layer":"B.Cu","x_mm":41,"y_mm":21.2,"nets":["+3V3","3V3_SOURCE"]}
{"reference":"R401","layer":"F.Cu","x_mm":36.5,"y_mm":10.2,"nets":["+5V","GPS_5V_IN"]}
{"reference":"J201","layer":"F.Cu","x_mm":71,"y_mm":6,"nets":["","+3V3","ESP_EN","ESP_GPIO0","GND","UART0_RX","UART0_TX"]}</x:v>
      </x:c>
      <x:c r="K66" s="104" t="str">
        <x:v>audit/board_vetting_20260908/lanes/power_evidence/native_power_objects.json — parts.R109,R128,R151,R153,R401,J201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6" s="104" t="str">
        <x:v>Follow the voltage/current-limited injection matrix and never inject against an attached upstream source.</x:v>
      </x:c>
      <x:c r="M66" s="104" t="str">
        <x:v>YES</x:v>
      </x:c>
      <x:c r="N66" s="104" t="str">
        <x:v>YES</x:v>
      </x:c>
      <x:c r="O66" s="104" t="str">
        <x:v>P1</x:v>
      </x:c>
    </x:row>
    <x:row r="67" ht="320" customHeight="1">
      <x:c r="A67" s="104" t="str">
        <x:v>SEQ-01</x:v>
      </x:c>
      <x:c r="B67" s="104" t="str">
        <x:v>Sequencing, reset and partial power</x:v>
      </x:c>
      <x:c r="C67" s="104" t="str">
        <x:v>Physical pin continuity and startup waveforms at EN and local 3.3 V.</x:v>
      </x:c>
      <x:c r="D67" s="104" t="str">
        <x:v>ESP physical module pin3 EN connects R20110k to3V3, C2031 uF toGND, J201.2 and J202.1. Nominal RC is10 ms, with13.86 ms to0.75VDD after an ideal step.</x:v>
      </x:c>
      <x:c r="E67" s="104" t="str">
        <x:v>The RevA physical EN error is absent. Correct connectivity does not complete reset qualification.</x:v>
      </x:c>
      <x:c r="F67" s="104" t="str">
        <x:v>VERIFIED</x:v>
      </x:c>
      <x:c r="G67" s="104" t="str">
        <x:v>OPEN</x:v>
      </x:c>
      <x:c r="H67" s="104" t="str">
        <x:v>OPEN</x:v>
      </x:c>
      <x:c r="I67" s="104" t="str">
        <x:v>Native KiCad pad/net extraction; exact selected-part comparison; deterministic calculations and circuit-state tracing. No physical pass is inferred.</x:v>
      </x:c>
      <x:c r="J67"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{"reference":"R201","layer":"F.Cu","x_mm":79.5,"y_mm":11.7,"nets":["+3V3","ESP_EN"]}
{"reference":"C203","layer":"F.Cu","x_mm":82.7,"y_mm":10.8,"nets":["ESP_EN","GND"]}
{"reference":"J201","layer":"F.Cu","x_mm":71,"y_mm":6,"nets":["","+3V3","ESP_EN","ESP_GPIO0","GND","UART0_RX","UART0_TX"]}
{"reference":"J202","layer":"F.Cu","x_mm":6,"y_mm":38.5,"nets":["ESP_EN","GND"]}</x:v>
      </x:c>
      <x:c r="K67" s="104" t="str">
        <x:v>audit/board_vetting_20260908/lanes/power_evidence/native_power_objects.json — parts.U201,R201,C203,J201,J202
audit/board_vetting_20260908/lanes/power_evidence/power_calculations.json —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7" s="104" t="str">
        <x:v>Measure actual EN and local3V3 during ramps, outages and resets.</x:v>
      </x:c>
      <x:c r="M67" s="104" t="str">
        <x:v>YES</x:v>
      </x:c>
      <x:c r="N67" s="104" t="str">
        <x:v>YES</x:v>
      </x:c>
      <x:c r="O67" s="104" t="str">
        <x:v>P0</x:v>
      </x:c>
    </x:row>
    <x:row r="68" ht="305" customHeight="1">
      <x:c r="A68" s="104" t="str">
        <x:v>SEQ-02</x:v>
      </x:c>
      <x:c r="B68" s="104" t="str">
        <x:v>Sequencing, reset and partial power</x:v>
      </x:c>
      <x:c r="C68" s="104" t="str">
        <x:v>Boot-mode truth table and physical continuity from programming contacts to module.</x:v>
      </x:c>
      <x:c r="D68" s="104" t="str">
        <x:v>ESP physical pin27 GPIO0 reaches R20210k pull-up, J201.6 and J203.1; J203.2 is GND. Tag UART4 reaches module36RX and UART5 reaches37TX.</x:v>
      </x:c>
      <x:c r="E68" s="104" t="str">
        <x:v>The normal-high/download-low strap and crossed adapter UART path are physically correct.</x:v>
      </x:c>
      <x:c r="F68" s="104" t="str">
        <x:v>VERIFIED</x:v>
      </x:c>
      <x:c r="G68" s="104" t="str">
        <x:v>OPEN</x:v>
      </x:c>
      <x:c r="H68" s="104" t="str">
        <x:v>OPEN</x:v>
      </x:c>
      <x:c r="I68" s="104" t="str">
        <x:v>Native KiCad pad/net extraction; exact selected-part comparison; deterministic calculations and circuit-state tracing. No physical pass is inferred.</x:v>
      </x:c>
      <x:c r="J68"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{"reference":"R202","layer":"F.Cu","x_mm":70,"y_mm":34.6,"nets":["+3V3","ESP_GPIO0"]}
{"reference":"J201","layer":"F.Cu","x_mm":71,"y_mm":6,"nets":["","+3V3","ESP_EN","ESP_GPIO0","GND","UART0_RX","UART0_TX"]}
{"reference":"J203","layer":"F.Cu","x_mm":13,"y_mm":38.5,"nets":["ESP_GPIO0","GND"]}</x:v>
      </x:c>
      <x:c r="K68" s="104" t="str">
        <x:v>audit/board_vetting_20260908/lanes/power_evidence/native_power_objects.json — parts.U201,R202,J201,J203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8" s="104" t="str">
        <x:v>Verify the actual cable/adapter, open-drain boot/reset behavior and target programming.</x:v>
      </x:c>
      <x:c r="M68" s="104" t="str">
        <x:v>YES</x:v>
      </x:c>
      <x:c r="N68" s="104" t="str">
        <x:v>YES</x:v>
      </x:c>
      <x:c r="O68" s="104" t="str">
        <x:v>P0</x:v>
      </x:c>
    </x:row>
    <x:row r="69" ht="275" customHeight="1">
      <x:c r="A69" s="104" t="str">
        <x:v>SEQ-03</x:v>
      </x:c>
      <x:c r="B69" s="104" t="str">
        <x:v>Sequencing, reset and partial power</x:v>
      </x:c>
      <x:c r="C69" s="104" t="str">
        <x:v>Timing-margin review and tests; add a supervisor if the selected RC network cannot meet the requirement.</x:v>
      </x:c>
      <x:c r="D69" s="104" t="str">
        <x:v>EN has only R201/C203, with no supervisor. During a slow ramp EN approaches VCC minus slope×RC; residual capacitor charge after a short dip can leave EN high.</x:v>
      </x:c>
      <x:c r="E69" s="104" t="str">
        <x:v>The RC does not define a fixed power-good threshold or guarantee every interrupted-startup reset. This is a boundedness gap, not proof every crank fails.</x:v>
      </x:c>
      <x:c r="F69" s="104" t="str">
        <x:v>HOLD</x:v>
      </x:c>
      <x:c r="G69" s="104" t="str">
        <x:v>OPEN</x:v>
      </x:c>
      <x:c r="H69" s="104" t="str">
        <x:v>OPEN</x:v>
      </x:c>
      <x:c r="I69" s="104" t="str">
        <x:v>Native KiCad pad/net extraction; exact selected-part comparison; deterministic calculations and circuit-state tracing. No physical pass is inferred.</x:v>
      </x:c>
      <x:c r="J69" s="104" t="str">
        <x:v>{"reference":"R201","layer":"F.Cu","x_mm":79.5,"y_mm":11.7,"nets":["+3V3","ESP_EN"]}
{"reference":"C203","layer":"F.Cu","x_mm":82.7,"y_mm":10.8,"nets":["ESP_EN","GND"]}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69" s="104" t="str">
        <x:v>audit/board_vetting_20260908/lanes/power_evidence/native_power_objects.json — parts.R201,C203,U201
audit/board_vetting_20260908/lanes/power_evidence/power_calculations.json — EN_RC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69" s="104" t="str">
        <x:v>Specify the allowed ramp/dip envelope and test it, or add a supervisor for a required guarantee.</x:v>
      </x:c>
      <x:c r="M69" s="104" t="str">
        <x:v>NO</x:v>
      </x:c>
      <x:c r="N69" s="104" t="str">
        <x:v>YES</x:v>
      </x:c>
      <x:c r="O69" s="104" t="str">
        <x:v>P0</x:v>
      </x:c>
    </x:row>
    <x:row r="70" ht="140" customHeight="1">
      <x:c r="A70" s="104" t="str">
        <x:v>SEQ-04</x:v>
      </x:c>
      <x:c r="B70" s="104" t="str">
        <x:v>Sequencing, reset and partial power</x:v>
      </x:c>
      <x:c r="C70" s="104" t="str">
        <x:v>Scope captures and pull-network analysis demonstrate safe startup defaults.</x:v>
      </x:c>
      <x:c r="D70" s="104" t="str">
        <x:v>R301 TX link is DNP. R30310k pulls physical U301.1 TXD to VIO; U301.8 STB is GND; VCC/VIO share3V3. GPIO5 has no populated path to TXD.</x:v>
      </x:c>
      <x:c r="E70" s="104" t="str">
        <x:v>The default recessive transmit input is independent of firmware configuration. STB=0 selects the ordinary receiver; it is not a hardware silent-mode command.</x:v>
      </x:c>
      <x:c r="F70" s="104" t="str">
        <x:v>VERIFIED</x:v>
      </x:c>
      <x:c r="G70" s="104" t="str">
        <x:v>OPEN</x:v>
      </x:c>
      <x:c r="H70" s="104" t="str">
        <x:v>OPEN</x:v>
      </x:c>
      <x:c r="I70" s="104" t="str">
        <x:v>Native KiCad pad/net extraction; exact selected-part comparison; deterministic calculations and circuit-state tracing. No physical pass is inferred.</x:v>
      </x:c>
      <x:c r="J70" s="104" t="str">
        <x:v>{"reference":"U301","layer":"B.Cu","x_mm":20.4,"y_mm":9.5,"nets":["","+3V3","CANH","CANL","CAN_RXD","CAN_TXD","GND"]}
{"reference":"R301","layer":"B.Cu","x_mm":26,"y_mm":8,"nets":["CAN_TXD","CAN_TX_MCU"]}
{"reference":"R303","layer":"B.Cu","x_mm":26,"y_mm":5.8,"nets":["+3V3","CAN_TXD"]}</x:v>
      </x:c>
      <x:c r="K70" s="104" t="str">
        <x:v>audit/board_vetting_20260908/lanes/power_evidence/native_power_objects.json — parts.U301,R301,R303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0" s="104" t="str">
        <x:v>Measure startup and partial-power bus loading. Physical CAN/ESD shorts can still disturb the bus.</x:v>
      </x:c>
      <x:c r="M70" s="104" t="str">
        <x:v>YES</x:v>
      </x:c>
      <x:c r="N70" s="104" t="str">
        <x:v>YES</x:v>
      </x:c>
      <x:c r="O70" s="104" t="str">
        <x:v>P0</x:v>
      </x:c>
    </x:row>
    <x:row r="71" ht="215" customHeight="1">
      <x:c r="A71" s="104" t="str">
        <x:v>SEQ-05</x:v>
      </x:c>
      <x:c r="B71" s="104" t="str">
        <x:v>Sequencing, reset and partial power</x:v>
      </x:c>
      <x:c r="C71" s="104" t="str">
        <x:v>All partial-power permutations checked for injection, latch-up risk and phantom powering.</x:v>
      </x:c>
      <x:c r="D71" s="104" t="str">
        <x:v>GPS-to-MCU buffers U402 use main power; MCU-to-GPS U404 uses GPS power. Both support Ioff. U502 and MCU share the main rail; external oil inputs use1Mohm resistors. Tag signals remain direct fixture paths.</x:v>
      </x:c>
      <x:c r="E71" s="104" t="str">
        <x:v>Receiver-domain buffering addresses ordinary partial power. Finite leakage and conductive grounds remain, so this is not isolation.</x:v>
      </x:c>
      <x:c r="F71" s="104" t="str">
        <x:v>CALCULATED</x:v>
      </x:c>
      <x:c r="G71" s="104" t="str">
        <x:v>OPEN</x:v>
      </x:c>
      <x:c r="H71" s="104" t="str">
        <x:v>OPEN</x:v>
      </x:c>
      <x:c r="I71" s="104" t="str">
        <x:v>Native KiCad pad/net extraction; exact selected-part comparison; deterministic calculations and circuit-state tracing. No physical pass is inferred.</x:v>
      </x:c>
      <x:c r="J71" s="104" t="str">
        <x:v>{"reference":"U402","layer":"F.Cu","x_mm":65.3,"y_mm":19.6,"nets":["+3V3","GND","GPS_PPS_BUFFER","GPS_PPS_RAW","GPS_TX_BUFFER","GPS_TX_RAW"]}
{"reference":"U404","layer":"F.Cu","x_mm":60,"y_mm":19.6,"nets":["GND","GPS_3V3","GPS_FIX_RAW","GPS_RX_BUFFER","GPS_SEARCH_BUFFER","GPS_TX_MCU"]}
{"reference":"U502","layer":"B.Cu","x_mm":78.5,"y_mm":30.5,"nets":["+3V3","GND","OIL_AMP_OUT","OIL_EXC_AMP_OUT","OIL_EXC_FB","OIL_EXC_FILTERED","OIL_FB","OIL_FILTERED"]}
{"reference":"R511","layer":"B.Cu","x_mm":82.6,"y_mm":38.6,"nets":["OIL_FILTERED","OIL_SIG"]}
{"reference":"R521","layer":"B.Cu","x_mm":75,"y_mm":39.3,"nets":["OIL_5V","OIL_EXC_FILTERED"]}
{"reference":"R154","layer":"B.Cu","x_mm":44,"y_mm":19,"nets":["+3V3","GND"]}
{"reference":"J201","layer":"F.Cu","x_mm":71,"y_mm":6,"nets":["","+3V3","ESP_EN","ESP_GPIO0","GND","UART0_RX","UART0_TX"]}</x:v>
      </x:c>
      <x:c r="K71" s="104" t="str">
        <x:v>audit/board_vetting_20260908/lanes/power_evidence/native_power_objects.json — parts.U402,U404,U502,R511,R521,R154,J201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1" s="104" t="str">
        <x:v>Measure dead rails and summed hot leakage for main-only, GPS-only, external-oil-only and powered-adapter states.</x:v>
      </x:c>
      <x:c r="M71" s="104" t="str">
        <x:v>YES</x:v>
      </x:c>
      <x:c r="N71" s="104" t="str">
        <x:v>YES</x:v>
      </x:c>
      <x:c r="O71" s="104" t="str">
        <x:v>P0</x:v>
      </x:c>
    </x:row>
    <x:row r="72" ht="275" customHeight="1">
      <x:c r="A72" s="104" t="str">
        <x:v>SEQ-06</x:v>
      </x:c>
      <x:c r="B72" s="104" t="str">
        <x:v>Sequencing, reset and partial power</x:v>
      </x:c>
      <x:c r="C72" s="104" t="str">
        <x:v>Device-specific off-state leakage/injection analysis and series/isolation strategy.</x:v>
      </x:c>
      <x:c r="D72" s="104" t="str">
        <x:v>Buffer inputs tolerate5.5 V independently of supply and specify Ioff. R407–R409 pull GPS sources down; R410/R411 set the MCU UART idle. LEDs return to ground; oil resistors limit a24 V input to about24 uA.</x:v>
      </x:c>
      <x:c r="E72" s="104" t="str">
        <x:v>The intended unpowered-domain paths are present. The33 ohm UART/PPS links are damping/isolation links, not arbitrary external miswire protection.</x:v>
      </x:c>
      <x:c r="F72" s="104" t="str">
        <x:v>CALCULATED</x:v>
      </x:c>
      <x:c r="G72" s="104" t="str">
        <x:v>OPEN</x:v>
      </x:c>
      <x:c r="H72" s="104" t="str">
        <x:v>OPEN</x:v>
      </x:c>
      <x:c r="I72" s="104" t="str">
        <x:v>Native KiCad pad/net extraction; exact selected-part comparison; deterministic calculations and circuit-state tracing. No physical pass is inferred.</x:v>
      </x:c>
      <x:c r="J72" s="104" t="str">
        <x:v>{"reference":"U402","layer":"F.Cu","x_mm":65.3,"y_mm":19.6,"nets":["+3V3","GND","GPS_PPS_BUFFER","GPS_PPS_RAW","GPS_TX_BUFFER","GPS_TX_RAW"]}
{"reference":"U404","layer":"F.Cu","x_mm":60,"y_mm":19.6,"nets":["GND","GPS_3V3","GPS_FIX_RAW","GPS_RX_BUFFER","GPS_SEARCH_BUFFER","GPS_TX_MCU"]}
{"reference":"R402","layer":"F.Cu","x_mm":73.5,"y_mm":11.8,"nets":["GPS_TX_BUFFER","GPS_TX_MODULE_BUFFERED"]}
{"reference":"R403","layer":"F.Cu","x_mm":76.5,"y_mm":11.8,"nets":["GPS_PPS_BUFFER","GPS_PPS_MCU"]}
{"reference":"R404","layer":"F.Cu","x_mm":55.5,"y_mm":19.6,"nets":["GPS_RX_BUFFER","GPS_RX_MODULE"]}
{"reference":"R407","layer":"B.Cu","x_mm":46.2,"y_mm":15.4,"nets":["GND","GPS_TX_RAW"]}
{"reference":"R408","layer":"B.Cu","x_mm":64.8,"y_mm":18,"nets":["GND","GPS_PPS_RAW"]}
{"reference":"R409","layer":"B.Cu","x_mm":44,"y_mm":8,"nets":["GND","GPS_FIX_RAW"]}
{"reference":"R410","layer":"B.Cu","x_mm":63.6,"y_mm":20.4,"nets":["+3V3","GPS_TX_MCU"]}
{"reference":"R411","layer":"B.Cu","x_mm":60.9,"y_mm":20.4,"nets":["GND","GPS_TX_MCU"]}
{"reference":"R511","layer":"B.Cu","x_mm":82.6,"y_mm":38.6,"nets":["OIL_FILTERED","OIL_SIG"]}</x:v>
      </x:c>
      <x:c r="K72" s="104" t="str">
        <x:v>audit/board_vetting_20260908/lanes/power_evidence/native_power_objects.json — parts.U402,U404,R402,R403,R404,R407,R408,R409,R410,R411,R511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2" s="104" t="str">
        <x:v>Observe rise/fall behavior and ADC clamp discharge. The fixture must not drive MCU UART with main power absent.</x:v>
      </x:c>
      <x:c r="M72" s="104" t="str">
        <x:v>YES</x:v>
      </x:c>
      <x:c r="N72" s="104" t="str">
        <x:v>YES</x:v>
      </x:c>
      <x:c r="O72" s="104" t="str">
        <x:v>P1</x:v>
      </x:c>
    </x:row>
    <x:row r="73" ht="320" customHeight="1">
      <x:c r="A73" s="104" t="str">
        <x:v>SEQ-07</x:v>
      </x:c>
      <x:c r="B73" s="104" t="str">
        <x:v>Sequencing, reset and partial power</x:v>
      </x:c>
      <x:c r="C73" s="104" t="str">
        <x:v>Power-source interaction matrix with prohibited connections and fixture interlocks.</x:v>
      </x:c>
      <x:c r="D73" s="104" t="str">
        <x:v>J201.1 directly reaches3V3; J201.4/.5 directly reach MCU UART. There is no power-blocking or level-buffer circuit at Tag. R153 permits injection only when appropriately opened.</x:v>
      </x:c>
      <x:c r="E73" s="104" t="str">
        <x:v>A powered adapter can phantom-power the MCU through UART or drive the rail if VTREF is misused as a supply. Populated links do not prevent two sources fighting.</x:v>
      </x:c>
      <x:c r="F73" s="104" t="str">
        <x:v>HOLD</x:v>
      </x:c>
      <x:c r="G73" s="104" t="str">
        <x:v>OPEN</x:v>
      </x:c>
      <x:c r="H73" s="104" t="str">
        <x:v>OPEN</x:v>
      </x:c>
      <x:c r="I73" s="104" t="str">
        <x:v>Native KiCad pad/net extraction; exact selected-part comparison; deterministic calculations and circuit-state tracing. No physical pass is inferred.</x:v>
      </x:c>
      <x:c r="J73" s="104" t="str">
        <x:v>{"reference":"J201","layer":"F.Cu","x_mm":71,"y_mm":6,"nets":["","+3V3","ESP_EN","ESP_GPIO0","GND","UART0_RX","UART0_TX"]}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{"reference":"R153","layer":"B.Cu","x_mm":41,"y_mm":21.2,"nets":["+3V3","3V3_SOURCE"]}
{"reference":"R128","layer":"F.Cu","x_mm":68,"y_mm":38,"nets":["+5V","5V_SOURCE"]}
{"reference":"R401","layer":"F.Cu","x_mm":36.5,"y_mm":10.2,"nets":["+5V","GPS_5V_IN"]}</x:v>
      </x:c>
      <x:c r="K73" s="104" t="str">
        <x:v>audit/board_vetting_20260908/lanes/power_evidence/native_power_objects.json — parts.J201,U201,R153,R128,R401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3" s="104" t="str">
        <x:v>Use a sense-only VTREF adapter that gates outputs with target power; qualify the fixture interlock and cable.</x:v>
      </x:c>
      <x:c r="M73" s="104" t="str">
        <x:v>NO</x:v>
      </x:c>
      <x:c r="N73" s="104" t="str">
        <x:v>YES</x:v>
      </x:c>
      <x:c r="O73" s="104" t="str">
        <x:v>P0</x:v>
      </x:c>
    </x:row>
    <x:row r="74" ht="290" customHeight="1">
      <x:c r="A74" s="104" t="str">
        <x:v>SEQ-08</x:v>
      </x:c>
      <x:c r="B74" s="104" t="str">
        <x:v>Sequencing, reset and partial power</x:v>
      </x:c>
      <x:c r="C74" s="104" t="str">
        <x:v>Fault-injection logs and deterministic state-transition evidence.</x:v>
      </x:c>
      <x:c r="D74" s="104" t="str">
        <x:v>DNP R301 blocks MCU CAN transmission during a crash/reset. Current firmware includes reset diagnostics and watchdog handling; EN and BOOT have defined external networks.</x:v>
      </x:c>
      <x:c r="E74" s="104" t="str">
        <x:v>The logical transmit path is vetted. Hardware rail chatter and watchdog recovery cannot be established from native pad connectivity alone.</x:v>
      </x:c>
      <x:c r="F74" s="104" t="str">
        <x:v>OPEN</x:v>
      </x:c>
      <x:c r="G74" s="104" t="str">
        <x:v>OPEN</x:v>
      </x:c>
      <x:c r="H74" s="104" t="str">
        <x:v>OPEN</x:v>
      </x:c>
      <x:c r="I74" s="104" t="str">
        <x:v>Native KiCad pad/net extraction; exact selected-part comparison; deterministic calculations and circuit-state tracing. No physical pass is inferred.</x:v>
      </x:c>
      <x:c r="J74"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{"reference":"R301","layer":"B.Cu","x_mm":26,"y_mm":8,"nets":["CAN_TXD","CAN_TX_MCU"]}
{"reference":"R201","layer":"F.Cu","x_mm":79.5,"y_mm":11.7,"nets":["+3V3","ESP_EN"]}
{"reference":"C203","layer":"F.Cu","x_mm":82.7,"y_mm":10.8,"nets":["ESP_EN","GND"]}</x:v>
      </x:c>
      <x:c r="K74" s="104" t="str">
        <x:v>audit/board_vetting_20260908/lanes/power_evidence/native_power_objects.json — parts.U201,R301,R201,C203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4" s="104" t="str">
        <x:v>Run watchdog, hang and brownout fault injection and verify stale data rejection; use firmware lane source/state evidence.</x:v>
      </x:c>
      <x:c r="M74" s="104" t="str">
        <x:v>YES</x:v>
      </x:c>
      <x:c r="N74" s="104" t="str">
        <x:v>YES</x:v>
      </x:c>
      <x:c r="O74" s="104" t="str">
        <x:v>P1</x:v>
      </x:c>
    </x:row>
    <x:row r="75" ht="260" customHeight="1">
      <x:c r="A75" s="104" t="str">
        <x:v>SEQ-09</x:v>
      </x:c>
      <x:c r="B75" s="104" t="str">
        <x:v>Sequencing, reset and partial power</x:v>
      </x:c>
      <x:c r="C75" s="104" t="str">
        <x:v>Persistent/volatile diagnostic design avoids excessive flash writes and distinguishes hardware from software resets.</x:v>
      </x:c>
      <x:c r="D75" s="104" t="str">
        <x:v>Current2.1.1 firmware reports RTC boot sequence and reset cause through diagnostics without a flash write on every boot. Calibration is tied to eFuse identity.</x:v>
      </x:c>
      <x:c r="E75" s="104" t="str">
        <x:v>The earlier missing reset counter was corrected and source is linked to the compiled binary. RTC sequence does not survive complete power loss.</x:v>
      </x:c>
      <x:c r="F75" s="104" t="str">
        <x:v>VERIFIED</x:v>
      </x:c>
      <x:c r="G75" s="104" t="str">
        <x:v>CLOSED</x:v>
      </x:c>
      <x:c r="H75" s="104" t="str">
        <x:v>OPEN</x:v>
      </x:c>
      <x:c r="I75" s="104" t="str">
        <x:v>Native KiCad pad/net extraction; exact selected-part comparison; deterministic calculations and circuit-state tracing. No physical pass is inferred.</x:v>
      </x:c>
      <x:c r="J75"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{"reference":"J201","layer":"F.Cu","x_mm":71,"y_mm":6,"nets":["","+3V3","ESP_EN","ESP_GPIO0","GND","UART0_RX","UART0_TX"]}</x:v>
      </x:c>
      <x:c r="K75" s="104" t="str">
        <x:v>audit/board_vetting_20260908/lanes/power_evidence/native_power_objects.json — parts.U201,J201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5" s="104" t="str">
        <x:v>Verify actual reset causes/counts on hardware; no nonvolatile lifetime reset counter is claimed.</x:v>
      </x:c>
      <x:c r="M75" s="104" t="str">
        <x:v>YES</x:v>
      </x:c>
      <x:c r="N75" s="104" t="str">
        <x:v>YES</x:v>
      </x:c>
      <x:c r="O75" s="104" t="str">
        <x:v>P1</x:v>
      </x:c>
    </x:row>
    <x:row r="76" ht="390" customHeight="1">
      <x:c r="A76" s="104" t="str">
        <x:v>SEQ-10</x:v>
      </x:c>
      <x:c r="B76" s="104" t="str">
        <x:v>Sequencing, reset and partial power</x:v>
      </x:c>
      <x:c r="C76" s="104" t="str">
        <x:v>Timing diagram and interrupted-write/restart tests.</x:v>
      </x:c>
      <x:c r="D76" s="104" t="str">
        <x:v>GPS VBACKUP pad2 is NC; there is no independent backup battery. Power cycling may lose volatile module settings. Firmware negotiates baud/rate after boot; runtime settings use one versioned CRC blob with readback.</x:v>
      </x:c>
      <x:c r="E76" s="104" t="str">
        <x:v>The board’s intended behavior is reinitialization, not preserved backup state. Source-level write atomicity tests do not replace physical power interruption tests.</x:v>
      </x:c>
      <x:c r="F76" s="104" t="str">
        <x:v>CALCULATED</x:v>
      </x:c>
      <x:c r="G76" s="104" t="str">
        <x:v>OPEN</x:v>
      </x:c>
      <x:c r="H76" s="104" t="str">
        <x:v>OPEN</x:v>
      </x:c>
      <x:c r="I76" s="104" t="str">
        <x:v>Native KiCad pad/net extraction; exact selected-part comparison; deterministic calculations and circuit-state tracing. No physical pass is inferred.</x:v>
      </x:c>
      <x:c r="J76" s="104" t="str">
        <x:v>{"reference":"U401","layer":"F.Cu","x_mm":54.5,"y_mm":9,"nets":["","GND","GPS_3V3","GPS_ANT_RF_BIASED","GPS_FIX_RAW","GPS_PPS_RAW","GPS_RX_MODULE","GPS_TX_RAW","unconnected-(U401-NC-Pad16)","unconnected-(U401-NC-Pad17)","unconnected-(U401-NC-Pad18)","unconnected-(U401-NC-Pad20)","unconnected-(U401-NC-Pad6)","unconnected-(U401-NC-Pad7)","unconnected-(U401-NRESET-Pad2)","unconnected-(U401-RX1_SCL-Pad14)","unconnected-(U401-TX1_SDA-Pad15)","unconnected-(U401-VBACKUP-Pad4)"]}
{"reference":"U403","layer":"F.Cu","x_mm":39,"y_mm":6,"nets":["GND","GPS_3V3","GPS_5V_IN","unconnected-(U403-NC-Pad4)"]}
{"reference":"R401","layer":"F.Cu","x_mm":36.5,"y_mm":10.2,"nets":["+5V","GPS_5V_IN"]}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76" s="104" t="str">
        <x:v>audit/board_vetting_20260908/lanes/power_evidence/native_power_objects.json — parts.U401,U403,R401,U201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audit/board_vetting_20260908/lanes/power_evidence/README.md — Direct checks, numerical deltas, source limits and reproduction
audit/board_vetting_20260908/lanes/power_evidence/README.md — Direct checks, numerical deltas, source limits and reproduction</x:v>
      </x:c>
      <x:c r="L76" s="104" t="str">
        <x:v>Measure rail fall/restart combinations and interrupt power during settings saves.</x:v>
      </x:c>
      <x:c r="M76" s="104" t="str">
        <x:v>YES</x:v>
      </x:c>
      <x:c r="N76" s="104" t="str">
        <x:v>YES</x:v>
      </x:c>
      <x:c r="O76" s="104" t="str">
        <x:v>P1</x:v>
      </x:c>
    </x:row>
    <x:row r="77" ht="125" customHeight="1">
      <x:c r="A77" s="104" t="str">
        <x:v>GND-01</x:v>
      </x:c>
      <x:c r="B77" s="104" t="str">
        <x:v>Grounding and return-current paths</x:v>
      </x:c>
      <x:c r="C77" s="104" t="str">
        <x:v>Annotated copper layers show real return continuity, not only identical ground labels.</x:v>
      </x:c>
      <x:c r="D77" s="104" t="str">
        <x:v>One conductive GND component joins all51 polygons,102 ground vias,126 tracks and173 pad/layer shapes. Annotated In1/In2 views trace RF, CAN RX and ADC routes; private RTN is separate.</x:v>
      </x:c>
      <x:c r="E77" s="104" t="str">
        <x:v>Replaces missing-map assertion with actual copper connectivity and annotated routes; quantitative shared-return distribution remains unresolved.</x:v>
      </x:c>
      <x:c r="F77" s="104" t="str">
        <x:v>CALCULATED</x:v>
      </x:c>
      <x:c r="G77" s="104" t="str">
        <x:v>OPEN</x:v>
      </x:c>
      <x:c r="H77" s="104" t="str">
        <x:v>OPEN</x:v>
      </x:c>
      <x:c r="I77" s="104" t="str">
        <x:v>Direct native pad/track/via/filled-copper inspection and source-bound calculation; exact supporting document/code checked where referenced.</x:v>
      </x:c>
      <x:c r="J77" s="104" t="str">
        <x:v>GND
OIL_EFUSE_RTN
F1
U121
U151
U201
U502</x:v>
      </x:c>
      <x:c r="K77" s="104" t="str">
        <x:v>audit/board_vetting_20260908/rf_ground/GEOMETRY_EVIDENCE.json — ground_connectivity_components; critical_reference_segments
audit/board_vetting_20260908/rf_ground/GROUND_AND_RF_DISPOSITION.md — Direct copper and RF vetting / actual source deltas
audit/erb_20260907/lanes/rf_ground_geometry.json — zones; rf.sampled_reference_check
audit/productization/pcb/PRODUCT_INNER_ESCAPES.json — stored_reference_coverage; private_RTN_source_and_filled_separation</x:v>
      </x:c>
      <x:c r="L77" s="104" t="str">
        <x:v>Complete current-source/sink distribution for power/ADC shared impedance; installed harness bonds remain external.</x:v>
      </x:c>
      <x:c r="M77" s="104" t="str">
        <x:v>NO</x:v>
      </x:c>
      <x:c r="N77" s="104" t="str">
        <x:v>YES</x:v>
      </x:c>
      <x:c r="O77" s="104" t="str">
        <x:v>P0</x:v>
      </x:c>
    </x:row>
    <x:row r="78" ht="125" customHeight="1">
      <x:c r="A78" s="104" t="str">
        <x:v>GND-02</x:v>
      </x:c>
      <x:c r="B78" s="104" t="str">
        <x:v>Grounding and return-current paths</x:v>
      </x:c>
      <x:c r="C78" s="104" t="str">
        <x:v>Layer-by-layer return-path inspection using the actual filled zones.</x:v>
      </x:c>
      <x:c r="D78" s="104" t="str">
        <x:v>RF and ADC routes retain adjacent reference; active CAN RX has4.570mm and GPS digital nets have individually listed In1 gaps. All those CAN/GPS gaps retain In2 ground.</x:v>
      </x:c>
      <x:c r="E78" s="104" t="str">
        <x:v>Actual nearest-plane discontinuities identified; cannot claim uninterrupted nearest reference for every critical route.</x:v>
      </x:c>
      <x:c r="F78" s="104" t="str">
        <x:v>OPEN</x:v>
      </x:c>
      <x:c r="G78" s="104" t="str">
        <x:v>OPEN</x:v>
      </x:c>
      <x:c r="H78" s="104" t="str">
        <x:v>OPEN</x:v>
      </x:c>
      <x:c r="I78" s="104" t="str">
        <x:v>Direct native pad/track/via/filled-copper inspection and source-bound calculation; exact supporting document/code checked where referenced.</x:v>
      </x:c>
      <x:c r="J78" s="104" t="str">
        <x:v>CAN_RX_MCU
GPS_TX_RAW
In1.Cu
In2.Cu</x:v>
      </x:c>
      <x:c r="K78" s="104" t="str">
        <x:v>audit/board_vetting_20260908/rf_ground/GEOMETRY_EVIDENCE.json — critical_reference_summary; broadside_signal_overlap
audit/board_vetting_20260908/rf_ground/GROUND_AND_RF_DISPOSITION.md — Direct copper and RF vetting / actual source deltas
audit/erb_20260907/lanes/rf_ground_geometry.json — filled_gnd_polygon_counts; rf.sampled_reference_check
REV_B_PCB_RELEASE_REVIEW.md — In2 remains the reference plane</x:v>
      </x:c>
      <x:c r="L78" s="104" t="str">
        <x:v>Disposition local coupling/return change or reroute; In2 is1.263mm below F versus0.203mm to In1.</x:v>
      </x:c>
      <x:c r="M78" s="104" t="str">
        <x:v>NO</x:v>
      </x:c>
      <x:c r="N78" s="104" t="str">
        <x:v>YES</x:v>
      </x:c>
      <x:c r="O78" s="104" t="str">
        <x:v>P1</x:v>
      </x:c>
    </x:row>
    <x:row r="79" ht="125" customHeight="1">
      <x:c r="A79" s="104" t="str">
        <x:v>GND-03</x:v>
      </x:c>
      <x:c r="B79" s="104" t="str">
        <x:v>Grounding and return-current paths</x:v>
      </x:c>
      <x:c r="C79" s="104" t="str">
        <x:v>Ground architecture rationale reconciles all mixed-signal interfaces.</x:v>
      </x:c>
      <x:c r="D79" s="104" t="str">
        <x:v>ADC, MCU, CAN and GPS use common GND with analog placement beside U201. The only private reference island is TPS2660 RTN, four-layer x16.8..20.2/y23..28.</x:v>
      </x:c>
      <x:c r="E79" s="104" t="str">
        <x:v>No analog moat or inadvertent private-RTN bond found.</x:v>
      </x:c>
      <x:c r="F79" s="104" t="str">
        <x:v>VERIFIED</x:v>
      </x:c>
      <x:c r="G79" s="104" t="str">
        <x:v>CLOSED</x:v>
      </x:c>
      <x:c r="H79" s="104" t="str">
        <x:v>CLOSED</x:v>
      </x:c>
      <x:c r="I79" s="104" t="str">
        <x:v>Direct native pad/track/via/filled-copper inspection and source-bound calculation; exact supporting document/code checked where referenced.</x:v>
      </x:c>
      <x:c r="J79" s="104" t="str">
        <x:v>U502
U201
U501
OIL_EFUSE_RTN</x:v>
      </x:c>
      <x:c r="K79" s="104" t="str">
        <x:v>audit/board_vetting_20260908/rf_ground/GEOMETRY_EVIDENCE.json — zone_records; ground_connectivity_components
audit/board_vetting_20260908/rf_ground/GROUND_AND_RF_DISPOSITION.md — Direct copper and RF vetting / actual source deltas
audit/productization/manufacturing/final_board_review/recheck_f23c/inventory/NATIVE_BOARD_UPDATE_INVENTORY.json — board_zones; existing_placements.F1
qualification/F1_CONNECTOR_REVIEW.md — Ground strategy</x:v>
      </x:c>
      <x:c r="L79" s="104" t="str">
        <x:v>Common topology does not close measured ground-offset/noise criteria.</x:v>
      </x:c>
      <x:c r="M79" s="104" t="str">
        <x:v>YES</x:v>
      </x:c>
      <x:c r="N79" s="104" t="str">
        <x:v>NO</x:v>
      </x:c>
      <x:c r="O79" s="104" t="str">
        <x:v>P1</x:v>
      </x:c>
    </x:row>
    <x:row r="80" ht="125" customHeight="1">
      <x:c r="A80" s="104" t="str">
        <x:v>GND-04</x:v>
      </x:c>
      <x:c r="B80" s="104" t="str">
        <x:v>Grounding and return-current paths</x:v>
      </x:c>
      <x:c r="C80" s="104" t="str">
        <x:v>Shared-impedance/voltage-drop calculation plus annotated placement.</x:v>
      </x:c>
      <x:c r="D80" s="104" t="str">
        <x:v>Actual planes are connected; In2 copper30um gives0.812mohm/square at125C. The active RX path overlaps oil excitation, while ADC routes retain adjacent ground.</x:v>
      </x:c>
      <x:c r="E80" s="104" t="str">
        <x:v>Geometry and sheet-resistance basis established; no defensible ADC shared-ground error bound yet.</x:v>
      </x:c>
      <x:c r="F80" s="104" t="str">
        <x:v>OPEN</x:v>
      </x:c>
      <x:c r="G80" s="104" t="str">
        <x:v>OPEN</x:v>
      </x:c>
      <x:c r="H80" s="104" t="str">
        <x:v>OPEN</x:v>
      </x:c>
      <x:c r="I80" s="104" t="str">
        <x:v>Direct native pad/track/via/filled-copper inspection and source-bound calculation; exact supporting document/code checked where referenced.</x:v>
      </x:c>
      <x:c r="J80" s="104" t="str">
        <x:v>U502
F1.9
GND
In2.Cu</x:v>
      </x:c>
      <x:c r="K80" s="104" t="str">
        <x:v>audit/board_vetting_20260908/rf_ground/ELECTRICAL_GEOMETRY_BOUNDS.json — ground_sheet_resistance
audit/board_vetting_20260908/rf_ground/GROUND_AND_RF_DISPOSITION.md — Direct copper and RF vetting / actual source deltas
audit/productization/manufacturing/final_board_review/recheck_f23c/inventory/NATIVE_BOARD_UPDATE_INVENTORY.json — existing_placements.U121/U151/U502; tracks_vias
calculations/OIL_PRESSURE_CALCULATIONS.md — Electronic error bounds; ordinary rail transitions</x:v>
      </x:c>
      <x:c r="L80" s="104" t="str">
        <x:v>Solve full ground current distribution or measure differential ADC/F1.9 offset under converter/BLE/load aggressors.</x:v>
      </x:c>
      <x:c r="M80" s="104" t="str">
        <x:v>NO</x:v>
      </x:c>
      <x:c r="N80" s="104" t="str">
        <x:v>YES</x:v>
      </x:c>
      <x:c r="O80" s="104" t="str">
        <x:v>P1</x:v>
      </x:c>
    </x:row>
    <x:row r="81" ht="125" customHeight="1">
      <x:c r="A81" s="104" t="str">
        <x:v>GND-05</x:v>
      </x:c>
      <x:c r="B81" s="104" t="str">
        <x:v>Grounding and return-current paths</x:v>
      </x:c>
      <x:c r="C81" s="104" t="str">
        <x:v>End-to-end ground-offset error budget and representative load testing.</x:v>
      </x:c>
      <x:c r="D81" s="104" t="str">
        <x:v>F1.9 directly shares PCB GND. Excitation is sampled at board connector, so remote power/return wire drops remain in the ratiometric error expression.</x:v>
      </x:c>
      <x:c r="E81" s="104" t="str">
        <x:v>Board reference relationship vetted; remote wiring cannot be silently assumed zero resistance.</x:v>
      </x:c>
      <x:c r="F81" s="104" t="str">
        <x:v>OPEN</x:v>
      </x:c>
      <x:c r="G81" s="104" t="str">
        <x:v>OPEN</x:v>
      </x:c>
      <x:c r="H81" s="104" t="str">
        <x:v>OPEN</x:v>
      </x:c>
      <x:c r="I81" s="104" t="str">
        <x:v>Direct native pad/track/via/filled-copper inspection and source-bound calculation; exact supporting document/code checked where referenced.</x:v>
      </x:c>
      <x:c r="J81" s="104" t="str">
        <x:v>F1.8
F1.9
F1.7
OIL_5V
OIL_SIG</x:v>
      </x:c>
      <x:c r="K81" s="104" t="str">
        <x:v>audit/board_vetting_20260908/rf_ground/GROUND_AND_RF_DISPOSITION.md — External ground-loss and fixture disposition
audit/board_vetting_20260908/rf_ground/GROUND_AND_RF_DISPOSITION.md — Direct copper and RF vetting / actual source deltas
qualification/F1_CONNECTOR_REVIEW.md — F1 pin9 and Ground strategy
calculations/OIL_PRESSURE_CALCULATIONS.md — Electronic error bounds are measured at board connector nodes; remote cable effects</x:v>
      </x:c>
      <x:c r="L81" s="104" t="str">
        <x:v>Exact harness/contact resistance and loaded sensor ground-offset measurement with uncertainty.</x:v>
      </x:c>
      <x:c r="M81" s="104" t="str">
        <x:v>NO</x:v>
      </x:c>
      <x:c r="N81" s="104" t="str">
        <x:v>YES</x:v>
      </x:c>
      <x:c r="O81" s="104" t="str">
        <x:v>P1</x:v>
      </x:c>
    </x:row>
    <x:row r="82" ht="125" customHeight="1">
      <x:c r="A82" s="104" t="str">
        <x:v>GND-06</x:v>
      </x:c>
      <x:c r="B82" s="104" t="str">
        <x:v>Grounding and return-current paths</x:v>
      </x:c>
      <x:c r="C82" s="104" t="str">
        <x:v>Grounding/bonding diagram shows intentional bonds, isolation and fault current paths.</x:v>
      </x:c>
      <x:c r="D82" s="104" t="str">
        <x:v>Power/MCU/CAN/GPS/oil grounds bond; J401 shield and J201 programmer GND directly bond. F1.11 is NC; CANH/L have no direct copper bond to GND.</x:v>
      </x:c>
      <x:c r="E82" s="104" t="str">
        <x:v>Actual bonds and alternate fault mechanisms identified; external coax/body/earth bonds not frozen.</x:v>
      </x:c>
      <x:c r="F82" s="104" t="str">
        <x:v>OPEN</x:v>
      </x:c>
      <x:c r="G82" s="104" t="str">
        <x:v>OPEN</x:v>
      </x:c>
      <x:c r="H82" s="104" t="str">
        <x:v>OPEN</x:v>
      </x:c>
      <x:c r="I82" s="104" t="str">
        <x:v>Direct native pad/track/via/filled-copper inspection and source-bound calculation; exact supporting document/code checked where referenced.</x:v>
      </x:c>
      <x:c r="J82" s="104" t="str">
        <x:v>F1.1
F1.2
F1.9
F1.11
J401.2
J201.3</x:v>
      </x:c>
      <x:c r="K82" s="104" t="str">
        <x:v>audit/board_vetting_20260908/rf_ground/GROUND_AND_RF_DISPOSITION.md — External ground-loss and fixture disposition
audit/board_vetting_20260908/rf_ground/GROUND_AND_RF_DISPOSITION.md — Direct copper and RF vetting / actual source deltas
qualification/F1_CONNECTOR_REVIEW.md — pin table; Ground strategy
audit/productization/manufacturing/final_board_review/recheck_f23c/inventory/NATIVE_BOARD_UPDATE_INVENTORY.json — existing_placements.J401 pads2</x:v>
      </x:c>
      <x:c r="L82" s="104" t="str">
        <x:v>Specify actual antenna mount, sensor case isolation and programmer/fixture earth bonds.</x:v>
      </x:c>
      <x:c r="M82" s="104" t="str">
        <x:v>NO</x:v>
      </x:c>
      <x:c r="N82" s="104" t="str">
        <x:v>YES</x:v>
      </x:c>
      <x:c r="O82" s="104" t="str">
        <x:v>P0</x:v>
      </x:c>
    </x:row>
    <x:row r="83" ht="125" customHeight="1">
      <x:c r="A83" s="104" t="str">
        <x:v>GND-07</x:v>
      </x:c>
      <x:c r="B83" s="104" t="str">
        <x:v>Grounding and return-current paths</x:v>
      </x:c>
      <x:c r="C83" s="104" t="str">
        <x:v>Protection-placement review with short return paths and defined chassis/signal-ground strategy.</x:v>
      </x:c>
      <x:c r="D83" s="104" t="str">
        <x:v>D402 ground pad-to-via0.618mm; D3011.048mm; oil-entry D5010.862mm. All attach to the common four-layer GND component. Protection stays at local interface regions.</x:v>
      </x:c>
      <x:c r="E83" s="104" t="str">
        <x:v>Actual protection return geometry measured; no floating local ESD return found.</x:v>
      </x:c>
      <x:c r="F83" s="104" t="str">
        <x:v>CALCULATED</x:v>
      </x:c>
      <x:c r="G83" s="104" t="str">
        <x:v>OPEN</x:v>
      </x:c>
      <x:c r="H83" s="104" t="str">
        <x:v>OPEN</x:v>
      </x:c>
      <x:c r="I83" s="104" t="str">
        <x:v>Direct native pad/track/via/filled-copper inspection and source-bound calculation; exact supporting document/code checked where referenced.</x:v>
      </x:c>
      <x:c r="J83" s="104" t="str">
        <x:v>D402.2@(63.6,12.65)
D301.3@(13.6625,9.5)
D501.3</x:v>
      </x:c>
      <x:c r="K83" s="104" t="str">
        <x:v>audit/board_vetting_20260908/rf_ground/GEOMETRY_EVIDENCE.json — rf_local_ground_vias; ground_connectivity_components
audit/board_vetting_20260908/rf_ground/GROUND_AND_RF_DISPOSITION.md — Direct copper and RF vetting / actual source deltas
audit/productization/manufacturing/final_board_review/recheck_f23c/inventory/NATIVE_BOARD_UPDATE_INVENTORY.json — existing_placements.D402; tracks_vias
audit/erb_20260907/lanes/rf_ground_geometry.json — RF routes; ground via inventory</x:v>
      </x:c>
      <x:c r="L83" s="104" t="str">
        <x:v>Connector-entry ESD residual and sensitive-region coupling depend on complete installed bonding and pulse tests.</x:v>
      </x:c>
      <x:c r="M83" s="104" t="str">
        <x:v>YES</x:v>
      </x:c>
      <x:c r="N83" s="104" t="str">
        <x:v>YES</x:v>
      </x:c>
      <x:c r="O83" s="104" t="str">
        <x:v>P1</x:v>
      </x:c>
    </x:row>
    <x:row r="84" ht="125" customHeight="1">
      <x:c r="A84" s="104" t="str">
        <x:v>GND-08</x:v>
      </x:c>
      <x:c r="B84" s="104" t="str">
        <x:v>Grounding and return-current paths</x:v>
      </x:c>
      <x:c r="C84" s="104" t="str">
        <x:v>Filled-zone inspection and DRC/island report; no floating copper accidentally acting as a resonator.</x:v>
      </x:c>
      <x:c r="D84" s="104" t="str">
        <x:v>All51 stored GND polygons connect through actual pad/track/barrel geometry into one component. No disconnected ground polygon remains.</x:v>
      </x:c>
      <x:c r="E84" s="104" t="str">
        <x:v>Previous OPEN missing island report is closed by an exhaustive native filled-copper graph.</x:v>
      </x:c>
      <x:c r="F84" s="104" t="str">
        <x:v>VERIFIED</x:v>
      </x:c>
      <x:c r="G84" s="104" t="str">
        <x:v>CLOSED</x:v>
      </x:c>
      <x:c r="H84" s="104" t="str">
        <x:v>OPEN</x:v>
      </x:c>
      <x:c r="I84" s="104" t="str">
        <x:v>Direct native pad/track/via/filled-copper inspection and source-bound calculation; exact supporting document/code checked where referenced.</x:v>
      </x:c>
      <x:c r="J84" s="104" t="str">
        <x:v>all GND zones
all102 GND via UUIDs</x:v>
      </x:c>
      <x:c r="K84" s="104" t="str">
        <x:v>audit/board_vetting_20260908/rf_ground/GEOMETRY_EVIDENCE.json — ground_connectivity_components
audit/board_vetting_20260908/rf_ground/GROUND_AND_RF_DISPOSITION.md — Direct copper and RF vetting / actual source deltas
audit/erb_20260907/lanes/rf_ground_geometry.json — filled_gnd_polygon_counts
REV_B_PCB_RELEASE_REVIEW.md — DRC exceptions and source-bound gate</x:v>
      </x:c>
      <x:c r="L84" s="104" t="str">
        <x:v>Applies to this exact stored fill; any copper edit/refill requires rerun.</x:v>
      </x:c>
      <x:c r="M84" s="104" t="str">
        <x:v>YES</x:v>
      </x:c>
      <x:c r="N84" s="104" t="str">
        <x:v>NO</x:v>
      </x:c>
      <x:c r="O84" s="104" t="str">
        <x:v>P1</x:v>
      </x:c>
    </x:row>
    <x:row r="85" ht="125" customHeight="1">
      <x:c r="A85" s="104" t="str">
        <x:v>GND-09</x:v>
      </x:c>
      <x:c r="B85" s="104" t="str">
        <x:v>Grounding and return-current paths</x:v>
      </x:c>
      <x:c r="C85" s="104" t="str">
        <x:v>Ground-loss FMEA and controlled bench test plan.</x:v>
      </x:c>
      <x:c r="D85" s="104" t="str">
        <x:v>Opening one power return leaves the other. Opening both can redirect current through bonded coax, sensor or programmer; CAN requires clamp/fault conduction, not a direct GND route.</x:v>
      </x:c>
      <x:c r="E85" s="104" t="str">
        <x:v>Board-derived eight-case fault/fixture table now captures actual mechanisms and controlled tests.</x:v>
      </x:c>
      <x:c r="F85" s="104" t="str">
        <x:v>OPEN</x:v>
      </x:c>
      <x:c r="G85" s="104" t="str">
        <x:v>OPEN</x:v>
      </x:c>
      <x:c r="H85" s="104" t="str">
        <x:v>OPEN</x:v>
      </x:c>
      <x:c r="I85" s="104" t="str">
        <x:v>Direct native pad/track/via/filled-copper inspection and source-bound calculation; exact supporting document/code checked where referenced.</x:v>
      </x:c>
      <x:c r="J85" s="104" t="str">
        <x:v>F1.1
F1.2
F1.9
J401.2
J201.3
U301</x:v>
      </x:c>
      <x:c r="K85" s="104" t="str">
        <x:v>audit/board_vetting_20260908/rf_ground/GROUND_AND_RF_DISPOSITION.md — External ground-loss and fixture disposition
audit/board_vetting_20260908/rf_ground/GROUND_AND_RF_DISPOSITION.md — Direct copper and RF vetting / actual source deltas
qualification/F1_CONNECTOR_REVIEW.md — pins1/2/9 and Ground strategy
audit/productization/manufacturing/final_board_review/recheck_f23c/inventory/NATIVE_BOARD_UPDATE_INVENTORY.json — existing_placements.J401/J201</x:v>
      </x:c>
      <x:c r="L85" s="104" t="str">
        <x:v>Exact external bonds and current-limited bench evidence required; no vehicle fault experiment authorized.</x:v>
      </x:c>
      <x:c r="M85" s="104" t="str">
        <x:v>YES</x:v>
      </x:c>
      <x:c r="N85" s="104" t="str">
        <x:v>YES</x:v>
      </x:c>
      <x:c r="O85" s="104" t="str">
        <x:v>P0</x:v>
      </x:c>
    </x:row>
    <x:row r="86" ht="125" customHeight="1">
      <x:c r="A86" s="104" t="str">
        <x:v>GND-10</x:v>
      </x:c>
      <x:c r="B86" s="104" t="str">
        <x:v>Grounding and return-current paths</x:v>
      </x:c>
      <x:c r="C86" s="104" t="str">
        <x:v>Fixture grounding diagram and safe differential/isolated measurement methods where needed.</x:v>
      </x:c>
      <x:c r="D86" s="104" t="str">
        <x:v>Private TPS RTN must not receive ordinary grounded clips. J201/USB and scope can create external parallel ground paths despite a correct board GND.</x:v>
      </x:c>
      <x:c r="E86" s="104" t="str">
        <x:v>Fixture measurement method and continuity checks now specified against actual nets.</x:v>
      </x:c>
      <x:c r="F86" s="104" t="str">
        <x:v>OPEN</x:v>
      </x:c>
      <x:c r="G86" s="104" t="str">
        <x:v>OPEN</x:v>
      </x:c>
      <x:c r="H86" s="104" t="str">
        <x:v>OPEN</x:v>
      </x:c>
      <x:c r="I86" s="104" t="str">
        <x:v>Direct native pad/track/via/filled-copper inspection and source-bound calculation; exact supporting document/code checked where referenced.</x:v>
      </x:c>
      <x:c r="J86" s="104" t="str">
        <x:v>TP509
OIL_EFUSE_RTN
GND
J201.3</x:v>
      </x:c>
      <x:c r="K86" s="104" t="str">
        <x:v>audit/board_vetting_20260908/rf_ground/GROUND_AND_RF_DISPOSITION.md — External ground-loss and fixture disposition
audit/board_vetting_20260908/rf_ground/GROUND_AND_RF_DISPOSITION.md — Direct copper and RF vetting / actual source deltas
BRING_UP_PLAN.md — GPS-only fixture; oil protected excitation tests
calculations/OIL_PRESSURE_CALCULATIONS.md — Disconnect sensor and vehicle harness; never connect TP509 directly to fixture GND</x:v>
      </x:c>
      <x:c r="L86" s="104" t="str">
        <x:v>Record actual instruments output/USB-to-PE bonds and implement the proposed differential fixture.</x:v>
      </x:c>
      <x:c r="M86" s="104" t="str">
        <x:v>YES</x:v>
      </x:c>
      <x:c r="N86" s="104" t="str">
        <x:v>YES</x:v>
      </x:c>
      <x:c r="O86" s="104" t="str">
        <x:v>P0</x:v>
      </x:c>
    </x:row>
    <x:row r="87" ht="125" customHeight="1">
      <x:c r="A87" s="104" t="str">
        <x:v>VIA-01</x:v>
      </x:c>
      <x:c r="B87" s="104" t="str">
        <x:v>Stitching, thermal and signal vias</x:v>
      </x:c>
      <x:c r="C87" s="104" t="str">
        <x:v>Via map distinguishes reference stitching, RF fencing, thermal conduction and power-current transfer.</x:v>
      </x:c>
      <x:c r="D87" s="104" t="str">
        <x:v>All256 PCB via UUIDs now have inferred electrical purpose, location/drill, attached track layers and nearby same-net pads.12 ESP thermal pad41 holes are separately recorded.</x:v>
      </x:c>
      <x:c r="E87" s="104" t="str">
        <x:v>Previous missing via-purpose map is closed;102 GND vias are not mislabeled as102 RF fence vias.</x:v>
      </x:c>
      <x:c r="F87" s="104" t="str">
        <x:v>VERIFIED</x:v>
      </x:c>
      <x:c r="G87" s="104" t="str">
        <x:v>CLOSED</x:v>
      </x:c>
      <x:c r="H87" s="104" t="str">
        <x:v>OPEN</x:v>
      </x:c>
      <x:c r="I87" s="104" t="str">
        <x:v>Direct native pad/track/via/filled-copper inspection and source-bound calculation; exact supporting document/code checked where referenced.</x:v>
      </x:c>
      <x:c r="J87" s="104" t="str">
        <x:v>all256 via UUIDs
U201.41 twelve PTH thermal holes</x:v>
      </x:c>
      <x:c r="K87" s="104" t="str">
        <x:v>audit/board_vetting_20260908/rf_ground/GEOMETRY_EVIDENCE.json — via_rows; additional_ESP_plated_thermal_holes
audit/board_vetting_20260908/rf_ground/GROUND_AND_RF_DISPOSITION.md — Direct copper and RF vetting / actual source deltas
audit/erb_20260907/lanes/rf_ground_geometry.json — via_count; ground_via_count; via_drills_mm; selected_signal_return_vias
manufacturing/product/VIA_PROCESS.json — U201_pad41_vias</x:v>
      </x:c>
      <x:c r="L87" s="104" t="str">
        <x:v>Purpose inferred from native geometry; count does not prove thermal/EMC performance.</x:v>
      </x:c>
      <x:c r="M87" s="104" t="str">
        <x:v>YES</x:v>
      </x:c>
      <x:c r="N87" s="104" t="str">
        <x:v>NO</x:v>
      </x:c>
      <x:c r="O87" s="104" t="str">
        <x:v>P1</x:v>
      </x:c>
    </x:row>
    <x:row r="88" ht="125" customHeight="1">
      <x:c r="A88" s="104" t="str">
        <x:v>VIA-02</x:v>
      </x:c>
      <x:c r="B88" s="104" t="str">
        <x:v>Stitching, thermal and signal vias</x:v>
      </x:c>
      <x:c r="C88" s="104" t="str">
        <x:v>Inspection shows short return transitions at critical signal vias.</x:v>
      </x:c>
      <x:c r="D88" s="104" t="str">
        <x:v>Every GND via contacts all4 ground fills; RF transition has return0.786mm away. Every signal via has nearest-ground distance and connected layer list in the map.</x:v>
      </x:c>
      <x:c r="E88" s="104" t="str">
        <x:v>Local return provisions now vetted for every signal transition rather than selected count only.</x:v>
      </x:c>
      <x:c r="F88" s="104" t="str">
        <x:v>CALCULATED</x:v>
      </x:c>
      <x:c r="G88" s="104" t="str">
        <x:v>CLOSED</x:v>
      </x:c>
      <x:c r="H88" s="104" t="str">
        <x:v>CLOSED</x:v>
      </x:c>
      <x:c r="I88" s="104" t="str">
        <x:v>Direct native pad/track/via/filled-copper inspection and source-bound calculation; exact supporting document/code checked where referenced.</x:v>
      </x:c>
      <x:c r="J88" s="104" t="str">
        <x:v>GPS_ANT_RF_BIASED via@(62.6764,16.7254)
all signal vias</x:v>
      </x:c>
      <x:c r="K88" s="104" t="str">
        <x:v>audit/board_vetting_20260908/rf_ground/GEOMETRY_EVIDENCE.json — via_rows; rf_local_ground_vias
audit/board_vetting_20260908/rf_ground/GROUND_AND_RF_DISPOSITION.md — Direct copper and RF vetting / actual source deltas
audit/erb_20260907/lanes/rf_ground_geometry.json — selected_signal_return_vias
audit/productization/pcb/PRODUCT_INNER_ESCAPES.json — CANL_return_and_population</x:v>
      </x:c>
      <x:c r="L88" s="104" t="str">
        <x:v>Nearest distance is geometric provision, not high-frequency inductance or receiver-ringing verification.</x:v>
      </x:c>
      <x:c r="M88" s="104" t="str">
        <x:v>YES</x:v>
      </x:c>
      <x:c r="N88" s="104" t="str">
        <x:v>NO</x:v>
      </x:c>
      <x:c r="O88" s="104" t="str">
        <x:v>P1</x:v>
      </x:c>
    </x:row>
    <x:row r="89" ht="125" customHeight="1">
      <x:c r="A89" s="104" t="str">
        <x:v>VIA-03</x:v>
      </x:c>
      <x:c r="B89" s="104" t="str">
        <x:v>Stitching, thermal and signal vias</x:v>
      </x:c>
      <x:c r="C89" s="104" t="str">
        <x:v>Documented rationale or validated reference layout for sensitive zones.</x:v>
      </x:c>
      <x:c r="D89" s="104" t="str">
        <x:v>General GND nearest-neighbor range0.60..8.45mm; GPS transition0.786mm and J401 local ground span4.55mm are below nominal lambda/20=5.276mm.</x:v>
      </x:c>
      <x:c r="E89" s="104" t="str">
        <x:v>Added explicit local RF spacing rationale; general interplane returns are not represented as a perimeter fence.</x:v>
      </x:c>
      <x:c r="F89" s="104" t="str">
        <x:v>CALCULATED</x:v>
      </x:c>
      <x:c r="G89" s="104" t="str">
        <x:v>CLOSED</x:v>
      </x:c>
      <x:c r="H89" s="104" t="str">
        <x:v>OPEN</x:v>
      </x:c>
      <x:c r="I89" s="104" t="str">
        <x:v>Direct native pad/track/via/filled-copper inspection and source-bound calculation; exact supporting document/code checked where referenced.</x:v>
      </x:c>
      <x:c r="J89" s="104" t="str">
        <x:v>J401
GPS RF return vias
all GND via groups</x:v>
      </x:c>
      <x:c r="K89" s="104" t="str">
        <x:v>audit/board_vetting_20260908/rf_ground/ELECTRICAL_GEOMETRY_BOUNDS.json — rf_local_spacing
audit/board_vetting_20260908/rf_ground/GROUND_AND_RF_DISPOSITION.md — Direct copper and RF vetting / actual source deltas
audit/erb_20260907/lanes/rf_ground_geometry.json — selected_signal_return_vias
audit/productization/pcb/gps/RF_GEOMETRY_ESTIMATE.json — proposed_nominal.microstrip_guided_wavelength_mm</x:v>
      </x:c>
      <x:c r="L89" s="104" t="str">
        <x:v>Lambda/20 is a geometry screen, not emissions qualification; no full-board RF fence is claimed.</x:v>
      </x:c>
      <x:c r="M89" s="104" t="str">
        <x:v>YES</x:v>
      </x:c>
      <x:c r="N89" s="104" t="str">
        <x:v>NO</x:v>
      </x:c>
      <x:c r="O89" s="104" t="str">
        <x:v>P1</x:v>
      </x:c>
    </x:row>
    <x:row r="90" ht="140" customHeight="1">
      <x:c r="A90" s="104" t="str">
        <x:v>VIA-04</x:v>
      </x:c>
      <x:c r="B90" s="104" t="str">
        <x:v>Stitching, thermal and signal vias</x:v>
      </x:c>
      <x:c r="C90" s="104" t="str">
        <x:v>Manufacturer keepout overlays checked on every relevant copper layer.</x:v>
      </x:c>
      <x:c r="D90" s="104" t="str">
        <x:v>Native all-layer ESP antenna and J401 center keepouts remain intact; GPS patch forbids F/B/In1 routing/vias while retaining clean In2 reference.</x:v>
      </x:c>
      <x:c r="E90" s="104" t="str">
        <x:v>No prohibited ground stitching found in the protected antenna/isolation areas.</x:v>
      </x:c>
      <x:c r="F90" s="104" t="str">
        <x:v>VERIFIED</x:v>
      </x:c>
      <x:c r="G90" s="104" t="str">
        <x:v>CLOSED</x:v>
      </x:c>
      <x:c r="H90" s="104" t="str">
        <x:v>CLOSED</x:v>
      </x:c>
      <x:c r="I90" s="104" t="str">
        <x:v>Direct native pad/track/via/filled-copper inspection and source-bound calculation; exact supporting document/code checked where referenced.</x:v>
      </x:c>
      <x:c r="J90" s="104" t="str">
        <x:v>U201 antenna x88.254766..109.254766
U401 patch x47.7..61.3
J401 keepout</x:v>
      </x:c>
      <x:c r="K90" s="104" t="str">
        <x:v>audit/productization/manufacturing/final_board_review/recheck_f23c/inventory/NATIVE_BOARD_UPDATE_INVENTORY.json — existing_placements.U201/J401 embedded_rule_areas; board_zones
audit/board_vetting_20260908/rf_ground/GROUND_AND_RF_DISPOSITION.md — Direct copper and RF vetting / actual source deltas
audit/productization/manufacturing/final_board_review/recheck_f23c/inventory/NATIVE_BOARD_UPDATE_INVENTORY.json — existing_placements.U201/J401 embedded_rule_areas; board_zones.GPS_PATCH_CLEAN_GROUND
REV_B_PCB_RELEASE_REVIEW.md — GPS patch restrictions and ESP all-layer antenna keepout</x:v>
      </x:c>
      <x:c r="L90" s="104" t="str">
        <x:v>Actual enclosure/cable metal volumes still require physical/mechanical verification.</x:v>
      </x:c>
      <x:c r="M90" s="104" t="str">
        <x:v>YES</x:v>
      </x:c>
      <x:c r="N90" s="104" t="str">
        <x:v>NO</x:v>
      </x:c>
      <x:c r="O90" s="104" t="str">
        <x:v>P0</x:v>
      </x:c>
    </x:row>
    <x:row r="91" ht="125" customHeight="1">
      <x:c r="A91" s="104" t="str">
        <x:v>VIA-05</x:v>
      </x:c>
      <x:c r="B91" s="104" t="str">
        <x:v>Stitching, thermal and signal vias</x:v>
      </x:c>
      <x:c r="C91" s="104" t="str">
        <x:v>U.FL launch and return-path inspection against exact footprint and stackup.</x:v>
      </x:c>
      <x:c r="D91" s="104" t="str">
        <x:v>J401 shield pads locally attach through GND vias at(65.775,6.525) and(65.775,11.075); D402 return0.618mm; all four fills share the conductive component.</x:v>
      </x:c>
      <x:c r="E91" s="104" t="str">
        <x:v>Local connector and RF reference ties are proven in native geometry.</x:v>
      </x:c>
      <x:c r="F91" s="104" t="str">
        <x:v>VERIFIED</x:v>
      </x:c>
      <x:c r="G91" s="104" t="str">
        <x:v>CLOSED</x:v>
      </x:c>
      <x:c r="H91" s="104" t="str">
        <x:v>CLOSED</x:v>
      </x:c>
      <x:c r="I91" s="104" t="str">
        <x:v>Direct native pad/track/via/filled-copper inspection and source-bound calculation; exact supporting document/code checked where referenced.</x:v>
      </x:c>
      <x:c r="J91" s="104" t="str">
        <x:v>J401.2
D402.2
GND vias@(65.775,6.525)/(65.775,11.075)</x:v>
      </x:c>
      <x:c r="K91" s="104" t="str">
        <x:v>audit/board_vetting_20260908/rf_ground/GEOMETRY_EVIDENCE.json — rf_local_ground_vias; ground_connectivity_components
audit/board_vetting_20260908/rf_ground/GROUND_AND_RF_DISPOSITION.md — Direct copper and RF vetting / actual source deltas
audit/productization/manufacturing/final_board_review/recheck_f23c/inventory/NATIVE_BOARD_UPDATE_INVENTORY.json — existing_placements.J401/D402; tracks_vias
audit/erb_20260907/lanes/rf_ground_geometry.json — rf.sampled_reference_check; selected_signal_return_vias</x:v>
      </x:c>
      <x:c r="L91" s="104" t="str">
        <x:v>Complete launch discontinuity/antenna matching remains SI-02/SI-12.</x:v>
      </x:c>
      <x:c r="M91" s="104" t="str">
        <x:v>YES</x:v>
      </x:c>
      <x:c r="N91" s="104" t="str">
        <x:v>NO</x:v>
      </x:c>
      <x:c r="O91" s="104" t="str">
        <x:v>P1</x:v>
      </x:c>
    </x:row>
    <x:row r="92" ht="125" customHeight="1">
      <x:c r="A92" s="104" t="str">
        <x:v>VIA-06</x:v>
      </x:c>
      <x:c r="B92" s="104" t="str">
        <x:v>Stitching, thermal and signal vias</x:v>
      </x:c>
      <x:c r="C92" s="104" t="str">
        <x:v>Via-current/thermal budget with fabrication tolerances.</x:v>
      </x:c>
      <x:c r="D92" s="104" t="str">
        <x:v>47 rail-transfer vias enumerated. Conditional0.30mm finished hole/20um copper/1.6mm barrel at125C gives1.938mohm and1.24mW at0.8A per barrel.</x:v>
      </x:c>
      <x:c r="E92" s="104" t="str">
        <x:v>New full-current-per-via electrical screen replaces no analysis; same-net vias are not assumed parallel.</x:v>
      </x:c>
      <x:c r="F92" s="104" t="str">
        <x:v>CALCULATED</x:v>
      </x:c>
      <x:c r="G92" s="104" t="str">
        <x:v>OPEN</x:v>
      </x:c>
      <x:c r="H92" s="104" t="str">
        <x:v>OPEN</x:v>
      </x:c>
      <x:c r="I92" s="104" t="str">
        <x:v>Direct native pad/track/via/filled-copper inspection and source-bound calculation; exact supporting document/code checked where referenced.</x:v>
      </x:c>
      <x:c r="J92" s="104" t="str">
        <x:v>47 rail-transfer via UUIDs
0.30mm drill rails</x:v>
      </x:c>
      <x:c r="K92" s="104" t="str">
        <x:v>audit/board_vetting_20260908/rf_ground/ELECTRICAL_GEOMETRY_BOUNDS.json — barrel_conditional_screen; rail_via_groups
audit/board_vetting_20260908/rf_ground/GROUND_AND_RF_DISPOSITION.md — Direct copper and RF vetting / actual source deltas
audit/erb_20260907/lanes/rf_ground_geometry.json — via_drills_mm
audit/productization/power_close/RETAINED_POWER_CURRENT_SCREEN.json — rows and notes</x:v>
      </x:c>
      <x:c r="L92" s="104" t="str">
        <x:v>Confirm finished hole/plating and solve thermal/pulse limits; dissipation alone is not temperature rise.</x:v>
      </x:c>
      <x:c r="M92" s="104" t="str">
        <x:v>NO</x:v>
      </x:c>
      <x:c r="N92" s="104" t="str">
        <x:v>YES</x:v>
      </x:c>
      <x:c r="O92" s="104" t="str">
        <x:v>P1</x:v>
      </x:c>
    </x:row>
    <x:row r="93" ht="125" customHeight="1">
      <x:c r="A93" s="104" t="str">
        <x:v>VIA-07</x:v>
      </x:c>
      <x:c r="B93" s="104" t="str">
        <x:v>Stitching, thermal and signal vias</x:v>
      </x:c>
      <x:c r="C93" s="104" t="str">
        <x:v>Assembly-approved tenting/filling/capping and stencil strategy.</x:v>
      </x:c>
      <x:c r="D93" s="104" t="str">
        <x:v>Native12 U201 PTH thermal holes and14 converter/private-RTN thermal vias are present. Nine ESP stencil windows retain0.15mm nominal drill-to-paste margin.</x:v>
      </x:c>
      <x:c r="E93" s="104" t="str">
        <x:v>Actual hole types/count and nominal margin vetted; supplier registration/voiding not fabricated as passed.</x:v>
      </x:c>
      <x:c r="F93" s="104" t="str">
        <x:v>HOLD</x:v>
      </x:c>
      <x:c r="G93" s="104" t="str">
        <x:v>OPEN</x:v>
      </x:c>
      <x:c r="H93" s="104" t="str">
        <x:v>OPEN</x:v>
      </x:c>
      <x:c r="I93" s="104" t="str">
        <x:v>Direct native pad/track/via/filled-copper inspection and source-bound calculation; exact supporting document/code checked where referenced.</x:v>
      </x:c>
      <x:c r="J93" s="104" t="str">
        <x:v>U201.41
U121.9
U151.17
U501.17</x:v>
      </x:c>
      <x:c r="K93" s="104" t="str">
        <x:v>audit/board_vetting_20260908/rf_ground/GEOMETRY_EVIDENCE.json — additional_ESP_plated_thermal_holes; via_rows
audit/board_vetting_20260908/rf_ground/GROUND_AND_RF_DISPOSITION.md — Direct copper and RF vetting / actual source deltas
manufacturing/product/VIA_PROCESS.json — process
REV_B_PCB_RELEASE_REVIEW.md — Fabrication/process basis; A084</x:v>
      </x:c>
      <x:c r="L93" s="104" t="str">
        <x:v>Assembler approval and first-article wicking/voiding check for exact tented process.</x:v>
      </x:c>
      <x:c r="M93" s="104" t="str">
        <x:v>YES</x:v>
      </x:c>
      <x:c r="N93" s="104" t="str">
        <x:v>YES</x:v>
      </x:c>
      <x:c r="O93" s="104" t="str">
        <x:v>P1</x:v>
      </x:c>
    </x:row>
    <x:row r="94" ht="125" customHeight="1">
      <x:c r="A94" s="104" t="str">
        <x:v>VIA-08</x:v>
      </x:c>
      <x:c r="B94" s="104" t="str">
        <x:v>Stitching, thermal and signal vias</x:v>
      </x:c>
      <x:c r="C94" s="104" t="str">
        <x:v>Fabricator capability confirmation and corresponding drawing notes.</x:v>
      </x:c>
      <x:c r="D94" s="104" t="str">
        <x:v>Via-in-pad thermal structures are explicit; no selective resin fill/cap is requested. Controlled packet specifies tenting and segmented paste.</x:v>
      </x:c>
      <x:c r="E94" s="104" t="str">
        <x:v>CAD/process intent is specific; selected supplier has not accepted combined tolerance.</x:v>
      </x:c>
      <x:c r="F94" s="104" t="str">
        <x:v>HOLD</x:v>
      </x:c>
      <x:c r="G94" s="104" t="str">
        <x:v>OPEN</x:v>
      </x:c>
      <x:c r="H94" s="104" t="str">
        <x:v>OPEN</x:v>
      </x:c>
      <x:c r="I94" s="104" t="str">
        <x:v>Direct native pad/track/via/filled-copper inspection and source-bound calculation; exact supporting document/code checked where referenced.</x:v>
      </x:c>
      <x:c r="J94" s="104" t="str">
        <x:v>U201.41
U121.9
U151.17
U501.17</x:v>
      </x:c>
      <x:c r="K94" s="104" t="str">
        <x:v>audit/board_vetting_20260908/rf_ground/GEOMETRY_EVIDENCE.json — additional_ESP_plated_thermal_holes; via_rows
audit/board_vetting_20260908/rf_ground/GROUND_AND_RF_DISPOSITION.md — Direct copper and RF vetting / actual source deltas
manufacturing/product/VIA_PROCESS.json — selective_fill_required=false; process
REV_B_PCB_RELEASE_REVIEW.md — ESP thermal holes; A084 supplier capability</x:v>
      </x:c>
      <x:c r="L94" s="104" t="str">
        <x:v>Factory capability acceptance and process evidence, or controlled redesign if fill/cap is required.</x:v>
      </x:c>
      <x:c r="M94" s="104" t="str">
        <x:v>YES</x:v>
      </x:c>
      <x:c r="N94" s="104" t="str">
        <x:v>YES</x:v>
      </x:c>
      <x:c r="O94" s="104" t="str">
        <x:v>P1</x:v>
      </x:c>
    </x:row>
    <x:row r="95" ht="125" customHeight="1">
      <x:c r="A95" s="104" t="str">
        <x:v>VIA-09</x:v>
      </x:c>
      <x:c r="B95" s="104" t="str">
        <x:v>Stitching, thermal and signal vias</x:v>
      </x:c>
      <x:c r="C95" s="104" t="str">
        <x:v>Stub geometry and measurement-access trade reviewed.</x:v>
      </x:c>
      <x:c r="D95" s="104" t="str">
        <x:v>RF has one full-depth transition, no RF probe tee/stub; both barrel ends are used. CANL optional bench branch is15.370mm and open in vehicle population.</x:v>
      </x:c>
      <x:c r="E95" s="104" t="str">
        <x:v>RF stub topology and distinction from CAN bench branch directly vetted.</x:v>
      </x:c>
      <x:c r="F95" s="104" t="str">
        <x:v>CALCULATED</x:v>
      </x:c>
      <x:c r="G95" s="104" t="str">
        <x:v>CLOSED</x:v>
      </x:c>
      <x:c r="H95" s="104" t="str">
        <x:v>CLOSED</x:v>
      </x:c>
      <x:c r="I95" s="104" t="str">
        <x:v>Direct native pad/track/via/filled-copper inspection and source-bound calculation; exact supporting document/code checked where referenced.</x:v>
      </x:c>
      <x:c r="J95" s="104" t="str">
        <x:v>GPS_ANT_RF_BIASED
R406
CANL
R306 DNP
SJ301 OPEN</x:v>
      </x:c>
      <x:c r="K95" s="104" t="str">
        <x:v>audit/board_vetting_20260908/rf_ground/GEOMETRY_EVIDENCE.json — rf_tracks_vias; can_endpoint_paths
audit/board_vetting_20260908/rf_ground/GROUND_AND_RF_DISPOSITION.md — Direct copper and RF vetting / actual source deltas
audit/erb_20260907/lanes/rf_ground_geometry.json — rf.tracks/vias
audit/productization/pcb/PRODUCT_INNER_ESCAPES.json — CANL_return_and_population</x:v>
      </x:c>
      <x:c r="L95" s="104" t="str">
        <x:v>Installed CAN harness loading and complete RF launch loss remain physical criteria.</x:v>
      </x:c>
      <x:c r="M95" s="104" t="str">
        <x:v>YES</x:v>
      </x:c>
      <x:c r="N95" s="104" t="str">
        <x:v>NO</x:v>
      </x:c>
      <x:c r="O95" s="104" t="str">
        <x:v>P1</x:v>
      </x:c>
    </x:row>
    <x:row r="96" ht="125" customHeight="1">
      <x:c r="A96" s="104" t="str">
        <x:v>VIA-10</x:v>
      </x:c>
      <x:c r="B96" s="104" t="str">
        <x:v>Stitching, thermal and signal vias</x:v>
      </x:c>
      <x:c r="C96" s="104" t="str">
        <x:v>Final density and DFM review; more vias is not itself an acceptance metric.</x:v>
      </x:c>
      <x:c r="D96" s="104" t="str">
        <x:v>All256 vias have a functional group;102 GND returns connect all layers. Current DRC and435-aperture/290-hole clearance screen retain nominal process margin.</x:v>
      </x:c>
      <x:c r="E96" s="104" t="str">
        <x:v>No orphan via/copper island or keepout breach found; blanket “more stitching needed” is unsupported.</x:v>
      </x:c>
      <x:c r="F96" s="104" t="str">
        <x:v>VERIFIED</x:v>
      </x:c>
      <x:c r="G96" s="104" t="str">
        <x:v>OPEN</x:v>
      </x:c>
      <x:c r="H96" s="104" t="str">
        <x:v>OPEN</x:v>
      </x:c>
      <x:c r="I96" s="104" t="str">
        <x:v>Direct native pad/track/via/filled-copper inspection and source-bound calculation; exact supporting document/code checked where referenced.</x:v>
      </x:c>
      <x:c r="J96" s="104" t="str">
        <x:v>all PCB vias
antenna keepouts
test points</x:v>
      </x:c>
      <x:c r="K96" s="104" t="str">
        <x:v>audit/board_vetting_20260908/rf_ground/GEOMETRY_EVIDENCE.json — via_rows; ground_connectivity_components
audit/board_vetting_20260908/rf_ground/GROUND_AND_RF_DISPOSITION.md — Direct copper and RF vetting / actual source deltas
REV_B_PCB_RELEASE_REVIEW.md — paste/drill process margin; test-pad reach
audit/erb_20260907/lanes/rf_ground_geometry.json — via_count</x:v>
      </x:c>
      <x:c r="L96" s="104" t="str">
        <x:v>Supplier DFM/fixture acceptance still needed; no proof every general return via is mathematically minimal.</x:v>
      </x:c>
      <x:c r="M96" s="104" t="str">
        <x:v>YES</x:v>
      </x:c>
      <x:c r="N96" s="104" t="str">
        <x:v>YES</x:v>
      </x:c>
      <x:c r="O96" s="104" t="str">
        <x:v>P2</x:v>
      </x:c>
    </x:row>
    <x:row r="97" ht="125" customHeight="1">
      <x:c r="A97" s="104" t="str">
        <x:v>SI-01</x:v>
      </x:c>
      <x:c r="B97" s="104" t="str">
        <x:v>Impedance, signal integrity and routing</x:v>
      </x:c>
      <x:c r="C97" s="104" t="str">
        <x:v>Dielectric thickness/Dk, copper, layer references, mask assumptions and tolerances recorded.</x:v>
      </x:c>
      <x:c r="D97" s="104" t="str">
        <x:v>Actual native stackup:70um outer,30um inner,0.203/1.03/0.203mm dielectrics, nominalEr4.4. RF width0.34mm and same-side clearance0.20mm.</x:v>
      </x:c>
      <x:c r="E97" s="104" t="str">
        <x:v>Uniform-line calculation rebound to exact retained geometry; factory tolerance is not supplied by nominal values.</x:v>
      </x:c>
      <x:c r="F97" s="104" t="str">
        <x:v>CALCULATED</x:v>
      </x:c>
      <x:c r="G97" s="104" t="str">
        <x:v>OPEN</x:v>
      </x:c>
      <x:c r="H97" s="104" t="str">
        <x:v>OPEN</x:v>
      </x:c>
      <x:c r="I97" s="104" t="str">
        <x:v>Direct native pad/track/via/filled-copper inspection and source-bound calculation; exact supporting document/code checked where referenced.</x:v>
      </x:c>
      <x:c r="J97" s="104" t="str">
        <x:v>F.Cu
In1.Cu
In2.Cu
B.Cu
GPS RF nets</x:v>
      </x:c>
      <x:c r="K97" s="104" t="str">
        <x:v>audit/productization/pcb/gps/RF_GEOMETRY_ESTIMATE.json — native_stackup; proposed_nominal
audit/board_vetting_20260908/rf_ground/GROUND_AND_RF_DISPOSITION.md — Direct copper and RF vetting / actual source deltas
audit/jlcpcb/STACKUP_SOURCE.json — selected_stackup; dielectric_mm; controlled_impedance=false
audit/productization/pcb/gps/RF_GEOMETRY_ESTIMATE.json — native_stackup; limits</x:v>
      </x:c>
      <x:c r="L97" s="104" t="str">
        <x:v>Supplier construction/etch/Dk tolerance acceptance or justified analysis-only RF acceptance.</x:v>
      </x:c>
      <x:c r="M97" s="104" t="str">
        <x:v>NO</x:v>
      </x:c>
      <x:c r="N97" s="104" t="str">
        <x:v>YES</x:v>
      </x:c>
      <x:c r="O97" s="104" t="str">
        <x:v>P0</x:v>
      </x:c>
    </x:row>
    <x:row r="98" ht="125" customHeight="1">
      <x:c r="A98" s="104" t="str">
        <x:v>SI-02</x:v>
      </x:c>
      <x:c r="B98" s="104" t="str">
        <x:v>Impedance, signal integrity and routing</x:v>
      </x:c>
      <x:c r="C98" s="104" t="str">
        <x:v>Trace width/gap/reference calculation, launch geometry and fabrication tolerance.</x:v>
      </x:c>
      <x:c r="D98" s="104" t="str">
        <x:v>Uniform-line nominal49.82/49.74ohm retained; full10.331mm feed has D402 acute pad turn, J401 launch, R406 and one RF via.</x:v>
      </x:c>
      <x:c r="E98" s="104" t="str">
        <x:v>Board meets nominal50ohm intent; complete-path geometry/tolerance is not yet qualified.</x:v>
      </x:c>
      <x:c r="F98" s="104" t="str">
        <x:v>OPEN</x:v>
      </x:c>
      <x:c r="G98" s="104" t="str">
        <x:v>OPEN</x:v>
      </x:c>
      <x:c r="H98" s="104" t="str">
        <x:v>OPEN</x:v>
      </x:c>
      <x:c r="I98" s="104" t="str">
        <x:v>Direct native pad/track/via/filled-copper inspection and source-bound calculation; exact supporting document/code checked where referenced.</x:v>
      </x:c>
      <x:c r="J98" s="104" t="str">
        <x:v>J401.1
D402.1@(63.6,11.95)
R406
U401.11</x:v>
      </x:c>
      <x:c r="K98" s="104" t="str">
        <x:v>audit/board_vetting_20260908/rf_ground/GEOMETRY_EVIDENCE.json — rf_tracks_vias; rf_local_ground_vias
audit/board_vetting_20260908/rf_ground/GROUND_AND_RF_DISPOSITION.md — Direct copper and RF vetting / actual source deltas
audit/erb_20260907/lanes/rf_ground_geometry.json — rf; ideal_49p8_to_50_step
audit/productization/pcb/gps/RF_GEOMETRY_ESTIMATE.json — proposed_nominal; limits</x:v>
      </x:c>
      <x:c r="L98" s="104" t="str">
        <x:v>Smooth/disposition D402 corner; bound launch/via/ESD and fabrication variation.</x:v>
      </x:c>
      <x:c r="M98" s="104" t="str">
        <x:v>NO</x:v>
      </x:c>
      <x:c r="N98" s="104" t="str">
        <x:v>YES</x:v>
      </x:c>
      <x:c r="O98" s="104" t="str">
        <x:v>P1</x:v>
      </x:c>
    </x:row>
    <x:row r="99" ht="125" customHeight="1">
      <x:c r="A99" s="104" t="str">
        <x:v>SI-03</x:v>
      </x:c>
      <x:c r="B99" s="104" t="str">
        <x:v>Impedance, signal integrity and routing</x:v>
      </x:c>
      <x:c r="C99" s="104" t="str">
        <x:v>Complete topology/loading/delay analysis; do not assign arbitrary 50-ohm legs or extra termination.</x:v>
      </x:c>
      <x:c r="D99" s="104" t="str">
        <x:v>Main CANH/L paths11.868/11.412mm on B; no main signal vias. R306DNP/SJ301open; optional bench branch excluded from main skew.</x:v>
      </x:c>
      <x:c r="E99" s="104" t="str">
        <x:v>Actual PCB delay/branch topology is separated from externally terminated vehicle harness.</x:v>
      </x:c>
      <x:c r="F99" s="104" t="str">
        <x:v>CALCULATED</x:v>
      </x:c>
      <x:c r="G99" s="104" t="str">
        <x:v>OPEN</x:v>
      </x:c>
      <x:c r="H99" s="104" t="str">
        <x:v>OPEN</x:v>
      </x:c>
      <x:c r="I99" s="104" t="str">
        <x:v>Direct native pad/track/via/filled-copper inspection and source-bound calculation; exact supporting document/code checked where referenced.</x:v>
      </x:c>
      <x:c r="J99" s="104" t="str">
        <x:v>F1.5
F1.6
U301.6
U301.7
R306
SJ301</x:v>
      </x:c>
      <x:c r="K99" s="104" t="str">
        <x:v>audit/board_vetting_20260908/rf_ground/GEOMETRY_EVIDENCE.json — can_endpoint_paths
audit/board_vetting_20260908/rf_ground/GROUND_AND_RF_DISPOSITION.md — Direct copper and RF vetting / actual source deltas
audit/productization/pcb/PRODUCT_INNER_ESCAPES.json — CANL_return_and_population
ASSUMPTIONS.md — A073</x:v>
      </x:c>
      <x:c r="L99" s="104" t="str">
        <x:v>Freeze/measure actual short twisted-pair tap, termination and loading; no arbitrary50ohm CAN legs.</x:v>
      </x:c>
      <x:c r="M99" s="104" t="str">
        <x:v>YES</x:v>
      </x:c>
      <x:c r="N99" s="104" t="str">
        <x:v>YES</x:v>
      </x:c>
      <x:c r="O99" s="104" t="str">
        <x:v>P1</x:v>
      </x:c>
    </x:row>
    <x:row r="100" ht="125" customHeight="1">
      <x:c r="A100" s="104" t="str">
        <x:v>SI-04</x:v>
      </x:c>
      <x:c r="B100" s="104" t="str">
        <x:v>Impedance, signal integrity and routing</x:v>
      </x:c>
      <x:c r="C100" s="104" t="str">
        <x:v>Per-interface timing budget identifies which constraints are material.</x:v>
      </x:c>
      <x:c r="D100" s="104" t="str">
        <x:v>Main CAN mismatch0.456mm~3.19ps; RX MCU flight0.789ns versus10ns typical RXD edge. GPS line capacity and256byte queue now explicit.</x:v>
      </x:c>
      <x:c r="E100" s="104" t="str">
        <x:v>Native endpoint timing replaces aggregate net length/baud-only rationale.</x:v>
      </x:c>
      <x:c r="F100" s="104" t="str">
        <x:v>CALCULATED</x:v>
      </x:c>
      <x:c r="G100" s="104" t="str">
        <x:v>OPEN</x:v>
      </x:c>
      <x:c r="H100" s="104" t="str">
        <x:v>OPEN</x:v>
      </x:c>
      <x:c r="I100" s="104" t="str">
        <x:v>Direct native pad/track/via/filled-copper inspection and source-bound calculation; exact supporting document/code checked where referenced.</x:v>
      </x:c>
      <x:c r="J100" s="104" t="str">
        <x:v>CANH
CANL
CAN_RX_MCU
U301
UART GPS</x:v>
      </x:c>
      <x:c r="K100" s="104" t="str">
        <x:v>audit/board_vetting_20260908/rf_ground/ELECTRICAL_GEOMETRY_BOUNDS.json — can
audit/board_vetting_20260908/rf_ground/GROUND_AND_RF_DISPOSITION.md — Direct copper and RF vetting / actual source deltas
audit/erb_20260907/lanes/rf_ground_geometry.json — rf; selected_signal_return_vias
audit/productization/manufacturing/final_board_review/recheck_f23c/inventory/NATIVE_BOARD_UPDATE_INVENTORY.json — tracks_vias</x:v>
      </x:c>
      <x:c r="L100" s="104" t="str">
        <x:v>Actual fast-edge/load/receiver margin and simultaneous UART worst-service latency still need execution evidence.</x:v>
      </x:c>
      <x:c r="M100" s="104" t="str">
        <x:v>YES</x:v>
      </x:c>
      <x:c r="N100" s="104" t="str">
        <x:v>YES</x:v>
      </x:c>
      <x:c r="O100" s="104" t="str">
        <x:v>P1</x:v>
      </x:c>
    </x:row>
    <x:row r="101" ht="125" customHeight="1">
      <x:c r="A101" s="104" t="str">
        <x:v>SI-05</x:v>
      </x:c>
      <x:c r="B101" s="104" t="str">
        <x:v>Impedance, signal integrity and routing</x:v>
      </x:c>
      <x:c r="C101" s="104" t="str">
        <x:v>Route report and annotated layout review.</x:v>
      </x:c>
      <x:c r="D101" s="104" t="str">
        <x:v>RF10.331mm/one via/no tee; main CAN~12mm/direct. Active CAN RX takes112.70mm including3vias; R402/R403 lie near receivers, not buffer sources.</x:v>
      </x:c>
      <x:c r="E101" s="104" t="str">
        <x:v>Actual route detours/source placement quantified; zero DRC is not proof of optimal routing.</x:v>
      </x:c>
      <x:c r="F101" s="104" t="str">
        <x:v>OPEN</x:v>
      </x:c>
      <x:c r="G101" s="104" t="str">
        <x:v>OPEN</x:v>
      </x:c>
      <x:c r="H101" s="104" t="str">
        <x:v>OPEN</x:v>
      </x:c>
      <x:c r="I101" s="104" t="str">
        <x:v>Direct native pad/track/via/filled-copper inspection and source-bound calculation; exact supporting document/code checked where referenced.</x:v>
      </x:c>
      <x:c r="J101" s="104" t="str">
        <x:v>CAN_RX_MCU
R402
R403
R404
D402</x:v>
      </x:c>
      <x:c r="K101" s="104" t="str">
        <x:v>audit/board_vetting_20260908/rf_ground/GEOMETRY_EVIDENCE.json — can_endpoint_paths; critical_reference_segments
audit/board_vetting_20260908/rf_ground/GROUND_AND_RF_DISPOSITION.md — Direct copper and RF vetting / actual source deltas
audit/erb_20260907/lanes/rf_ground_geometry.json — rf.tracks
audit/productization/manufacturing/final_board_review/recheck_f23c/inventory/NATIVE_BOARD_UPDATE_INVENTORY.json — existing_placements.R402/R403/U402; tracks_vias GPS_TX_BUFFER/GPS_PPS_BUFFER</x:v>
      </x:c>
      <x:c r="L101" s="104" t="str">
        <x:v>Disposition unnecessary digital detour/local reference gaps and RF corner or perform bounded waveform acceptance.</x:v>
      </x:c>
      <x:c r="M101" s="104" t="str">
        <x:v>NO</x:v>
      </x:c>
      <x:c r="N101" s="104" t="str">
        <x:v>YES</x:v>
      </x:c>
      <x:c r="O101" s="104" t="str">
        <x:v>P1</x:v>
      </x:c>
    </x:row>
    <x:row r="102" ht="125" customHeight="1">
      <x:c r="A102" s="104" t="str">
        <x:v>SI-06</x:v>
      </x:c>
      <x:c r="B102" s="104" t="str">
        <x:v>Impedance, signal integrity and routing</x:v>
      </x:c>
      <x:c r="C102" s="104" t="str">
        <x:v>Net-specific assessment; bend appearance does not substitute for return-path, clearance and impedance checks.</x:v>
      </x:c>
      <x:c r="D102" s="104" t="str">
        <x:v>Four exact right-angle junctions on slow OIL_EXCITATION_ADC do not establish failure. RF D402 has a45degree interior pad turn outside uniform-line model.</x:v>
      </x:c>
      <x:c r="E102" s="104" t="str">
        <x:v>Net-specific bend assessment confirms one RF review delta; oil visual corners are low priority.</x:v>
      </x:c>
      <x:c r="F102" s="104" t="str">
        <x:v>OPEN</x:v>
      </x:c>
      <x:c r="G102" s="104" t="str">
        <x:v>OPEN</x:v>
      </x:c>
      <x:c r="H102" s="104" t="str">
        <x:v>OPEN</x:v>
      </x:c>
      <x:c r="I102" s="104" t="str">
        <x:v>Direct native pad/track/via/filled-copper inspection and source-bound calculation; exact supporting document/code checked where referenced.</x:v>
      </x:c>
      <x:c r="J102" s="104" t="str">
        <x:v>OIL_EXCITATION_ADC
D402.1</x:v>
      </x:c>
      <x:c r="K102" s="104" t="str">
        <x:v>audit/board_vetting_20260908/rf_ground/GROUND_AND_RF_DISPOSITION.md — Actual source deltas needing disposition
audit/board_vetting_20260908/rf_ground/GROUND_AND_RF_DISPOSITION.md — Direct copper and RF vetting / actual source deltas
audit/erb_20260907/lanes/rf_ground_geometry.json — oil_excitation_exact_right_angle_junctions; rf GPS_EXT_ANT tracks
audit/productization/pcb/gps/RF_GEOMETRY_ESTIMATE.json — limits: ESD/launch omitted</x:v>
      </x:c>
      <x:c r="L102" s="104" t="str">
        <x:v>RF local geometry/launch disposition; no unsupported requirement to remove every90degree bend.</x:v>
      </x:c>
      <x:c r="M102" s="104" t="str">
        <x:v>NO</x:v>
      </x:c>
      <x:c r="N102" s="104" t="str">
        <x:v>YES</x:v>
      </x:c>
      <x:c r="O102" s="104" t="str">
        <x:v>P1</x:v>
      </x:c>
    </x:row>
    <x:row r="103" ht="125" customHeight="1">
      <x:c r="A103" s="104" t="str">
        <x:v>SI-07</x:v>
      </x:c>
      <x:c r="B103" s="104" t="str">
        <x:v>Impedance, signal integrity and routing</x:v>
      </x:c>
      <x:c r="C103" s="104" t="str">
        <x:v>Source termination/drive-strength rationale and scope measurements at the receiver.</x:v>
      </x:c>
      <x:c r="D103" s="104" t="str">
        <x:v>33ohm links present; R402/R403 are13.84/17.78mm of buffer-side copper from source and near receiver; R404 is source-near. Active RX/GPS cross In1 escapes.</x:v>
      </x:c>
      <x:c r="E103" s="104" t="str">
        <x:v>Actual source-versus-receiver damping placement and coupled spans are now identified.</x:v>
      </x:c>
      <x:c r="F103" s="104" t="str">
        <x:v>OPEN</x:v>
      </x:c>
      <x:c r="G103" s="104" t="str">
        <x:v>OPEN</x:v>
      </x:c>
      <x:c r="H103" s="104" t="str">
        <x:v>OPEN</x:v>
      </x:c>
      <x:c r="I103" s="104" t="str">
        <x:v>Direct native pad/track/via/filled-copper inspection and source-bound calculation; exact supporting document/code checked where referenced.</x:v>
      </x:c>
      <x:c r="J103" s="104" t="str">
        <x:v>U402
U404
R402
R403
R404
GPS_TX_RAW
GPS_PPS_RAW</x:v>
      </x:c>
      <x:c r="K103" s="104" t="str">
        <x:v>audit/board_vetting_20260908/rf_ground/GEOMETRY_EVIDENCE.json — broadside_signal_overlap; critical_reference_segments
audit/board_vetting_20260908/rf_ground/GROUND_AND_RF_DISPOSITION.md — Direct copper and RF vetting / actual source deltas
audit/productization/manufacturing/final_board_review/recheck_f23c/inventory/NATIVE_BOARD_UPDATE_INVENTORY.json — existing_placements.R402/R403/R404/U402/U404
qualification/GPS_REVIEW.md — Actual digital paths and buffer transition-rate limitations</x:v>
      </x:c>
      <x:c r="L103" s="104" t="str">
        <x:v>Scope actual buffer input/output and receiver thresholds/ringing across rail states; exact selected LVC input edge limit must be met.</x:v>
      </x:c>
      <x:c r="M103" s="104" t="str">
        <x:v>YES</x:v>
      </x:c>
      <x:c r="N103" s="104" t="str">
        <x:v>YES</x:v>
      </x:c>
      <x:c r="O103" s="104" t="str">
        <x:v>P1</x:v>
      </x:c>
    </x:row>
    <x:row r="104" ht="125" customHeight="1">
      <x:c r="A104" s="104" t="str">
        <x:v>SI-08</x:v>
      </x:c>
      <x:c r="B104" s="104" t="str">
        <x:v>Impedance, signal integrity and routing</x:v>
      </x:c>
      <x:c r="C104" s="104" t="str">
        <x:v>Analog source/filter/ADC model and settling/error budget.</x:v>
      </x:c>
      <x:c r="D104" s="104" t="str">
        <x:v>OPA2333 buffers the high-value sensor attenuator; ADC sees220ohm series/22nF reservoir with DC post-resistor feedback and100pF compensation. Native ADC routes retain reference.</x:v>
      </x:c>
      <x:c r="E104" s="104" t="str">
        <x:v>ADC source/load distinction and actual route basis vetted; no RF-matching requirement imposed on ADC.</x:v>
      </x:c>
      <x:c r="F104" s="104" t="str">
        <x:v>CALCULATED</x:v>
      </x:c>
      <x:c r="G104" s="104" t="str">
        <x:v>CLOSED</x:v>
      </x:c>
      <x:c r="H104" s="104" t="str">
        <x:v>CLOSED</x:v>
      </x:c>
      <x:c r="I104" s="104" t="str">
        <x:v>Direct native pad/track/via/filled-copper inspection and source-bound calculation; exact supporting document/code checked where referenced.</x:v>
      </x:c>
      <x:c r="J104" s="104" t="str">
        <x:v>U502
ADC_NODE
OIL_EXCITATION_ADC</x:v>
      </x:c>
      <x:c r="K104" s="104" t="str">
        <x:v>audit/board_vetting_20260908/rf_ground/GEOMETRY_EVIDENCE.json — critical_reference_summary
audit/board_vetting_20260908/rf_ground/GROUND_AND_RF_DISPOSITION.md — Direct copper and RF vetting / actual source deltas
calculations/OIL_PRESSURE_CALCULATIONS.md — sensor load and ADC source impedance; amplifier stability and settling
REV_B_PCB_RELEASE_REVIEW.md — compensated oil circuit</x:v>
      </x:c>
      <x:c r="L104" s="104" t="str">
        <x:v>Calibrated ADC acquisition/noise and rail-transition hardware acceptance remain analog criteria.</x:v>
      </x:c>
      <x:c r="M104" s="104" t="str">
        <x:v>YES</x:v>
      </x:c>
      <x:c r="N104" s="104" t="str">
        <x:v>NO</x:v>
      </x:c>
      <x:c r="O104" s="104" t="str">
        <x:v>P1</x:v>
      </x:c>
    </x:row>
    <x:row r="105" ht="125" customHeight="1">
      <x:c r="A105" s="104" t="str">
        <x:v>SI-09</x:v>
      </x:c>
      <x:c r="B105" s="104" t="str">
        <x:v>Impedance, signal integrity and routing</x:v>
      </x:c>
      <x:c r="C105" s="104" t="str">
        <x:v>USB-specific design evidence, or documented N/A when no USB data interface exists.</x:v>
      </x:c>
      <x:c r="D105" s="104" t="str">
        <x:v>No populated USB data connector/interface; U201 GPIO19/20 unused, UART0 used for programming.</x:v>
      </x:c>
      <x:c r="E105" s="104" t="str">
        <x:v>USB differential review is correctly N/A for current population.</x:v>
      </x:c>
      <x:c r="F105" s="104" t="str">
        <x:v>VERIFIED</x:v>
      </x:c>
      <x:c r="G105" s="104" t="str">
        <x:v>N/A</x:v>
      </x:c>
      <x:c r="H105" s="104" t="str">
        <x:v>N/A</x:v>
      </x:c>
      <x:c r="I105" s="104" t="str">
        <x:v>Direct native pad/track/via/filled-copper inspection and source-bound calculation; exact supporting document/code checked where referenced.</x:v>
      </x:c>
      <x:c r="J105" s="104" t="str">
        <x:v>U201.13
U201.14
J201</x:v>
      </x:c>
      <x:c r="K105" s="104" t="str">
        <x:v>audit/productization/manufacturing/final_board_review/recheck_f23c/inventory/NATIVE_BOARD_UPDATE_INVENTORY.json — existing_placements.U201 pads13/14
audit/board_vetting_20260908/rf_ground/GROUND_AND_RF_DISPOSITION.md — Direct copper and RF vetting / actual source deltas
audit/productization/manufacturing/final_board_review/recheck_f23c/inventory/NATIVE_BOARD_UPDATE_INVENTORY.json — existing_placements.U201 pads13/14
qualification/productization/FIRMWARE_PRODUCT_REVIEW.md — Target guards reject USB CDC on boot</x:v>
      </x:c>
      <x:c r="L105" s="104" t="str">
        <x:v>Reopen if native USB hardware is added.</x:v>
      </x:c>
      <x:c r="M105" s="104" t="str">
        <x:v>YES</x:v>
      </x:c>
      <x:c r="N105" s="104" t="str">
        <x:v>NO</x:v>
      </x:c>
      <x:c r="O105" s="104" t="str">
        <x:v>P1</x:v>
      </x:c>
    </x:row>
    <x:row r="106" ht="125" customHeight="1">
      <x:c r="A106" s="104" t="str">
        <x:v>SI-10</x:v>
      </x:c>
      <x:c r="B106" s="104" t="str">
        <x:v>Impedance, signal integrity and routing</x:v>
      </x:c>
      <x:c r="C106" s="104" t="str">
        <x:v>Clock/data skew, voltage margins, loading and chip-select defaults, or justified N/A.</x:v>
      </x:c>
      <x:c r="D106" s="104" t="str">
        <x:v>ESP internal TWAI interfaces TXD/RXD directly to TCAN3403; no external SPI CAN controller/bus populated.</x:v>
      </x:c>
      <x:c r="E106" s="104" t="str">
        <x:v>SPI clock/data timing review is correctly N/A for current population.</x:v>
      </x:c>
      <x:c r="F106" s="104" t="str">
        <x:v>VERIFIED</x:v>
      </x:c>
      <x:c r="G106" s="104" t="str">
        <x:v>N/A</x:v>
      </x:c>
      <x:c r="H106" s="104" t="str">
        <x:v>N/A</x:v>
      </x:c>
      <x:c r="I106" s="104" t="str">
        <x:v>Direct native pad/track/via/filled-copper inspection and source-bound calculation; exact supporting document/code checked where referenced.</x:v>
      </x:c>
      <x:c r="J106" s="104" t="str">
        <x:v>U201
U301
CAN_RX_MCU
CAN_TX_MCU</x:v>
      </x:c>
      <x:c r="K106" s="104" t="str">
        <x:v>audit/productization/manufacturing/final_board_review/recheck_f23c/inventory/NATIVE_BOARD_UPDATE_INVENTORY.json — existing_placements.U201/U301
audit/board_vetting_20260908/rf_ground/GROUND_AND_RF_DISPOSITION.md — Direct copper and RF vetting / actual source deltas
audit/productization/manufacturing/final_board_review/recheck_f23c/inventory/NATIVE_BOARD_UPDATE_INVENTORY.json — existing_placements.U201 CAN_RX_MCU/CAN_TX_MCU; U301
qualification/productization/FIRMWARE_PRODUCT_REVIEW.md — CAN GPIO5TX/GPIO4RX and classical CAN listen-only</x:v>
      </x:c>
      <x:c r="L106" s="104" t="str">
        <x:v>Reopen for any added external SPI peripheral.</x:v>
      </x:c>
      <x:c r="M106" s="104" t="str">
        <x:v>YES</x:v>
      </x:c>
      <x:c r="N106" s="104" t="str">
        <x:v>NO</x:v>
      </x:c>
      <x:c r="O106" s="104" t="str">
        <x:v>P1</x:v>
      </x:c>
    </x:row>
    <x:row r="107" ht="125" customHeight="1">
      <x:c r="A107" s="104" t="str">
        <x:v>SI-11</x:v>
      </x:c>
      <x:c r="B107" s="104" t="str">
        <x:v>Impedance, signal integrity and routing</x:v>
      </x:c>
      <x:c r="C107" s="104" t="str">
        <x:v>Coupling-path review and functional interference test plan.</x:v>
      </x:c>
      <x:c r="D107" s="104" t="str">
        <x:v>Antenna keepouts and ADC placement are deliberate; native F/In1 overlaps identified, including active RX over oil excitation. RF/ADC retain adjacent reference.</x:v>
      </x:c>
      <x:c r="E107" s="104" t="str">
        <x:v>Actual coupling paths now mapped instead of relying on zoning appearance.</x:v>
      </x:c>
      <x:c r="F107" s="104" t="str">
        <x:v>OPEN</x:v>
      </x:c>
      <x:c r="G107" s="104" t="str">
        <x:v>OPEN</x:v>
      </x:c>
      <x:c r="H107" s="104" t="str">
        <x:v>OPEN</x:v>
      </x:c>
      <x:c r="I107" s="104" t="str">
        <x:v>Direct native pad/track/via/filled-copper inspection and source-bound calculation; exact supporting document/code checked where referenced.</x:v>
      </x:c>
      <x:c r="J107" s="104" t="str">
        <x:v>U121
U151
U401
U201
U502
CAN_RX_MCU</x:v>
      </x:c>
      <x:c r="K107" s="104" t="str">
        <x:v>audit/board_vetting_20260908/rf_ground/GEOMETRY_EVIDENCE.json — broadside_signal_overlap; critical_reference_summary
audit/board_vetting_20260908/rf_ground/GROUND_AND_RF_DISPOSITION.md — Direct copper and RF vetting / actual source deltas
audit/productization/manufacturing/final_board_review/recheck_f23c/inventory/NATIVE_BOARD_UPDATE_INVENTORY.json — board_zones; existing_placements.U201/U401/U502/U121/L121
qualification/GPS_REVIEW.md — rail ripple and physical RF acceptance</x:v>
      </x:c>
      <x:c r="L107" s="104" t="str">
        <x:v>Evaluate/measure switcher/BLE/oil fault aggressors against ADC residual and GNSS C/N0/fix behavior in enclosure.</x:v>
      </x:c>
      <x:c r="M107" s="104" t="str">
        <x:v>YES</x:v>
      </x:c>
      <x:c r="N107" s="104" t="str">
        <x:v>YES</x:v>
      </x:c>
      <x:c r="O107" s="104" t="str">
        <x:v>P1</x:v>
      </x:c>
    </x:row>
    <x:row r="108" ht="125" customHeight="1">
      <x:c r="A108" s="104" t="str">
        <x:v>SI-12</x:v>
      </x:c>
      <x:c r="B108" s="104" t="str">
        <x:v>Impedance, signal integrity and routing</x:v>
      </x:c>
      <x:c r="C108" s="104" t="str">
        <x:v>Fabricator report/coupon or justified analysis-only acceptance proportional to electrical risk.</x:v>
      </x:c>
      <x:c r="D108" s="104" t="str">
        <x:v>Native nominal RF geometry agrees with50ohm line calculations, but order has no controlled-impedance process, coupon, VNA or TDR acceptance.</x:v>
      </x:c>
      <x:c r="E108" s="104" t="str">
        <x:v>49.8ohm remains calculated line impedance, not measured antenna/path impedance.</x:v>
      </x:c>
      <x:c r="F108" s="104" t="str">
        <x:v>HOLD</x:v>
      </x:c>
      <x:c r="G108" s="104" t="str">
        <x:v>OPEN</x:v>
      </x:c>
      <x:c r="H108" s="104" t="str">
        <x:v>OPEN</x:v>
      </x:c>
      <x:c r="I108" s="104" t="str">
        <x:v>Direct native pad/track/via/filled-copper inspection and source-bound calculation; exact supporting document/code checked where referenced.</x:v>
      </x:c>
      <x:c r="J108" s="104" t="str">
        <x:v>GPS_EXT_ANT
GPS_ANT_RF_BIASED
J401
D402</x:v>
      </x:c>
      <x:c r="K108" s="104" t="str">
        <x:v>audit/productization/pcb/gps/RF_GEOMETRY_ESTIMATE.json — native_stackup; limits
audit/board_vetting_20260908/rf_ground/GROUND_AND_RF_DISPOSITION.md — Direct copper and RF vetting / actual source deltas
audit/productization/pcb/gps/RF_GEOMETRY_ESTIMATE.json — limits
audit/erb_20260907/lanes/rf_ground_geometry.json — ideal_49p8_to_50_step</x:v>
      </x:c>
      <x:c r="L108" s="104" t="str">
        <x:v>Supplier-tolerance disposition and/or proportionate mounted-path RF/reception acceptance.</x:v>
      </x:c>
      <x:c r="M108" s="104" t="str">
        <x:v>NO</x:v>
      </x:c>
      <x:c r="N108" s="104" t="str">
        <x:v>YES</x:v>
      </x:c>
      <x:c r="O108" s="104" t="str">
        <x:v>P1</x:v>
      </x:c>
    </x:row>
    <x:row r="109" ht="170" customHeight="1">
      <x:c r="A109" s="104" t="str">
        <x:v>CAN-01</x:v>
      </x:c>
      <x:c r="B109" s="104" t="str">
        <x:v>CAN physical layer and non-interference</x:v>
      </x:c>
      <x:c r="C109" s="104" t="str">
        <x:v>Manufacturer pin/mode table reconciled with schematic, PCB and GPIO5 TX/GPIO4 RX contract.</x:v>
      </x:c>
      <x:c r="D109" s="104" t="str">
        <x:v>U301 TCAN3403DRBRQ1 at(20.4,9.5),180deg B.Cu:1TXD,2GND,3VCC,4RXD,5VIO,6CANL,7CANH,8STB=GND,9EP=GND. Native pads match selected variant and GPIO5/4.</x:v>
      </x:c>
      <x:c r="E109" s="104" t="str">
        <x:v>No mapping mismatch; actual placed package inspected, including EP9.</x:v>
      </x:c>
      <x:c r="F109" s="104" t="str">
        <x:v>VERIFIED</x:v>
      </x:c>
      <x:c r="G109" s="104" t="str">
        <x:v>CLOSED</x:v>
      </x:c>
      <x:c r="H109" s="104" t="str">
        <x:v>CLOSED</x:v>
      </x:c>
      <x:c r="I109" s="104" t="str">
        <x:v>Direct native KiCad9.0.9 placed-pad/net/segment extraction plus exact current firmware source/datasheet comparison; source-derived calculation/host probe where explicitly stated. Existing unchanged build and nativeDRC evidence retained.</x:v>
      </x:c>
      <x:c r="J109"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09"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U301 pins1–9; U201 pads4/5
evidence/manufacturer/tcan3403_q1.pdf.txt — Pin configuration and functions; Tables8-2,8-4,8-6
audit/board_vetting_20260908/lanes/DIGITAL_CAN_VETTING.md — CAN source-vetting explanation and explicit limits</x:v>
      </x:c>
      <x:c r="L109" s="104" t="str">
        <x:v>Component DC and logical mapping closed; assembled silicon behavior belongs to CAN02/07/10.</x:v>
      </x:c>
      <x:c r="M109" s="104" t="str">
        <x:v>YES</x:v>
      </x:c>
      <x:c r="N109" s="104" t="str">
        <x:v>NO</x:v>
      </x:c>
      <x:c r="O109" s="104" t="str">
        <x:v>P0</x:v>
      </x:c>
    </x:row>
    <x:row r="110" ht="170" customHeight="1">
      <x:c r="A110" s="104" t="str">
        <x:v>CAN-02</x:v>
      </x:c>
      <x:c r="B110" s="104" t="str">
        <x:v>CAN physical layer and non-interference</x:v>
      </x:c>
      <x:c r="C110" s="104" t="str">
        <x:v>Driver-mode review plus independent bus observation; normal receive without application TX is not listen-only.</x:v>
      </x:c>
      <x:c r="D110" s="104" t="str">
        <x:v>R301 factoryDNP physically separates CAN_TX_MCU from CAN_TXD; R30310k pulls TXD to3V3. Firmware uses LISTEN_ONLY,tx_queue_len0,no transmit call.</x:v>
      </x:c>
      <x:c r="E110" s="104" t="str">
        <x:v>Static dual inhibition verified; no independent powered-bus non-interference evidence.</x:v>
      </x:c>
      <x:c r="F110" s="104" t="str">
        <x:v>OPEN</x:v>
      </x:c>
      <x:c r="G110" s="104" t="str">
        <x:v>OPEN</x:v>
      </x:c>
      <x:c r="H110" s="104" t="str">
        <x:v>OPEN</x:v>
      </x:c>
      <x:c r="I110" s="104" t="str">
        <x:v>Direct native KiCad9.0.9 placed-pad/net/segment extraction plus exact current firmware source/datasheet comparison; source-derived calculation/host probe where explicitly stated. Existing unchanged build and nativeDRC evidence retained.</x:v>
      </x:c>
      <x:c r="J110"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0"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startCanDriver; serviceCanReceive
manufacturing/product/review_tables/CURRENT_COMPONENT_QUALIFICATION.csv — R301 DNP
audit/board_vetting_20260908/lanes/DIGITAL_CAN_VETTING.md — CAN source-vetting explanation and explicit limits</x:v>
      </x:c>
      <x:c r="L110" s="104" t="str">
        <x:v>Observe ACK/error/dominant traffic during power/reset/programming and malformed firmware states.</x:v>
      </x:c>
      <x:c r="M110" s="104" t="str">
        <x:v>YES</x:v>
      </x:c>
      <x:c r="N110" s="104" t="str">
        <x:v>YES</x:v>
      </x:c>
      <x:c r="O110" s="104" t="str">
        <x:v>P0</x:v>
      </x:c>
    </x:row>
    <x:row r="111" ht="170" customHeight="1">
      <x:c r="A111" s="104" t="str">
        <x:v>CAN-03</x:v>
      </x:c>
      <x:c r="B111" s="104" t="str">
        <x:v>CAN physical layer and non-interference</x:v>
      </x:c>
      <x:c r="C111" s="104" t="str">
        <x:v>Safety allocation defines software versus hardware guarantees and tests each credible failure state.</x:v>
      </x:c>
      <x:c r="D111" s="104" t="str">
        <x:v>Missing R301 leaves only U301.1,R303.2,TP303.1 and R301.2 on TXD. At3.0V/1uA input leakage and10.1k pull-up,TXD&gt;=2.9899V versus2.1V VIH.</x:v>
      </x:c>
      <x:c r="E111" s="104" t="str">
        <x:v>0.8899V calculated static pull-up margin; general software TX cannot cross missing component. Internal IC short or wrong assembly remains outside this proof.</x:v>
      </x:c>
      <x:c r="F111" s="104" t="str">
        <x:v>OPEN</x:v>
      </x:c>
      <x:c r="G111" s="104" t="str">
        <x:v>OPEN</x:v>
      </x:c>
      <x:c r="H111" s="104" t="str">
        <x:v>OPEN</x:v>
      </x:c>
      <x:c r="I111" s="104" t="str">
        <x:v>Direct native KiCad9.0.9 placed-pad/net/segment extraction plus exact current firmware source/datasheet comparison; source-derived calculation/host probe where explicitly stated. Existing unchanged build and nativeDRC evidence retained.</x:v>
      </x:c>
      <x:c r="J111"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1"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R301/R303/U301 nets
evidence/manufacturer/tcan3403_q1.pdf.txt — Tables8-2/8-3; TXD dominant timeout
audit/board_vetting_20260908/lanes/DIGITAL_CALCULATIONS.json — routes; logic; diagnostics
audit/board_vetting_20260908/lanes/DIGITAL_CAN_VETTING.md — CAN source-vetting explanation and explicit limits</x:v>
      </x:c>
      <x:c r="L111" s="104" t="str">
        <x:v>Freeze credible fault allocation and independently test assembly/protection/transceiver failures.</x:v>
      </x:c>
      <x:c r="M111" s="104" t="str">
        <x:v>YES</x:v>
      </x:c>
      <x:c r="N111" s="104" t="str">
        <x:v>YES</x:v>
      </x:c>
      <x:c r="O111" s="104" t="str">
        <x:v>P0</x:v>
      </x:c>
    </x:row>
    <x:row r="112" ht="170" customHeight="1">
      <x:c r="A112" s="104" t="str">
        <x:v>CAN-04</x:v>
      </x:c>
      <x:c r="B112" s="104" t="str">
        <x:v>CAN physical layer and non-interference</x:v>
      </x:c>
      <x:c r="C112" s="104" t="str">
        <x:v>Exact-part mode truth table and receiver timing check; similarly named parts may behave differently.</x:v>
      </x:c>
      <x:c r="D112" s="104" t="str">
        <x:v>STB physical pad8 is directly GND. U301 uses normal full-speed receiver; bus passivity is TX isolation and controller listen-only, not standby reception.</x:v>
      </x:c>
      <x:c r="E112" s="104" t="str">
        <x:v>Exact-part operating-mode distinction confirmed against native routing.</x:v>
      </x:c>
      <x:c r="F112" s="104" t="str">
        <x:v>VERIFIED</x:v>
      </x:c>
      <x:c r="G112" s="104" t="str">
        <x:v>CLOSED</x:v>
      </x:c>
      <x:c r="H112" s="104" t="str">
        <x:v>CLOSED</x:v>
      </x:c>
      <x:c r="I112" s="104" t="str">
        <x:v>Direct native KiCad9.0.9 placed-pad/net/segment extraction plus exact current firmware source/datasheet comparison; source-derived calculation/host probe where explicitly stated. Existing unchanged build and nativeDRC evidence retained.</x:v>
      </x:c>
      <x:c r="J112"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2"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U301 pin8 GND
evidence/manufacturer/tcan3403_q1.pdf.txt — Table8-4 Operating Modes; Table8-6 Receiver Function Table
audit/board_vetting_20260908/lanes/DIGITAL_CAN_VETTING.md — CAN source-vetting explanation and explicit limits</x:v>
      </x:c>
      <x:c r="L112" s="104" t="str">
        <x:v>Measure complete physical reception under CAN12; no mode-map ambiguity remains.</x:v>
      </x:c>
      <x:c r="M112" s="104" t="str">
        <x:v>YES</x:v>
      </x:c>
      <x:c r="N112" s="104" t="str">
        <x:v>NO</x:v>
      </x:c>
      <x:c r="O112" s="104" t="str">
        <x:v>P0</x:v>
      </x:c>
    </x:row>
    <x:row r="113" ht="170" customHeight="1">
      <x:c r="A113" s="104" t="str">
        <x:v>CAN-05</x:v>
      </x:c>
      <x:c r="B113" s="104" t="str">
        <x:v>CAN physical layer and non-interference</x:v>
      </x:c>
      <x:c r="C113" s="104" t="str">
        <x:v>Assembly variant, jumper default and unpowered resistance verification agree.</x:v>
      </x:c>
      <x:c r="D113" s="104" t="str">
        <x:v>R306120ohm is nativeDNP; SJ301 open lands. Both copper branches remain attached to their respective bus sides. No bridge or populated permanent termination in selected variant.</x:v>
      </x:c>
      <x:c r="E113" s="104" t="str">
        <x:v>Open termination confirmed in actual CAD and population, not measured resistance.</x:v>
      </x:c>
      <x:c r="F113" s="104" t="str">
        <x:v>OPEN</x:v>
      </x:c>
      <x:c r="G113" s="104" t="str">
        <x:v>OPEN</x:v>
      </x:c>
      <x:c r="H113" s="104" t="str">
        <x:v>OPEN</x:v>
      </x:c>
      <x:c r="I113" s="104" t="str">
        <x:v>Direct native KiCad9.0.9 placed-pad/net/segment extraction plus exact current firmware source/datasheet comparison; source-derived calculation/host probe where explicitly stated. Existing unchanged build and nativeDRC evidence retained.</x:v>
      </x:c>
      <x:c r="J113"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3"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manufacturing/product/review_tables/CURRENT_COMPONENT_QUALIFICATION.csv — R306 DNP; SJ301 BARE_PCB/open
manufacturing/product/review_tables/CURRENT_PIN_PAD_NET_MATRIX.csv — R306/SJ301 series CAN termination path
audit/board_vetting_20260908/lanes/ACTUAL_CAN_ROUTE.png — actualnativecopperpaths
audit/board_vetting_20260908/lanes/DIGITAL_CAN_VETTING.md — CAN source-vetting explanation and explicit limits</x:v>
      </x:c>
      <x:c r="L113" s="104" t="str">
        <x:v>Measure assembled unpowered CANH-CANL resistance and inspect both DNP/open positions.</x:v>
      </x:c>
      <x:c r="M113" s="104" t="str">
        <x:v>YES</x:v>
      </x:c>
      <x:c r="N113" s="104" t="str">
        <x:v>YES</x:v>
      </x:c>
      <x:c r="O113" s="104" t="str">
        <x:v>P0</x:v>
      </x:c>
    </x:row>
    <x:row r="114" ht="170" customHeight="1">
      <x:c r="A114" s="104" t="str">
        <x:v>CAN-06</x:v>
      </x:c>
      <x:c r="B114" s="104" t="str">
        <x:v>CAN physical layer and non-interference</x:v>
      </x:c>
      <x:c r="C114" s="104" t="str">
        <x:v>Actual topology and maximum-load waveform evaluation, not a generic length limit.</x:v>
      </x:c>
      <x:c r="D114" s="104" t="str">
        <x:v>Main routes F1→D301→U301:CANH11.868mm,CANL11.412mm,entirelyB.Cu. Total copper20.568/30.188mm; CANL termination spur15.370mm uses2vias/In1.Cu.</x:v>
      </x:c>
      <x:c r="E114" s="104" t="str">
        <x:v>Prior19.36/22.37mm both0vias description was inaccurate for current f23 board. Main path remains short; branch loading must be included.</x:v>
      </x:c>
      <x:c r="F114" s="104" t="str">
        <x:v>OPEN</x:v>
      </x:c>
      <x:c r="G114" s="104" t="str">
        <x:v>OPEN</x:v>
      </x:c>
      <x:c r="H114" s="104" t="str">
        <x:v>OPEN</x:v>
      </x:c>
      <x:c r="I114" s="104" t="str">
        <x:v>Direct native KiCad9.0.9 placed-pad/net/segment extraction plus exact current firmware source/datasheet comparison; source-derived calculation/host probe where explicitly stated. Existing unchanged build and nativeDRC evidence retained.</x:v>
      </x:c>
      <x:c r="J114"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4" s="104" t="str">
        <x:v>audit/board_vetting_20260908/lanes/DIGITAL_NATIVE_INSPECTION.json — objects.U301,R301,R302,R303,D301,F1; tracks; esp_keepout
firmware/productization_candidate/cca_telemetry/cca_telemetry.ino — startCanDriver/serviceCanReceive/serviceCanForwarding
qualification/productization/INDEPENDENT_ELECTRICAL_REVIEW.md — CAN: static evidence and physical limits
BRING_UP_PLAN.md — section3; actual ASC bus compatibility
audit/board_vetting_20260908/lanes/DIGITAL_CALCULATIONS.json — routes; logic; diagnostics
audit/board_vetting_20260908/lanes/ACTUAL_CAN_ROUTE.png — actualnativecopperpaths
audit/board_vetting_20260908/lanes/DIGITAL_CAN_VETTING.md — CAN source-vetting explanation and explicit limits</x:v>
      </x:c>
      <x:c r="L114" s="104" t="str">
        <x:v>Final harness length/topology plus worst-load waveform/loading evidence; no failure inferred from short termination spur alone.</x:v>
      </x:c>
      <x:c r="M114" s="104" t="str">
        <x:v>YES</x:v>
      </x:c>
      <x:c r="N114" s="104" t="str">
        <x:v>YES</x:v>
      </x:c>
      <x:c r="O114" s="104" t="str">
        <x:v>P1</x:v>
      </x:c>
    </x:row>
    <x:row r="115" ht="170" customHeight="1">
      <x:c r="A115" s="104" t="str">
        <x:v>CAN-07</x:v>
      </x:c>
      <x:c r="B115" s="104" t="str">
        <x:v>CAN physical layer and non-interference</x:v>
      </x:c>
      <x:c r="C115" s="104" t="str">
        <x:v>Off-state pin loading, leakage, back-power and differential/common-mode measurements.</x:v>
      </x:c>
      <x:c r="D115" s="104" t="str">
        <x:v>Actual bus endpoints contain U301,D301,F1,test pads and open termination branches only. U301 unpowered and undervoltage bus behavior is datasheet-defined; no rail-clamp diode silently added.</x:v>
      </x:c>
      <x:c r="E115" s="104" t="str">
        <x:v>Actual complete endpoint set supports off-state analysis; assembled leakage/back-power unmeasured.</x:v>
      </x:c>
      <x:c r="F115" s="104" t="str">
        <x:v>OPEN</x:v>
      </x:c>
      <x:c r="G115" s="104" t="str">
        <x:v>OPEN</x:v>
      </x:c>
      <x:c r="H115" s="104" t="str">
        <x:v>OPEN</x:v>
      </x:c>
      <x:c r="I115" s="104" t="str">
        <x:v>Direct native KiCad9.0.9 placed-pad/net/segment extraction plus exact current firmware source/datasheet comparison; source-derived calculation/host probe where explicitly stated. Existing unchanged build and nativeDRC evidence retained.</x:v>
      </x:c>
      <x:c r="J115"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5" s="104" t="str">
        <x:v>audit/board_vetting_20260908/lanes/DIGITAL_NATIVE_INSPECTION.json — objects.U301,R301,R302,R303,D301,F1; tracks; esp_keepout
firmware/productization_candidate/cca_telemetry/cca_telemetry.ino — startCanDriver/serviceCanReceive/serviceCanForwarding
evidence/manufacturer/tcan3403_q1.pdf.txt — Unpowered bus input leakage current; Table8-2
qualification/productization/INDEPENDENT_ELECTRICAL_REVIEW.md — CAN: static evidence and physical limits
audit/board_vetting_20260908/lanes/DIGITAL_CAN_VETTING.md — CAN source-vetting explanation and explicit limits</x:v>
      </x:c>
      <x:c r="L115" s="104" t="str">
        <x:v>Measure powered/unpowered differential/common-mode loading and ground-offset behavior.</x:v>
      </x:c>
      <x:c r="M115" s="104" t="str">
        <x:v>YES</x:v>
      </x:c>
      <x:c r="N115" s="104" t="str">
        <x:v>YES</x:v>
      </x:c>
      <x:c r="O115" s="104" t="str">
        <x:v>P0</x:v>
      </x:c>
    </x:row>
    <x:row r="116" ht="170" customHeight="1">
      <x:c r="A116" s="104" t="str">
        <x:v>CAN-08</x:v>
      </x:c>
      <x:c r="B116" s="104" t="str">
        <x:v>CAN physical layer and non-interference</x:v>
      </x:c>
      <x:c r="C116" s="104" t="str">
        <x:v>Exact transceiver/protection ratings, fault analysis and controlled fixture tests.</x:v>
      </x:c>
      <x:c r="D116" s="104" t="str">
        <x:v>D301=ESD2CAN24DBZRQ1 pins1CANH,2CANL,3GND; U301 bus fault±58V. D3015pF maximum line capacitance/±24V standoff.</x:v>
      </x:c>
      <x:c r="E116" s="104" t="str">
        <x:v>Exact connector-side protection topology and component limits inspected; TVS clamp headline does not prove sustained connector-fault survival.</x:v>
      </x:c>
      <x:c r="F116" s="104" t="str">
        <x:v>OPEN</x:v>
      </x:c>
      <x:c r="G116" s="104" t="str">
        <x:v>OPEN</x:v>
      </x:c>
      <x:c r="H116" s="104" t="str">
        <x:v>OPEN</x:v>
      </x:c>
      <x:c r="I116" s="104" t="str">
        <x:v>Direct native KiCad9.0.9 placed-pad/net/segment extraction plus exact current firmware source/datasheet comparison; source-derived calculation/host probe where explicitly stated. Existing unchanged build and nativeDRC evidence retained.</x:v>
      </x:c>
      <x:c r="J116"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6" s="104" t="str">
        <x:v>audit/board_vetting_20260908/lanes/DIGITAL_NATIVE_INSPECTION.json — objects.U301,R301,R302,R303,D301,F1; tracks; esp_keepout
firmware/productization_candidate/cca_telemetry/cca_telemetry.ino — startCanDriver/serviceCanReceive/serviceCanForwarding
evidence/manufacturer/tcan3403_q1.pdf.txt — Absolute maximum ratings; bus fault protection; protection features
manufacturing/product/review_tables/CURRENT_COMPONENT_QUALIFICATION.csv — U301 and CAN ESD device
audit/board_vetting_20260908/lanes/DIGITAL_CAN_VETTING.md — CAN source-vetting explanation and explicit limits</x:v>
      </x:c>
      <x:c r="L116" s="104" t="str">
        <x:v>Agreed fault amplitudes/source impedance/durations and controlled short-to-battery/ground/pair tests.</x:v>
      </x:c>
      <x:c r="M116" s="104" t="str">
        <x:v>YES</x:v>
      </x:c>
      <x:c r="N116" s="104" t="str">
        <x:v>YES</x:v>
      </x:c>
      <x:c r="O116" s="104" t="str">
        <x:v>P0</x:v>
      </x:c>
    </x:row>
    <x:row r="117" ht="170" customHeight="1">
      <x:c r="A117" s="104" t="str">
        <x:v>CAN-09</x:v>
      </x:c>
      <x:c r="B117" s="104" t="str">
        <x:v>CAN physical layer and non-interference</x:v>
      </x:c>
      <x:c r="C117" s="104" t="str">
        <x:v>EMI benefit, parasitic effects and surge/saturation behavior evaluated.</x:v>
      </x:c>
      <x:c r="D117" s="104" t="str">
        <x:v>No series choke appears in native CANH/CANL endpoint/segment graph.</x:v>
      </x:c>
      <x:c r="E117" s="104" t="str">
        <x:v>Not applicable for fitted variant; no omitted choke model pretended verified.</x:v>
      </x:c>
      <x:c r="F117" s="104" t="str">
        <x:v>VERIFIED</x:v>
      </x:c>
      <x:c r="G117" s="104" t="str">
        <x:v>N/A</x:v>
      </x:c>
      <x:c r="H117" s="104" t="str">
        <x:v>N/A</x:v>
      </x:c>
      <x:c r="I117" s="104" t="str">
        <x:v>Direct native KiCad9.0.9 placed-pad/net/segment extraction plus exact current firmware source/datasheet comparison; source-derived calculation/host probe where explicitly stated. Existing unchanged build and nativeDRC evidence retained.</x:v>
      </x:c>
      <x:c r="J117"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7"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CANH/CANL endpoint rows
manufacturing/product/review_tables/CURRENT_COMPONENT_QUALIFICATION.csv — current complete population; no CAN choke
audit/board_vetting_20260908/lanes/DIGITAL_CAN_VETTING.md — CAN source-vetting explanation and explicit limits</x:v>
      </x:c>
      <x:c r="L117" s="104" t="str">
        <x:v>EMC result could justify a future controlled choke change.</x:v>
      </x:c>
      <x:c r="M117" s="104" t="str">
        <x:v>YES</x:v>
      </x:c>
      <x:c r="N117" s="104" t="str">
        <x:v>NO</x:v>
      </x:c>
      <x:c r="O117" s="104" t="str">
        <x:v>P1</x:v>
      </x:c>
    </x:row>
    <x:row r="118" ht="170" customHeight="1">
      <x:c r="A118" s="104" t="str">
        <x:v>CAN-10</x:v>
      </x:c>
      <x:c r="B118" s="104" t="str">
        <x:v>CAN physical layer and non-interference</x:v>
      </x:c>
      <x:c r="C118" s="104" t="str">
        <x:v>Normal/boot/reset/programming/fault state matrix and captured waveforms.</x:v>
      </x:c>
      <x:c r="D118" s="104" t="str">
        <x:v>R30310k TXD pull-up; grounded STB; VCC/VIO share main3V3. Datasheet UVLO and dominant timeout supplement the open TX link. RXD same-rail DC margin is0.165V at specified output load.</x:v>
      </x:c>
      <x:c r="E118" s="104" t="str">
        <x:v>Added explicit logic margins and native boot/reset path; no captured startup/fault state matrix.</x:v>
      </x:c>
      <x:c r="F118" s="104" t="str">
        <x:v>OPEN</x:v>
      </x:c>
      <x:c r="G118" s="104" t="str">
        <x:v>OPEN</x:v>
      </x:c>
      <x:c r="H118" s="104" t="str">
        <x:v>OPEN</x:v>
      </x:c>
      <x:c r="I118" s="104" t="str">
        <x:v>Direct native KiCad9.0.9 placed-pad/net/segment extraction plus exact current firmware source/datasheet comparison; source-derived calculation/host probe where explicitly stated. Existing unchanged build and nativeDRC evidence retained.</x:v>
      </x:c>
      <x:c r="J118"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8" s="104" t="str">
        <x:v>audit/board_vetting_20260908/lanes/DIGITAL_NATIVE_INSPECTION.json — objects.U301,R301,R302,R303,D301,F1; tracks; esp_keepout
firmware/productization_candidate/cca_telemetry/cca_telemetry.ino — startCanDriver/serviceCanReceive/serviceCanForwarding
manufacturing/product/review_tables/CURRENT_PIN_PAD_NET_MATRIX.csv — R303/U301
evidence/manufacturer/tcan3403_q1.pdf.txt — Tables8-2/8-3 and TXD DTO section
audit/board_vetting_20260908/lanes/DIGITAL_CALCULATIONS.json — routes; logic; diagnostics
audit/board_vetting_20260908/lanes/DIGITAL_CAN_VETTING.md — CAN source-vetting explanation and explicit limits</x:v>
      </x:c>
      <x:c r="L118" s="104" t="str">
        <x:v>Scope supply/TXD/RXD/CAN pair during all power/program/reset states.</x:v>
      </x:c>
      <x:c r="M118" s="104" t="str">
        <x:v>YES</x:v>
      </x:c>
      <x:c r="N118" s="104" t="str">
        <x:v>YES</x:v>
      </x:c>
      <x:c r="O118" s="104" t="str">
        <x:v>P1</x:v>
      </x:c>
    </x:row>
    <x:row r="119" ht="170" customHeight="1">
      <x:c r="A119" s="104" t="str">
        <x:v>CAN-11</x:v>
      </x:c>
      <x:c r="B119" s="104" t="str">
        <x:v>CAN physical layer and non-interference</x:v>
      </x:c>
      <x:c r="C119" s="104" t="str">
        <x:v>Source plus independent ACK/observer arrangement; sender ACK errors are not mistaken for failed passive reception.</x:v>
      </x:c>
      <x:c r="D119" s="104" t="str">
        <x:v>BRING_UP_PLAN explicitly uses source,independent ACK-capable observer and non-ACK DUT, with two endpoint terminations. Native R301/R306/SJ301 defaults enforce passive DUT.</x:v>
      </x:c>
      <x:c r="E119" s="104" t="str">
        <x:v>Plan is correct; fixture execution has not occurred.</x:v>
      </x:c>
      <x:c r="F119" s="104" t="str">
        <x:v>OPEN</x:v>
      </x:c>
      <x:c r="G119" s="104" t="str">
        <x:v>OPEN</x:v>
      </x:c>
      <x:c r="H119" s="104" t="str">
        <x:v>OPEN</x:v>
      </x:c>
      <x:c r="I119" s="104" t="str">
        <x:v>Direct native KiCad9.0.9 placed-pad/net/segment extraction plus exact current firmware source/datasheet comparison; source-derived calculation/host probe where explicitly stated. Existing unchanged build and nativeDRC evidence retained.</x:v>
      </x:c>
      <x:c r="J119"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19" s="104" t="str">
        <x:v>audit/board_vetting_20260908/lanes/DIGITAL_NATIVE_INSPECTION.json — objects.U301,R301,R302,R303,D301,F1; tracks; esp_keepout
firmware/productization_candidate/cca_telemetry/cca_telemetry.ino — startCanDriver/serviceCanReceive/serviceCanForwarding
BRING_UP_PLAN.md — section3 three physical nodes
firmware/productization_candidate/PROGRAMMING_AND_CALIBRATION.md — physical CAN acceptance
audit/board_vetting_20260908/lanes/DIGITAL_CAN_VETTING.md — CAN source-vetting explanation and explicit limits</x:v>
      </x:c>
      <x:c r="L119" s="104" t="str">
        <x:v>Build and execute three-node passive receive fixture; do not count sender ACK errors as DUT receive failure.</x:v>
      </x:c>
      <x:c r="M119" s="104" t="str">
        <x:v>YES</x:v>
      </x:c>
      <x:c r="N119" s="104" t="str">
        <x:v>YES</x:v>
      </x:c>
      <x:c r="O119" s="104" t="str">
        <x:v>P0</x:v>
      </x:c>
    </x:row>
    <x:row r="120" ht="170" customHeight="1">
      <x:c r="A120" s="104" t="str">
        <x:v>CAN-12</x:v>
      </x:c>
      <x:c r="B120" s="104" t="str">
        <x:v>CAN physical layer and non-interference</x:v>
      </x:c>
      <x:c r="C120" s="104" t="str">
        <x:v>End-to-end sequence counts and independent analyzer capture under sustained and burst loads.</x:v>
      </x:c>
      <x:c r="D120" s="104" t="str">
        <x:v>128-frame controller queue;96latest-value slots;2ms/96frame receive pass; counters for RX,missed,queue full,evictions,stale drops. SHOW STATS can block servicing≥51.736ms.</x:v>
      </x:c>
      <x:c r="E120" s="104" t="str">
        <x:v>New BV-DIG-02: diagnostics can exceed saturated500k CAN queue budget28.416ms. Existing counters do not establish lossless maximum-traffic capture.</x:v>
      </x:c>
      <x:c r="F120" s="104" t="str">
        <x:v>OPEN</x:v>
      </x:c>
      <x:c r="G120" s="104" t="str">
        <x:v>OPEN</x:v>
      </x:c>
      <x:c r="H120" s="104" t="str">
        <x:v>OPEN</x:v>
      </x:c>
      <x:c r="I120" s="104" t="str">
        <x:v>Direct native KiCad9.0.9 placed-pad/net/segment extraction plus exact current firmware source/datasheet comparison; source-derived calculation/host probe where explicitly stated. Existing unchanged build and nativeDRC evidence retained.</x:v>
      </x:c>
      <x:c r="J120"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0"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serviceCanReceive; CanSlot; serviceCanForwarding; showStats
BRING_UP_PLAN.md — section3
audit/board_vetting_20260908/lanes/DIGITAL_CALCULATIONS.json — routes; logic; diagnostics
audit/board_vetting_20260908/lanes/DIGITAL_CAN_VETTING.md — CAN source-vetting explanation and explicit limits</x:v>
      </x:c>
      <x:c r="L120" s="104" t="str">
        <x:v>Bound diagnostic output/acquisition scheduling,then sequence-count sustained/burst stress including CLI and BLE congestion.</x:v>
      </x:c>
      <x:c r="M120" s="104" t="str">
        <x:v>YES</x:v>
      </x:c>
      <x:c r="N120" s="104" t="str">
        <x:v>YES</x:v>
      </x:c>
      <x:c r="O120" s="104" t="str">
        <x:v>P1</x:v>
      </x:c>
    </x:row>
    <x:row r="121" ht="170" customHeight="1">
      <x:c r="A121" s="104" t="str">
        <x:v>CAN-13</x:v>
      </x:c>
      <x:c r="B121" s="104" t="str">
        <x:v>CAN physical layer and non-interference</x:v>
      </x:c>
      <x:c r="C121" s="104" t="str">
        <x:v>Golden injected vectors and authoritative/observed signal mapping, including stale and invalid cases.</x:v>
      </x:c>
      <x:c r="D121" s="104" t="str">
        <x:v>Current gr86_2022.h carries whitelist/rate rules; source excludes physical0x710/0x777 in favor of virtual frames. Payload forwarding preserves bytes.</x:v>
      </x:c>
      <x:c r="E121" s="104" t="str">
        <x:v>Transport code is inspectable; comments do not qualify signal equations/model-year/ASC source.</x:v>
      </x:c>
      <x:c r="F121" s="104" t="str">
        <x:v>OPEN</x:v>
      </x:c>
      <x:c r="G121" s="104" t="str">
        <x:v>OPEN</x:v>
      </x:c>
      <x:c r="H121" s="104" t="str">
        <x:v>OPEN</x:v>
      </x:c>
      <x:c r="I121" s="104" t="str">
        <x:v>Direct native KiCad9.0.9 placed-pad/net/segment extraction plus exact current firmware source/datasheet comparison; source-derived calculation/host probe where explicitly stated. Existing unchanged build and nativeDRC evidence retained.</x:v>
      </x:c>
      <x:c r="J121"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1"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firmware/productization_candidate/cca_telemetry/pidmaps/gr86_2022.h — whitelist/RULES comments
firmware/productization_candidate/cca_telemetry/cca_telemetry.ino — serviceCanReceive reserved PID exclusion
audit/board_vetting_20260908/lanes/DIGITAL_CAN_VETTING.md — CAN source-vetting explanation and explicit limits</x:v>
      </x:c>
      <x:c r="L121" s="104" t="str">
        <x:v>Golden vehicle/injected payload vectors,scaling,endianness,sign and virtual-ID collision disposition.</x:v>
      </x:c>
      <x:c r="M121" s="104" t="str">
        <x:v>YES</x:v>
      </x:c>
      <x:c r="N121" s="104" t="str">
        <x:v>YES</x:v>
      </x:c>
      <x:c r="O121" s="104" t="str">
        <x:v>P1</x:v>
      </x:c>
    </x:row>
    <x:row r="122" ht="170" customHeight="1">
      <x:c r="A122" s="104" t="str">
        <x:v>CAN-14</x:v>
      </x:c>
      <x:c r="B122" s="104" t="str">
        <x:v>CAN physical layer and non-interference</x:v>
      </x:c>
      <x:c r="C122" s="104" t="str">
        <x:v>Full controller/transceiver/firmware capability matrix; S3 native TWAI scope explicitly stated.</x:v>
      </x:c>
      <x:c r="D122" s="104" t="str">
        <x:v>Only ESP32-S3 native TWAI is instantiated at500kbit/s; frame payload bounded8bytes. No SPI CAN controller exists in selected native endpoint set.</x:v>
      </x:c>
      <x:c r="E122" s="104" t="str">
        <x:v>Classical CAN scope confirmed. FD-rated U301 does not create CAN FD support.</x:v>
      </x:c>
      <x:c r="F122" s="104" t="str">
        <x:v>VERIFIED</x:v>
      </x:c>
      <x:c r="G122" s="104" t="str">
        <x:v>CLOSED</x:v>
      </x:c>
      <x:c r="H122" s="104" t="str">
        <x:v>CLOSED</x:v>
      </x:c>
      <x:c r="I122" s="104" t="str">
        <x:v>Direct native KiCad9.0.9 placed-pad/net/segment extraction plus exact current firmware source/datasheet comparison; source-derived calculation/host probe where explicitly stated. Existing unchanged build and nativeDRC evidence retained.</x:v>
      </x:c>
      <x:c r="J122" s="104" t="str">
        <x:v>{"ref":"U301","position_mm":[20.4,9.5],"layer":"B.Cu","pins_nets":["1:CAN_TXD","2:GND","3:+3V3","4:CAN_RXD","5:+3V3","6:CANL","7:CANH","8:GND","9:GND"]}
{"ref":"R301","position_mm":[26,8],"layer":"B.Cu","pins_nets":["1:CAN_TX_MCU","2:CAN_TXD"]}
{"ref":"R302","position_mm":[26,12.2],"layer":"B.Cu","pins_nets":["1:CAN_RXD","2:CAN_RX_MCU"]}
{"ref":"R303","position_mm":[26,5.8],"layer":"B.Cu","pins_nets":["1:+3V3","2:CAN_TXD"]}
{"ref":"D301","position_mm":[14.6,9.5],"layer":"B.Cu","pins_nets":["1:CANH","2:CANL","3:GND"]}
{"ref":"F1","position_mm":[8.3,23.5],"layer":"F.Cu","pins_nets":["1:GND","2:GND","3:RAW_12V","4:unconnected-(F1-SPARE_NC-Pad4)","5:CANL","6:CANH"]}</x:v>
      </x:c>
      <x:c r="K122" s="104" t="str">
        <x:v>audit/board_vetting_20260908/lanes/DIGITAL_NATIVE_INSPECTION.json — objects.U301,R301,R302,R303,D301,F1; tracks; esp_keepout
firmware/productization_candidate/cca_telemetry/cca_telemetry.ino — startCanDriver/serviceCanReceive/serviceCanForwarding
firmware/productization_candidate/cca_telemetry/cca_telemetry.ino — driver/twai.h; startCanDriver; eight-byte CanSlot
qualification/productization/FIRMWARE_PRODUCT_REVIEW.md — Hardware contract
audit/board_vetting_20260908/lanes/DIGITAL_CAN_VETTING.md — CAN source-vetting explanation and explicit limits</x:v>
      </x:c>
      <x:c r="L122" s="104" t="str">
        <x:v>No CAN FD product claim; no further source delta for this criterion.</x:v>
      </x:c>
      <x:c r="M122" s="104" t="str">
        <x:v>YES</x:v>
      </x:c>
      <x:c r="N122" s="104" t="str">
        <x:v>NO</x:v>
      </x:c>
      <x:c r="O122" s="104" t="str">
        <x:v>P0</x:v>
      </x:c>
    </x:row>
    <x:row r="123" ht="125" customHeight="1">
      <x:c r="A123" s="104" t="str">
        <x:v>ADC-01</x:v>
      </x:c>
      <x:c r="B123" s="104" t="str">
        <x:v>Oil sensor and analog acquisition</x:v>
      </x:c>
      <x:c r="C123" s="104" t="str">
        <x:v>Exact datasheet defines excitation, output loading, pressure range, overpressure and temperature error.</x:v>
      </x:c>
      <x:c r="D123" s="104" t="str">
        <x:v>Exact Honeywell MIPAN2XX150PSAAX supported: 150 psi sealed gage, 4.75–5.25 V and 10–90% ratiometric output; board F1.7/.8/.9 implements signal/excitation/return and loads signal with 1.00402 MΩ.</x:v>
      </x:c>
      <x:c r="E123" s="104" t="str">
        <x:v>No mismatch found. ±1% FSS allocation is conservative at the manufacturer table’s 150 psi boundary.</x:v>
      </x:c>
      <x:c r="F123" s="104" t="str">
        <x:v>VERIFIED</x:v>
      </x:c>
      <x:c r="G123" s="104" t="str">
        <x:v>CLOSED</x:v>
      </x:c>
      <x:c r="H123" s="104" t="str">
        <x:v>CLOSED</x:v>
      </x:c>
      <x:c r="I123" s="104" t="str">
        <x:v>Read actual native KiCad 9.0.9 board/pads/tracks/fills; compare exact selected values and manufacturer electrical contract; source-bound geometry/arithmetic and firmware inspection where applicable. No physical test inferred.</x:v>
      </x:c>
      <x:c r="J123" s="104" t="str">
        <x:v>F1.7 OIL_SIG at (11.3,23.5)
F1.8 OIL_5V at (11.3,20.5)
F1.9 GND at (11.3,17.5)
R511/R512</x:v>
      </x:c>
      <x:c r="K12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evidence/manufacturer/honeywell_mip.pdf.txt — Tables 2–5 and ordering code</x:v>
      </x:c>
      <x:c r="L123" s="104" t="str">
        <x:v>Verify delivered sensor identity during assembly; achieved accuracy belongs to ADC-10/14.</x:v>
      </x:c>
      <x:c r="M123" s="104" t="str">
        <x:v>YES</x:v>
      </x:c>
      <x:c r="N123" s="104" t="str">
        <x:v>NO</x:v>
      </x:c>
      <x:c r="O123" s="104" t="str">
        <x:v>P0</x:v>
      </x:c>
    </x:row>
    <x:row r="124" ht="140" customHeight="1">
      <x:c r="A124" s="104" t="str">
        <x:v>ADC-02</x:v>
      </x:c>
      <x:c r="B124" s="104" t="str">
        <x:v>Oil sensor and analog acquisition</x:v>
      </x:c>
      <x:c r="C124" s="104" t="str">
        <x:v>Hardware divider, ADC calibration, excitation scaling and firmware units share a controlled transfer model.</x:v>
      </x:c>
      <x:c r="D124" s="104" t="str">
        <x:v>103 actual analog electrical endpoints and 42 selected-value identities checked. GPIO1=U201.39 signal; GPIO2=U201.38 excitation. Both hardware gains are 0.500488; current v4 firmware uses separately calibrated S/E and 150(r−r0)/(r150−r0), then tenths psi.</x:v>
      </x:c>
      <x:c r="E124" s="104" t="str">
        <x:v>No hardware/firmware transfer mismatch found. This is the Rev B two-channel contract, not legacy Rev A voltage calibration.</x:v>
      </x:c>
      <x:c r="F124" s="104" t="str">
        <x:v>VERIFIED</x:v>
      </x:c>
      <x:c r="G124" s="104" t="str">
        <x:v>CLOSED</x:v>
      </x:c>
      <x:c r="H124" s="104" t="str">
        <x:v>CLOSED</x:v>
      </x:c>
      <x:c r="I124" s="104" t="str">
        <x:v>Read actual native KiCad 9.0.9 board/pads/tracks/fills; compare exact selected values and manufacturer electrical contract; source-bound geometry/arithmetic and firmware inspection where applicable. No physical test inferred.</x:v>
      </x:c>
      <x:c r="J124" s="104" t="str">
        <x:v>U502 B.Cu (78.5,30.5)
R511–R515 / R521–R525
U201.38/.39</x:v>
      </x:c>
      <x:c r="K12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connectorVolts/evaluate; v4 calibration
firmware/productization_candidate/cca_telemetry/cca_telemetry.ino — GPIO constants and serviceOil</x:v>
      </x:c>
      <x:c r="L124" s="104" t="str">
        <x:v>Physical calibration residual/phone behavior remain separate; old Rev A firmware/calibration is not a drop-in acceptance.</x:v>
      </x:c>
      <x:c r="M124" s="104" t="str">
        <x:v>YES</x:v>
      </x:c>
      <x:c r="N124" s="104" t="str">
        <x:v>NO</x:v>
      </x:c>
      <x:c r="O124" s="104" t="str">
        <x:v>P1</x:v>
      </x:c>
    </x:row>
    <x:row r="125" ht="125" customHeight="1">
      <x:c r="A125" s="104" t="str">
        <x:v>ADC-03</x:v>
      </x:c>
      <x:c r="B125" s="104" t="str">
        <x:v>Oil sensor and analog acquisition</x:v>
      </x:c>
      <x:c r="C125" s="104" t="str">
        <x:v>Worst-case divider/input calculation; no assumption that 3.3 V supply implies accurate full-scale conversion.</x:v>
      </x:c>
      <x:c r="D125" s="104" t="str">
        <x:v>Actual resistor tolerance plus 65 K independent TCR gives gain 0.495292–0.505739. At 5.25 V, excitation ADC≤2.65513 V; signal with conservative sensor TEB≤2.41086 V before the allocated small amplifier residual. Both are below the selected 3.1 V usable ADC contract.</x:v>
      </x:c>
      <x:c r="E125" s="104" t="str">
        <x:v>Normal static input/headroom arithmetic supports the implementation; no rail-equals-ADC-fullscale assumption used.</x:v>
      </x:c>
      <x:c r="F125" s="104" t="str">
        <x:v>CALCULATED</x:v>
      </x:c>
      <x:c r="G125" s="104" t="str">
        <x:v>CLOSED</x:v>
      </x:c>
      <x:c r="H125" s="104" t="str">
        <x:v>CLOSED</x:v>
      </x:c>
      <x:c r="I125" s="104" t="str">
        <x:v>Read actual native KiCad 9.0.9 board/pads/tracks/fills; compare exact selected values and manufacturer electrical contract; source-bound geometry/arithmetic and firmware inspection where applicable. No physical test inferred.</x:v>
      </x:c>
      <x:c r="J125" s="104" t="str">
        <x:v>R511/512/513/514
R521/522/523/524
U502.1/.7
U201.38/.39</x:v>
      </x:c>
      <x:c r="K12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125" s="104" t="str">
        <x:v>Actual ADC nonlinearity, load/leakage and sampling residual need acceptance under ADC-05/10.</x:v>
      </x:c>
      <x:c r="M125" s="104" t="str">
        <x:v>YES</x:v>
      </x:c>
      <x:c r="N125" s="104" t="str">
        <x:v>NO</x:v>
      </x:c>
      <x:c r="O125" s="104" t="str">
        <x:v>P0</x:v>
      </x:c>
    </x:row>
    <x:row r="126" ht="125" customHeight="1">
      <x:c r="A126" s="104" t="str">
        <x:v>ADC-04</x:v>
      </x:c>
      <x:c r="B126" s="104" t="str">
        <x:v>Oil sensor and analog acquisition</x:v>
      </x:c>
      <x:c r="C126" s="104" t="str">
        <x:v>Measured excitation/reference strategy or bounded uncorrected supply error.</x:v>
      </x:c>
      <x:c r="D126" s="104" t="str">
        <x:v>F1.8 and R521.1 are OIL_5V after R507; 85.260 mm routed sense path is intact. Excitation is acquired at actual GPIO2 and current firmware propagates both calibrated-channel errors in S/E.</x:v>
      </x:c>
      <x:c r="E126" s="104" t="str">
        <x:v>R507 board drop is compensated. Remote sensor positive-wire drop and sensor-ground rise are not Kelvin sensed.</x:v>
      </x:c>
      <x:c r="F126" s="104" t="str">
        <x:v>VERIFIED</x:v>
      </x:c>
      <x:c r="G126" s="104" t="str">
        <x:v>CLOSED</x:v>
      </x:c>
      <x:c r="H126" s="104" t="str">
        <x:v>CLOSED</x:v>
      </x:c>
      <x:c r="I126" s="104" t="str">
        <x:v>Read actual native KiCad 9.0.9 board/pads/tracks/fills; compare exact selected values and manufacturer electrical contract; source-bound geometry/arithmetic and firmware inspection where applicable. No physical test inferred.</x:v>
      </x:c>
      <x:c r="J126" s="104" t="str">
        <x:v>F1.8 OIL_5V
R507.2
R521.1
U201.38</x:v>
      </x:c>
      <x:c r="K12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excitation interval and ratio error</x:v>
      </x:c>
      <x:c r="L126" s="104" t="str">
        <x:v>Allocate and measure remote harness drops and channel timing mismatch under changing excitation.</x:v>
      </x:c>
      <x:c r="M126" s="104" t="str">
        <x:v>YES</x:v>
      </x:c>
      <x:c r="N126" s="104" t="str">
        <x:v>NO</x:v>
      </x:c>
      <x:c r="O126" s="104" t="str">
        <x:v>P1</x:v>
      </x:c>
    </x:row>
    <x:row r="127" ht="140" customHeight="1">
      <x:c r="A127" s="104" t="str">
        <x:v>ADC-05</x:v>
      </x:c>
      <x:c r="B127" s="104" t="str">
        <x:v>Oil sensor and analog acquisition</x:v>
      </x:c>
      <x:c r="C127" s="104" t="str">
        <x:v>Sample-and-hold/filter model plus step testing at the actual sample configuration.</x:v>
      </x:c>
      <x:c r="D127" s="104" t="str">
        <x:v>U502 drives actual 220 Ω/22 nF with post-resistor DC sense and 100 pF local AC feedback. R515/R525 to MCU routes are 5.609/6.636 mm; C513/C523 to MCU 2.420/3.654 mm. Compensation arms are about 2.53–2.57 mm.</x:v>
      </x:c>
      <x:c r="E127" s="104" t="str">
        <x:v>Topology/receiving placement agree with the model. Actual SAR capacitance/track interval and switched acquisition settling are still unbounded.</x:v>
      </x:c>
      <x:c r="F127" s="104" t="str">
        <x:v>HOLD</x:v>
      </x:c>
      <x:c r="G127" s="104" t="str">
        <x:v>OPEN</x:v>
      </x:c>
      <x:c r="H127" s="104" t="str">
        <x:v>OPEN</x:v>
      </x:c>
      <x:c r="I127" s="104" t="str">
        <x:v>Read actual native KiCad 9.0.9 board/pads/tracks/fills; compare exact selected values and manufacturer electrical contract; source-bound geometry/arithmetic and firmware inspection where applicable. No physical test inferred.</x:v>
      </x:c>
      <x:c r="J127" s="104" t="str">
        <x:v>R515 B.Cu (86.25,27.9)
R525 B.Cu (85.1,25.8)
C513/C523 F.Cu
C514/C524 B.Cu</x:v>
      </x:c>
      <x:c r="K12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ADC stability and acquisition
firmware/productization_candidate/cca_telemetry/cca_telemetry.ino — medianAdcVolts</x:v>
      </x:c>
      <x:c r="L127" s="104" t="str">
        <x:v>Measure ADC-node charge/current steps and alternating-channel convergence at exact ADC_11db/median acquisition, supply and temperature conditions.</x:v>
      </x:c>
      <x:c r="M127" s="104" t="str">
        <x:v>YES</x:v>
      </x:c>
      <x:c r="N127" s="104" t="str">
        <x:v>YES</x:v>
      </x:c>
      <x:c r="O127" s="104" t="str">
        <x:v>P1</x:v>
      </x:c>
    </x:row>
    <x:row r="128" ht="125" customHeight="1">
      <x:c r="A128" s="104" t="str">
        <x:v>ADC-06</x:v>
      </x:c>
      <x:c r="B128" s="104" t="str">
        <x:v>Oil sensor and analog acquisition</x:v>
      </x:c>
      <x:c r="C128" s="104" t="str">
        <x:v>Transfer-function model includes sensor source impedance, divider, series resistor and ADC loading.</x:v>
      </x:c>
      <x:c r="D128" s="104" t="str">
        <x:v>Actual 2 µF parallel input caps and 4003.904 Ω Thevenin resistance give 19.87497 Hz /36.8773 ms 1% settling. Local AC feedback and after-resistor DC sense physically match the coupled A(s)/Zo(s) model.</x:v>
      </x:c>
      <x:c r="E128" s="104" t="str">
        <x:v>No accidental extra series capacitor or collapsed passive found. Sensor output impedance, switched SAR and PCB parasitics remain outside the nominal transfer.</x:v>
      </x:c>
      <x:c r="F128" s="104" t="str">
        <x:v>CALCULATED</x:v>
      </x:c>
      <x:c r="G128" s="104" t="str">
        <x:v>OPEN</x:v>
      </x:c>
      <x:c r="H128" s="104" t="str">
        <x:v>OPEN</x:v>
      </x:c>
      <x:c r="I128" s="104" t="str">
        <x:v>Read actual native KiCad 9.0.9 board/pads/tracks/fills; compare exact selected values and manufacturer electrical contract; source-bound geometry/arithmetic and firmware inspection where applicable. No physical test inferred.</x:v>
      </x:c>
      <x:c r="J128" s="104" t="str">
        <x:v>C511/C512
C521/C522
R513/C514
R523/C524</x:v>
      </x:c>
      <x:c r="K12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audit/productization/independent/FINAL_ADC_CANDIDATE_SCREEN.json — Finite manufacturer model and rejected points</x:v>
      </x:c>
      <x:c r="L128" s="104" t="str">
        <x:v>Bound selected sensor source impedance and correlate full connector-to-ADC transfer; preserve macromodel numerical rejects as rejects.</x:v>
      </x:c>
      <x:c r="M128" s="104" t="str">
        <x:v>NO</x:v>
      </x:c>
      <x:c r="N128" s="104" t="str">
        <x:v>YES</x:v>
      </x:c>
      <x:c r="O128" s="104" t="str">
        <x:v>P1</x:v>
      </x:c>
    </x:row>
    <x:row r="129" ht="140" customHeight="1">
      <x:c r="A129" s="104" t="str">
        <x:v>ADC-07</x:v>
      </x:c>
      <x:c r="B129" s="104" t="str">
        <x:v>Oil sensor and analog acquisition</x:v>
      </x:c>
      <x:c r="C129" s="104" t="str">
        <x:v>Frequency-response and alias analysis using actual sample rate and interference spectrum.</x:v>
      </x:c>
      <x:c r="D129" s="104" t="str">
        <x:v>Actual firmware samples nominally at 50 Hz using a rapid five-reading median. The actual analog pole is 19.875 Hz; retained screen gives only 4.12 dB input attenuation at 25 Hz and a 49 Hz disturbance aliases to 1 Hz.</x:v>
      </x:c>
      <x:c r="E129" s="104" t="str">
        <x:v>No accepted interference spectrum or alias-error allocation; physical layout separation does not establish anti-alias adequacy.</x:v>
      </x:c>
      <x:c r="F129" s="104" t="str">
        <x:v>OPEN</x:v>
      </x:c>
      <x:c r="G129" s="104" t="str">
        <x:v>OPEN</x:v>
      </x:c>
      <x:c r="H129" s="104" t="str">
        <x:v>OPEN</x:v>
      </x:c>
      <x:c r="I129" s="104" t="str">
        <x:v>Read actual native KiCad 9.0.9 board/pads/tracks/fills; compare exact selected values and manufacturer electrical contract; source-bound geometry/arithmetic and firmware inspection where applicable. No physical test inferred.</x:v>
      </x:c>
      <x:c r="J129" s="104" t="str">
        <x:v>C511/C512/R511/R512
C521/C522/R521/R522
U201 ADC1 GPIO1/2</x:v>
      </x:c>
      <x:c r="K12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audit/erb_20260907/lanes/ANALOG_OBSERVABILITY_SCREEN.json — frequency_screen
firmware/productization_candidate/cca_telemetry/cca_telemetry.ino — serviceOil 20 ms / medianAdcVolts</x:v>
      </x:c>
      <x:c r="L129" s="104" t="str">
        <x:v>Define alias-error allowance; measure spectrum/driver timing and decide whether the existing RC/sample rate meets it.</x:v>
      </x:c>
      <x:c r="M129" s="104" t="str">
        <x:v>NO</x:v>
      </x:c>
      <x:c r="N129" s="104" t="str">
        <x:v>YES</x:v>
      </x:c>
      <x:c r="O129" s="104" t="str">
        <x:v>P1</x:v>
      </x:c>
    </x:row>
    <x:row r="130" ht="125" customHeight="1">
      <x:c r="A130" s="104" t="str">
        <x:v>ADC-08</x:v>
      </x:c>
      <x:c r="B130" s="104" t="str">
        <x:v>Oil sensor and analog acquisition</x:v>
      </x:c>
      <x:c r="C130" s="104" t="str">
        <x:v>End-to-end step/pulse response with an explicitly accepted detection latency.</x:v>
      </x:c>
      <x:c r="D130" s="104" t="str">
        <x:v>Actual alpha 0.15 /nominal 50 Hz valid-pressure filter has ~0.58 s to 1%. Coupled RC/sample/publication screen reports a valid 100 ms drop at ~47–55% depth; 20 ms at 11–14%. Invalidity bypasses IIR.</x:v>
      </x:c>
      <x:c r="E130" s="104" t="str">
        <x:v>Concrete attenuation exists; no accepted minimum valid drop duration/depth or end-to-end latency makes it a pass/fail yet.</x:v>
      </x:c>
      <x:c r="F130" s="104" t="str">
        <x:v>OPEN</x:v>
      </x:c>
      <x:c r="G130" s="104" t="str">
        <x:v>OPEN</x:v>
      </x:c>
      <x:c r="H130" s="104" t="str">
        <x:v>OPEN</x:v>
      </x:c>
      <x:c r="I130" s="104" t="str">
        <x:v>Read actual native KiCad 9.0.9 board/pads/tracks/fills; compare exact selected values and manufacturer electrical contract; source-bound geometry/arithmetic and firmware inspection where applicable. No physical test inferred.</x:v>
      </x:c>
      <x:c r="J130" s="104" t="str">
        <x:v>U201 firmware serviceOil
Actual 19.875 Hz analog channels</x:v>
      </x:c>
      <x:c r="K13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audit/erb_20260907/lanes/ANALOG_OBSERVABILITY_SCREEN.json — pulse_screen</x:v>
      </x:c>
      <x:c r="L130" s="104" t="str">
        <x:v>Set event-preservation criterion and verify sensor-to-phone pulses; choose faster/min-capture behavior only against that requirement.</x:v>
      </x:c>
      <x:c r="M130" s="104" t="str">
        <x:v>NO</x:v>
      </x:c>
      <x:c r="N130" s="104" t="str">
        <x:v>YES</x:v>
      </x:c>
      <x:c r="O130" s="104" t="str">
        <x:v>P1</x:v>
      </x:c>
    </x:row>
    <x:row r="131" ht="140" customHeight="1">
      <x:c r="A131" s="104" t="str">
        <x:v>ADC-09</x:v>
      </x:c>
      <x:c r="B131" s="104" t="str">
        <x:v>Oil sensor and analog acquisition</x:v>
      </x:c>
      <x:c r="C131" s="104" t="str">
        <x:v>Clamp voltage/current/energy and rail-sinking analysis, including MCU-off conditions.</x:v>
      </x:c>
      <x:c r="D131" s="104" t="str">
        <x:v>All four external ADC clamp polarities and U501 private RTN verified. ±24 V OIL_SIG divider screen gives ±96.60 mV OPA input /0.573 mW upper-resistor loss. Actual U501 OUT→D502 route is 25.841 mm; reservoir routes 4.879/12.034/14.552 mm.</x:v>
      </x:c>
      <x:c r="E131" s="104" t="str">
        <x:v>BV-ADC-01: actual distributed protection placement differs from the lumped adjacent-node proof. No PCB-L/di/dt bound or cold/off-state clamp envelope establishes every local pin limit.</x:v>
      </x:c>
      <x:c r="F131" s="104" t="str">
        <x:v>HOLD</x:v>
      </x:c>
      <x:c r="G131" s="104" t="str">
        <x:v>OPEN</x:v>
      </x:c>
      <x:c r="H131" s="104" t="str">
        <x:v>OPEN</x:v>
      </x:c>
      <x:c r="I131" s="104" t="str">
        <x:v>Read actual native KiCad 9.0.9 board/pads/tracks/fills; compare exact selected values and manufacturer electrical contract; source-bound geometry/arithmetic and firmware inspection where applicable. No physical test inferred.</x:v>
      </x:c>
      <x:c r="J131" s="104" t="str">
        <x:v>U501.15 OUT
D502.1 F.Cu (20.5,10.75)
C504–C506
D511/D512/D521/D522</x:v>
      </x:c>
      <x:c r="K13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Connector faults; adjacent reservoir/clamp requirement
evidence/manufacturer/tps2660.pdf.txt — OUT/RTN absolute limits and layout</x:v>
      </x:c>
      <x:c r="L131" s="104" t="str">
        <x:v>Resolve distributed layout/model delta, then measure OUT relative RTN and ADC relative instantaneous rail across declared faults/transitions. Do not claim a measured failure or arbitrary connector survival.</x:v>
      </x:c>
      <x:c r="M131" s="104" t="str">
        <x:v>NO</x:v>
      </x:c>
      <x:c r="N131" s="104" t="str">
        <x:v>YES</x:v>
      </x:c>
      <x:c r="O131" s="104" t="str">
        <x:v>P0</x:v>
      </x:c>
    </x:row>
    <x:row r="132" ht="125" customHeight="1">
      <x:c r="A132" s="104" t="str">
        <x:v>ADC-10</x:v>
      </x:c>
      <x:c r="B132" s="104" t="str">
        <x:v>Oil sensor and analog acquisition</x:v>
      </x:c>
      <x:c r="C132" s="104" t="str">
        <x:v>Worst-case error allocation in psi over voltage and temperature, plus calibration residuals.</x:v>
      </x:c>
      <x:c r="D132" s="104" t="str">
        <x:v>Actual selected 0.1%/25 ppm resistor network, compensated output, clamps and v4 ratio model agree. Conditional static bound remains ±2.675 psi. At 4.75 V, 1 mV sensor-ground rise contributes ~0.0355 psi at low pressure; positive-wire loss dominates near full scale.</x:v>
      </x:c>
      <x:c r="E132" s="104" t="str">
        <x:v>Unmeasured channel residuals, remote drops, temperature/radio leakage and life horizon prevent an achieved total-error claim.</x:v>
      </x:c>
      <x:c r="F132" s="104" t="str">
        <x:v>OPEN</x:v>
      </x:c>
      <x:c r="G132" s="104" t="str">
        <x:v>OPEN</x:v>
      </x:c>
      <x:c r="H132" s="104" t="str">
        <x:v>OPEN</x:v>
      </x:c>
      <x:c r="I132" s="104" t="str">
        <x:v>Read actual native KiCad 9.0.9 board/pads/tracks/fills; compare exact selected values and manufacturer electrical contract; source-bound geometry/arithmetic and firmware inspection where applicable. No physical test inferred.</x:v>
      </x:c>
      <x:c r="J132" s="104" t="str">
        <x:v>F1.9 common GND
R521 local excitation sense
U502
U201.38/.39</x:v>
      </x:c>
      <x:c r="K13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calculations/OIL_PRESSURE_CALCULATIONS.md — Conditional static error and harness drop</x:v>
      </x:c>
      <x:c r="L132" s="104" t="str">
        <x:v>Allocate system/harness/reference uncertainty and measure full-range rising/falling residuals over temperature and radio modes.</x:v>
      </x:c>
      <x:c r="M132" s="104" t="str">
        <x:v>NO</x:v>
      </x:c>
      <x:c r="N132" s="104" t="str">
        <x:v>YES</x:v>
      </x:c>
      <x:c r="O132" s="104" t="str">
        <x:v>P1</x:v>
      </x:c>
    </x:row>
    <x:row r="133" ht="125" customHeight="1">
      <x:c r="A133" s="104" t="str">
        <x:v>ADC-11</x:v>
      </x:c>
      <x:c r="B133" s="104" t="str">
        <x:v>Oil sensor and analog acquisition</x:v>
      </x:c>
      <x:c r="C133" s="104" t="str">
        <x:v>Threshold/state table with hysteresis and test vectors; no misleading zero or stale value.</x:v>
      </x:c>
      <x:c r="D133" s="104" t="str">
        <x:v>Actual signal path has a DC pull to GND through 1.00402 MΩ; firmware flags raw median low/high/excitation invalid and transmits 0xFFFF rather than valid 0 psi. Open signal and ground short can share the low-voltage diagnosis.</x:v>
      </x:c>
      <x:c r="E133" s="104" t="str">
        <x:v>No guaranteed unique fault localization or accepted boundary hysteresis/chatter behavior. Dynamic open decay also depends on real source/capacitor state.</x:v>
      </x:c>
      <x:c r="F133" s="104" t="str">
        <x:v>OPEN</x:v>
      </x:c>
      <x:c r="G133" s="104" t="str">
        <x:v>OPEN</x:v>
      </x:c>
      <x:c r="H133" s="104" t="str">
        <x:v>OPEN</x:v>
      </x:c>
      <x:c r="I133" s="104" t="str">
        <x:v>Read actual native KiCad 9.0.9 board/pads/tracks/fills; compare exact selected values and manufacturer electrical contract; source-bound geometry/arithmetic and firmware inspection where applicable. No physical test inferred.</x:v>
      </x:c>
      <x:c r="J133" s="104" t="str">
        <x:v>F1.7→R511/R512
U201 GPIO1/2
Current oil::evaluate</x:v>
      </x:c>
      <x:c r="K13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firmware/productization_candidate/cca_telemetry/src/oil_model.h — Fault thresholds and invalid sentinel</x:v>
      </x:c>
      <x:c r="L133" s="104" t="str">
        <x:v>Perform connector open/GND/excitation shorts and rising/falling boundaries on real hardware/phone; explicitly accept chatter or qualify hysteresis.</x:v>
      </x:c>
      <x:c r="M133" s="104" t="str">
        <x:v>NO</x:v>
      </x:c>
      <x:c r="N133" s="104" t="str">
        <x:v>YES</x:v>
      </x:c>
      <x:c r="O133" s="104" t="str">
        <x:v>P1</x:v>
      </x:c>
    </x:row>
    <x:row r="134" ht="125" customHeight="1">
      <x:c r="A134" s="104" t="str">
        <x:v>ADC-12</x:v>
      </x:c>
      <x:c r="B134" s="104" t="str">
        <x:v>Oil sensor and analog acquisition</x:v>
      </x:c>
      <x:c r="C134" s="104" t="str">
        <x:v>Correlated raw-code/noise testing with aggressors independently enabled and all active.</x:v>
      </x:c>
      <x:c r="D134" s="104" t="str">
        <x:v>Actual filtered input routes are B.Cu with sampled filled In2 GND; minimum 5V_SW separation 21.750/14.451 mm. ADC receiving parts are local, but U502 lies under the ESP module region; an excitation feedback transition has its nearest GND via 5.216 mm away.</x:v>
      </x:c>
      <x:c r="E134" s="104" t="str">
        <x:v>Geometry supports switch-node separation but does not bound common-rail/ground, radio-correlated bias/noise or transition return impedance.</x:v>
      </x:c>
      <x:c r="F134" s="104" t="str">
        <x:v>HOLD</x:v>
      </x:c>
      <x:c r="G134" s="104" t="str">
        <x:v>OPEN</x:v>
      </x:c>
      <x:c r="H134" s="104" t="str">
        <x:v>OPEN</x:v>
      </x:c>
      <x:c r="I134" s="104" t="str">
        <x:v>Read actual native KiCad 9.0.9 board/pads/tracks/fills; compare exact selected values and manufacturer electrical contract; source-bound geometry/arithmetic and firmware inspection where applicable. No physical test inferred.</x:v>
      </x:c>
      <x:c r="J134" s="104" t="str">
        <x:v>OIL_FILTERED
OIL_EXC_FILTERED
U502 B.Cu (78.5,30.5)
OIL_EXCITATION_ADC via (72,30.2)</x:v>
      </x:c>
      <x:c r="K13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audit/board_vetting_20260908/lanes/ACTUAL_ANALOG_BOARD_VIEW.png — Exact board/source-bound analog view</x:v>
      </x:c>
      <x:c r="L134" s="104" t="str">
        <x:v>Record both channels with fixed inputs and independent BLE/CAN/switcher aggressors; include resulting error in calibrated residuals.</x:v>
      </x:c>
      <x:c r="M134" s="104" t="str">
        <x:v>NO</x:v>
      </x:c>
      <x:c r="N134" s="104" t="str">
        <x:v>YES</x:v>
      </x:c>
      <x:c r="O134" s="104" t="str">
        <x:v>P1</x:v>
      </x:c>
    </x:row>
    <x:row r="135" ht="140" customHeight="1">
      <x:c r="A135" s="104" t="str">
        <x:v>ADC-13</x:v>
      </x:c>
      <x:c r="B135" s="104" t="str">
        <x:v>Oil sensor and analog acquisition</x:v>
      </x:c>
      <x:c r="C135" s="104" t="str">
        <x:v>Versioned per-unit calibration data, reference instruments, validity checks and recovery procedure.</x:v>
      </x:c>
      <x:c r="D135" s="104" t="str">
        <x:v>Current v4 record binds CRC-protected calibration to ESP eFuse MAC; exact target build 2.1.1 and actual persistence host tests are retained. Physical ADC endpoints and transfer match the corrected model.</x:v>
      </x:c>
      <x:c r="E135" s="104" t="str">
        <x:v>Previous cross-board record acceptance was corrected; actual instrument calibration/repeatability and target NVS retention remain untested.</x:v>
      </x:c>
      <x:c r="F135" s="104" t="str">
        <x:v>CORRECTED IN REV B</x:v>
      </x:c>
      <x:c r="G135" s="104" t="str">
        <x:v>OPEN</x:v>
      </x:c>
      <x:c r="H135" s="104" t="str">
        <x:v>OPEN</x:v>
      </x:c>
      <x:c r="I135" s="104" t="str">
        <x:v>Read actual native KiCad 9.0.9 board/pads/tracks/fills; compare exact selected values and manufacturer electrical contract; source-bound geometry/arithmetic and firmware inspection where applicable. No physical test inferred.</x:v>
      </x:c>
      <x:c r="J135" s="104" t="str">
        <x:v>U201 ESP32-S3 N8R2
ADC_NODE / OIL_EXCITATION_ADC</x:v>
      </x:c>
      <x:c r="K13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firmware/productization_candidate/BUILD_MANIFEST.json — Pinned target build
audit/erb_20260907/firmware_tests/identity_after.log — Actual persistence wrapper tests</x:v>
      </x:c>
      <x:c r="L135" s="104" t="str">
        <x:v>Execute per-unit channel calibration, reference uncertainty, wrong-unit record rejection and interrupted-write/recovery checks; retain serial/MAC/build identity.</x:v>
      </x:c>
      <x:c r="M135" s="104" t="str">
        <x:v>YES</x:v>
      </x:c>
      <x:c r="N135" s="104" t="str">
        <x:v>YES</x:v>
      </x:c>
      <x:c r="O135" s="104" t="str">
        <x:v>P1</x:v>
      </x:c>
    </x:row>
    <x:row r="136" ht="125" customHeight="1">
      <x:c r="A136" s="104" t="str">
        <x:v>ADC-14</x:v>
      </x:c>
      <x:c r="B136" s="104" t="str">
        <x:v>Oil sensor and analog acquisition</x:v>
      </x:c>
      <x:c r="C136" s="104" t="str">
        <x:v>Separate direct-ADC, full-front-end and real-sensor results with uncertainty and rising/falling sweeps.</x:v>
      </x:c>
      <x:c r="D136" s="104" t="str">
        <x:v>Native graph proves uninterrupted F1.7→R511 and F1.8→R521 paths, exact amplifier/ADC endpoints and clamp topology. Fixture SHDN/RTN/OUT test points are physically present.</x:v>
      </x:c>
      <x:c r="E136" s="104" t="str">
        <x:v>No physical direct-ADC, full connector sweep or real-pressure dataset exists. Connectivity does not establish calibration accuracy.</x:v>
      </x:c>
      <x:c r="F136" s="104" t="str">
        <x:v>HOLD</x:v>
      </x:c>
      <x:c r="G136" s="104" t="str">
        <x:v>OPEN</x:v>
      </x:c>
      <x:c r="H136" s="104" t="str">
        <x:v>OPEN</x:v>
      </x:c>
      <x:c r="I136" s="104" t="str">
        <x:v>Read actual native KiCad 9.0.9 board/pads/tracks/fills; compare exact selected values and manufacturer electrical contract; source-bound geometry/arithmetic and firmware inspection where applicable. No physical test inferred.</x:v>
      </x:c>
      <x:c r="J136" s="104" t="str">
        <x:v>F1.7/.8/.9
TP507/509/510
U201.38/.39</x:v>
      </x:c>
      <x:c r="K13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audit/erb_20260907/BRINGUP_METROLOGY_ADDENDUM.md — Proposed stimulus/metrology</x:v>
      </x:c>
      <x:c r="L136" s="104" t="str">
        <x:v>Execute three distinct levels with actual metrology, sweeps/faults, board identity and phone pressure comparison.</x:v>
      </x:c>
      <x:c r="M136" s="104" t="str">
        <x:v>YES</x:v>
      </x:c>
      <x:c r="N136" s="104" t="str">
        <x:v>YES</x:v>
      </x:c>
      <x:c r="O136" s="104" t="str">
        <x:v>P1</x:v>
      </x:c>
    </x:row>
    <x:row r="137" ht="125" customHeight="1">
      <x:c r="A137" s="104" t="str">
        <x:v>GPS-01</x:v>
      </x:c>
      <x:c r="B137" s="104" t="str">
        <x:v>GPS module, timing and external antenna</x:v>
      </x:c>
      <x:c r="C137" s="104" t="str">
        <x:v>Exact top-view drawing reconciled with module pin 1, footprint and assembly placement.</x:v>
      </x:c>
      <x:c r="D137" s="104" t="str">
        <x:v>U401 top,0deg at(54.5,9); pad1(46.7,2.25),10(46.7,15.75),11(62.3,15.75),20(62.3,2.25) match exact manufacturer top view.</x:v>
      </x:c>
      <x:c r="E137" s="104" t="str">
        <x:v>Actual orientation/pad coordinates independently rechecked;20 electrical pads plus1 NPTH intentional.</x:v>
      </x:c>
      <x:c r="F137" s="104" t="str">
        <x:v>VERIFIED</x:v>
      </x:c>
      <x:c r="G137" s="104" t="str">
        <x:v>CLOSED</x:v>
      </x:c>
      <x:c r="H137" s="104" t="str">
        <x:v>CLOSED</x:v>
      </x:c>
      <x:c r="I137" s="104" t="str">
        <x:v>Direct native pad/track/via/filled-copper inspection and source-bound calculation; exact supporting document/code checked where referenced.</x:v>
      </x:c>
      <x:c r="J137" s="104" t="str">
        <x:v>U401.1
U401.10
U401.11
U401.20</x:v>
      </x:c>
      <x:c r="K137" s="104" t="str">
        <x:v>audit/productization/manufacturing/final_board_review/recheck_f23c/inventory/NATIVE_BOARD_UPDATE_INVENTORY.json — existing_placements.U401
audit/board_vetting_20260908/rf_ground/GROUND_AND_RF_DISPOSITION.md — Direct copper and RF vetting / actual source deltas
audit/productization/manufacturing/final_board_review/recheck_f23c/inventory/NATIVE_BOARD_UPDATE_INVENTORY.json — existing_placements.U401
qualification/GPS_FOOTPRINT_DERIVATION.md — exact PA1616D v0.6 pages7-8; GPS-GEOM-01</x:v>
      </x:c>
      <x:c r="L137" s="104" t="str">
        <x:v>Incoming module orientation/fit and manual assembly inspection still required.</x:v>
      </x:c>
      <x:c r="M137" s="104" t="str">
        <x:v>YES</x:v>
      </x:c>
      <x:c r="N137" s="104" t="str">
        <x:v>NO</x:v>
      </x:c>
      <x:c r="O137" s="104" t="str">
        <x:v>P0</x:v>
      </x:c>
    </x:row>
    <x:row r="138" ht="125" customHeight="1">
      <x:c r="A138" s="104" t="str">
        <x:v>GPS-02</x:v>
      </x:c>
      <x:c r="B138" s="104" t="str">
        <x:v>GPS module, timing and external antenna</x:v>
      </x:c>
      <x:c r="C138" s="104" t="str">
        <x:v>GPS TX0 to GPIO18 RX, GPIO17 TX to GPS RX0, and PPS continuity plus logic-level checks.</x:v>
      </x:c>
      <x:c r="D138" s="104" t="str">
        <x:v>U401.9 TX→U402/R402→U201.11 GPIO18; U201.10 GPIO17→U404/R404→U401.10 RX; U401.13 PPS→U402/R403→U201.9 GPIO16.</x:v>
      </x:c>
      <x:c r="E138" s="104" t="str">
        <x:v>Correct crossed UART/PPS actual pads and intended rail-domain buffers confirmed.</x:v>
      </x:c>
      <x:c r="F138" s="104" t="str">
        <x:v>VERIFIED</x:v>
      </x:c>
      <x:c r="G138" s="104" t="str">
        <x:v>CLOSED</x:v>
      </x:c>
      <x:c r="H138" s="104" t="str">
        <x:v>CLOSED</x:v>
      </x:c>
      <x:c r="I138" s="104" t="str">
        <x:v>Direct native pad/track/via/filled-copper inspection and source-bound calculation; exact supporting document/code checked where referenced.</x:v>
      </x:c>
      <x:c r="J138" s="104" t="str">
        <x:v>U401.9/10/13
U201.9/10/11
U402
U404</x:v>
      </x:c>
      <x:c r="K138" s="104" t="str">
        <x:v>audit/productization/manufacturing/final_board_review/recheck_f23c/inventory/NATIVE_BOARD_UPDATE_INVENTORY.json — existing_placements.U401/U201/U402/U404
audit/board_vetting_20260908/rf_ground/GROUND_AND_RF_DISPOSITION.md — Direct copper and RF vetting / actual source deltas
audit/productization/manufacturing/final_board_review/recheck_f23c/inventory/NATIVE_BOARD_UPDATE_INVENTORY.json — existing_placements.U401/U402/U404/U201/R402/R403/R404
qualification/GPS_REVIEW.md — Actual digital and power paths</x:v>
      </x:c>
      <x:c r="L138" s="104" t="str">
        <x:v>PPS/FIX voltage/edge and physical continuity tests remain bring-up criteria.</x:v>
      </x:c>
      <x:c r="M138" s="104" t="str">
        <x:v>YES</x:v>
      </x:c>
      <x:c r="N138" s="104" t="str">
        <x:v>NO</x:v>
      </x:c>
      <x:c r="O138" s="104" t="str">
        <x:v>P0</x:v>
      </x:c>
    </x:row>
    <x:row r="139" ht="125" customHeight="1">
      <x:c r="A139" s="104" t="str">
        <x:v>GPS-03</x:v>
      </x:c>
      <x:c r="B139" s="104" t="str">
        <x:v>GPS module, timing and external antenna</x:v>
      </x:c>
      <x:c r="C139" s="104" t="str">
        <x:v>Backup-domain current/voltage and power-sequencing analysis; no unintended charging of a primary cell.</x:v>
      </x:c>
      <x:c r="D139" s="104" t="str">
        <x:v>U401.4 VBACKUP and.2 NRESET intentionally NC; no backup battery or charger. Manufacturer allows lengthy cold start without reserved backup supply.</x:v>
      </x:c>
      <x:c r="E139" s="104" t="str">
        <x:v>No unintended primary-cell charge path; cold reacquisition is a deliberate product consequence.</x:v>
      </x:c>
      <x:c r="F139" s="104" t="str">
        <x:v>DESIGN INTENT</x:v>
      </x:c>
      <x:c r="G139" s="104" t="str">
        <x:v>CLOSED</x:v>
      </x:c>
      <x:c r="H139" s="104" t="str">
        <x:v>CLOSED</x:v>
      </x:c>
      <x:c r="I139" s="104" t="str">
        <x:v>Direct native pad/track/via/filled-copper inspection and source-bound calculation; exact supporting document/code checked where referenced.</x:v>
      </x:c>
      <x:c r="J139" s="104" t="str">
        <x:v>U401.2
U401.4</x:v>
      </x:c>
      <x:c r="K139" s="104" t="str">
        <x:v>audit/productization/manufacturing/final_board_review/recheck_f23c/inventory/NATIVE_BOARD_UPDATE_INVENTORY.json — existing_placements.U401
audit/board_vetting_20260908/rf_ground/GROUND_AND_RF_DISPOSITION.md — Direct copper and RF vetting / actual source deltas
audit/productization/manufacturing/final_board_review/recheck_f23c/inventory/NATIVE_BOARD_UPDATE_INVENTORY.json — existing_placements.U401 pads2/4
qualification/GPS_REVIEW.md — MIC5504 supply and NRESET/VBACKUP strategy</x:v>
      </x:c>
      <x:c r="L139" s="104" t="str">
        <x:v>Verify actual cold-start time in deployment; rail reset allowance does not imply instantaneous GNSS reacquisition.</x:v>
      </x:c>
      <x:c r="M139" s="104" t="str">
        <x:v>YES</x:v>
      </x:c>
      <x:c r="N139" s="104" t="str">
        <x:v>NO</x:v>
      </x:c>
      <x:c r="O139" s="104" t="str">
        <x:v>P1</x:v>
      </x:c>
    </x:row>
    <x:row r="140" ht="125" customHeight="1">
      <x:c r="A140" s="104" t="str">
        <x:v>GPS-04</x:v>
      </x:c>
      <x:c r="B140" s="104" t="str">
        <x:v>GPS module, timing and external antenna</x:v>
      </x:c>
      <x:c r="C140" s="104" t="str">
        <x:v>Cold/warm start logs, factory-default recovery and configuration persistence tests.</x:v>
      </x:c>
      <x:c r="D140" s="104" t="str">
        <x:v>Source probes115200/9600/38400/57600; switches baud before10Hz and requires ten consecutive100ms RMC epochs for configured state.</x:v>
      </x:c>
      <x:c r="E140" s="104" t="str">
        <x:v>Startup code contract vetted; no fictitious Rev B cold/warm logs.</x:v>
      </x:c>
      <x:c r="F140" s="104" t="str">
        <x:v>OPEN</x:v>
      </x:c>
      <x:c r="G140" s="104" t="str">
        <x:v>OPEN</x:v>
      </x:c>
      <x:c r="H140" s="104" t="str">
        <x:v>OPEN</x:v>
      </x:c>
      <x:c r="I140" s="104" t="str">
        <x:v>Direct native pad/track/via/filled-copper inspection and source-bound calculation; exact supporting document/code checked where referenced.</x:v>
      </x:c>
      <x:c r="J140" s="104" t="str">
        <x:v>U401.9/10
U201.10/11
GPS UART</x:v>
      </x:c>
      <x:c r="K140" s="104" t="str">
        <x:v>firmware/productization_candidate/cca_telemetry/cca_telemetry.ino — GPS_PROBE_BAUDS; GpsState; g_gps10HzIntervals
audit/board_vetting_20260908/rf_ground/GROUND_AND_RF_DISPOSITION.md — Direct copper and RF vetting / actual source deltas
firmware/productization_candidate/cca_telemetry/cca_telemetry.ino — GPS_PROBE_BAUDS; GpsState; PMTK_115200; g_gps10HzIntervals
qualification/productization/FIRMWARE_PRODUCT_REVIEW.md — 115200 stream and10Hz corrections</x:v>
      </x:c>
      <x:c r="L140" s="104" t="str">
        <x:v>Run exact module cold/warm/retained baud and interruption recovery cases.</x:v>
      </x:c>
      <x:c r="M140" s="104" t="str">
        <x:v>YES</x:v>
      </x:c>
      <x:c r="N140" s="104" t="str">
        <x:v>YES</x:v>
      </x:c>
      <x:c r="O140" s="104" t="str">
        <x:v>P1</x:v>
      </x:c>
    </x:row>
    <x:row r="141" ht="125" customHeight="1">
      <x:c r="A141" s="104" t="str">
        <x:v>GPS-05</x:v>
      </x:c>
      <x:c r="B141" s="104" t="str">
        <x:v>GPS module, timing and external antenna</x:v>
      </x:c>
      <x:c r="C141" s="104" t="str">
        <x:v>Byte-rate budget with framing overhead, buffer margins and measured worst burst.</x:v>
      </x:c>
      <x:c r="D141" s="104" t="str">
        <x:v>Pinned Arduino3.3.6 RX queue is256B. Conservative RMC+GGA3180B/s is27.6% of115200/8N1 capacity; queue gives22.22ms wire-rate backlog.</x:v>
      </x:c>
      <x:c r="E141" s="104" t="str">
        <x:v>Previously unknown pinned UART allocation is now verified; actual burst/service-latency criterion quantified.</x:v>
      </x:c>
      <x:c r="F141" s="104" t="str">
        <x:v>CALCULATED</x:v>
      </x:c>
      <x:c r="G141" s="104" t="str">
        <x:v>OPEN</x:v>
      </x:c>
      <x:c r="H141" s="104" t="str">
        <x:v>OPEN</x:v>
      </x:c>
      <x:c r="I141" s="104" t="str">
        <x:v>Direct native pad/track/via/filled-copper inspection and source-bound calculation; exact supporting document/code checked where referenced.</x:v>
      </x:c>
      <x:c r="J141" s="104" t="str">
        <x:v>UART GPS GPIO18/17
U401
U201</x:v>
      </x:c>
      <x:c r="K141" s="104" t="str">
        <x:v>audit/board_vetting_20260908/rf_ground/GPS_UART_BUFFER_VETTING.json — rx_buffer_default_bytes; default_buffer_wire_full_rate_backlog_ms
audit/board_vetting_20260908/rf_ground/GROUND_AND_RF_DISPOSITION.md — Direct copper and RF vetting / actual source deltas
firmware/productization_candidate/cca_telemetry/cca_telemetry.ino — PMTK_RMC_GGA_ONLY; g_gpsLine[160]; pollGPS processed&lt;512
qualification/productization/FIRMWARE_PRODUCT_REVIEW.md — host tests not device execution</x:v>
      </x:c>
      <x:c r="L141" s="104" t="str">
        <x:v>Measure maximum UART burst and worst concurrent service stall;256B is not itself no-overflow proof.</x:v>
      </x:c>
      <x:c r="M141" s="104" t="str">
        <x:v>YES</x:v>
      </x:c>
      <x:c r="N141" s="104" t="str">
        <x:v>YES</x:v>
      </x:c>
      <x:c r="O141" s="104" t="str">
        <x:v>P1</x:v>
      </x:c>
    </x:row>
    <x:row r="142" ht="125" customHeight="1">
      <x:c r="A142" s="104" t="str">
        <x:v>GPS-06</x:v>
      </x:c>
      <x:c r="B142" s="104" t="str">
        <x:v>GPS module, timing and external antenna</x:v>
      </x:c>
      <x:c r="C142" s="104" t="str">
        <x:v>Exact-module mode compatibility table and verified configuration response.</x:v>
      </x:c>
      <x:c r="D142" s="104" t="str">
        <x:v>Selected hardware is PA1616D; source requests10Hz, with no claim of SBAS-at10Hz. Incoming module firmware identity/capability response not captured.</x:v>
      </x:c>
      <x:c r="E142" s="104" t="str">
        <x:v>Circuit/module identity vetted; command transmission is not capability acknowledgement.</x:v>
      </x:c>
      <x:c r="F142" s="104" t="str">
        <x:v>OPEN</x:v>
      </x:c>
      <x:c r="G142" s="104" t="str">
        <x:v>OPEN</x:v>
      </x:c>
      <x:c r="H142" s="104" t="str">
        <x:v>OPEN</x:v>
      </x:c>
      <x:c r="I142" s="104" t="str">
        <x:v>Direct native pad/track/via/filled-copper inspection and source-bound calculation; exact supporting document/code checked where referenced.</x:v>
      </x:c>
      <x:c r="J142" s="104" t="str">
        <x:v>U401 PA1616D</x:v>
      </x:c>
      <x:c r="K142" s="104" t="str">
        <x:v>qualification/GPS_REVIEW.md — Frozen firmware; no SBAS-at10Hz claim
audit/board_vetting_20260908/rf_ground/GROUND_AND_RF_DISPOSITION.md — Direct copper and RF vetting / actual source deltas
qualification/GPS_REVIEW.md — Frozen firmware; no SBAS operation claimed at10Hz
firmware/productization_candidate/cca_telemetry/cca_telemetry.ino — PMTK314; PMTK220 and ACK handling</x:v>
      </x:c>
      <x:c r="L142" s="104" t="str">
        <x:v>Record exact firmware/mode response and supported constellation/SBAS10Hz combination.</x:v>
      </x:c>
      <x:c r="M142" s="104" t="str">
        <x:v>NO</x:v>
      </x:c>
      <x:c r="N142" s="104" t="str">
        <x:v>YES</x:v>
      </x:c>
      <x:c r="O142" s="104" t="str">
        <x:v>P1</x:v>
      </x:c>
    </x:row>
    <x:row r="143" ht="125" customHeight="1">
      <x:c r="A143" s="104" t="str">
        <x:v>GPS-07</x:v>
      </x:c>
      <x:c r="B143" s="104" t="str">
        <x:v>GPS module, timing and external antenna</x:v>
      </x:c>
      <x:c r="C143" s="104" t="str">
        <x:v>PPS edge/latency/polarity documentation and hardware/firmware timestamp correlation.</x:v>
      </x:c>
      <x:c r="D143" s="104" t="str">
        <x:v>PPS physical path reachesGPIO16 through buffer; source captures rising edges/1Hz freshness without speculative PPS-to-UTC phase correction.</x:v>
      </x:c>
      <x:c r="E143" s="104" t="str">
        <x:v>Correct timing path established; no unsupported timestamp precision claimed.</x:v>
      </x:c>
      <x:c r="F143" s="104" t="str">
        <x:v>OPEN</x:v>
      </x:c>
      <x:c r="G143" s="104" t="str">
        <x:v>OPEN</x:v>
      </x:c>
      <x:c r="H143" s="104" t="str">
        <x:v>OPEN</x:v>
      </x:c>
      <x:c r="I143" s="104" t="str">
        <x:v>Direct native pad/track/via/filled-copper inspection and source-bound calculation; exact supporting document/code checked where referenced.</x:v>
      </x:c>
      <x:c r="J143" s="104" t="str">
        <x:v>U401.13
U402
R403
U201.9</x:v>
      </x:c>
      <x:c r="K143" s="104" t="str">
        <x:v>firmware/productization_candidate/cca_telemetry/cca_telemetry.ino — onGpsPps; g_ppsLocked
audit/board_vetting_20260908/rf_ground/GROUND_AND_RF_DISPOSITION.md — Direct copper and RF vetting / actual source deltas
firmware/productization_candidate/cca_telemetry/cca_telemetry.ino — onGpsPps; g_ppsLocked; no speculative latency/PPS extrapolation
qualification/productization/FIRMWARE_PRODUCT_REVIEW.md — PPS remains captured; no speculative correction</x:v>
      </x:c>
      <x:c r="L143" s="104" t="str">
        <x:v>Capture PPS voltage/polarity/width and simultaneous UART epoch/interrupt correlation.</x:v>
      </x:c>
      <x:c r="M143" s="104" t="str">
        <x:v>YES</x:v>
      </x:c>
      <x:c r="N143" s="104" t="str">
        <x:v>YES</x:v>
      </x:c>
      <x:c r="O143" s="104" t="str">
        <x:v>P1</x:v>
      </x:c>
    </x:row>
    <x:row r="144" ht="125" customHeight="1">
      <x:c r="A144" s="104" t="str">
        <x:v>GPS-08</x:v>
      </x:c>
      <x:c r="B144" s="104" t="str">
        <x:v>GPS module, timing and external antenna</x:v>
      </x:c>
      <x:c r="C144" s="104" t="str">
        <x:v>Parser test vectors and field results do not reuse stale data as a valid fresh fix.</x:v>
      </x:c>
      <x:c r="D144" s="104" t="str">
        <x:v>Current2.1.1 parser validates checksum and malformed numeric/time fields;500ms fresh-RMC logic invalidates stale fixes. Host tests cover corrected cases.</x:v>
      </x:c>
      <x:c r="E144" s="104" t="str">
        <x:v>Implemented/tested freshness and parsing source vetted; field results remain absent.</x:v>
      </x:c>
      <x:c r="F144" s="104" t="str">
        <x:v>OPEN</x:v>
      </x:c>
      <x:c r="G144" s="104" t="str">
        <x:v>OPEN</x:v>
      </x:c>
      <x:c r="H144" s="104" t="str">
        <x:v>OPEN</x:v>
      </x:c>
      <x:c r="I144" s="104" t="str">
        <x:v>Direct native pad/track/via/filled-copper inspection and source-bound calculation; exact supporting document/code checked where referenced.</x:v>
      </x:c>
      <x:c r="J144" s="104" t="str">
        <x:v>GPS UART
U201 firmware2.1.1</x:v>
      </x:c>
      <x:c r="K144" s="104" t="str">
        <x:v>firmware/productization_candidate/cca_telemetry/cca_telemetry.ino — GPS parser and freshness source; ERB firmware tests
audit/board_vetting_20260908/rf_ground/GROUND_AND_RF_DISPOSITION.md — Direct copper and RF vetting / actual source deltas
qualification/productization/FIRMWARE_PRODUCT_REVIEW.md — stale RMC correction;11,407 assertions; phone acceptance
firmware/productization_candidate/cca_telemetry/src/gps_nmea.cpp — nmeaChecksumOk; parseRmcSentence; coordinate checks</x:v>
      </x:c>
      <x:c r="L144" s="104" t="str">
        <x:v>Actual GPS/phone antenna loss, stale/invalid and reconnect behavior must be observed.</x:v>
      </x:c>
      <x:c r="M144" s="104" t="str">
        <x:v>YES</x:v>
      </x:c>
      <x:c r="N144" s="104" t="str">
        <x:v>YES</x:v>
      </x:c>
      <x:c r="O144" s="104" t="str">
        <x:v>P1</x:v>
      </x:c>
    </x:row>
    <x:row r="145" ht="125" customHeight="1">
      <x:c r="A145" s="104" t="str">
        <x:v>GPS-09</x:v>
      </x:c>
      <x:c r="B145" s="104" t="str">
        <x:v>GPS module, timing and external antenna</x:v>
      </x:c>
      <x:c r="C145" s="104" t="str">
        <x:v>Antenna and PA1616D specifications reconciled, with open/short and plug/unplug behavior checked.</x:v>
      </x:c>
      <x:c r="D145" s="104" t="str">
        <x:v>U401 supplies bias throughR406 toJ401; contract is nominal3.3V active antenna4..25mA. Exact antenna/pigtail not selected.</x:v>
      </x:c>
      <x:c r="E145" s="104" t="str">
        <x:v>Board DC topology is known; an unspecified accessory cannot be qualified.</x:v>
      </x:c>
      <x:c r="F145" s="104" t="str">
        <x:v>OPEN</x:v>
      </x:c>
      <x:c r="G145" s="104" t="str">
        <x:v>OPEN</x:v>
      </x:c>
      <x:c r="H145" s="104" t="str">
        <x:v>OPEN</x:v>
      </x:c>
      <x:c r="I145" s="104" t="str">
        <x:v>Direct native pad/track/via/filled-copper inspection and source-bound calculation; exact supporting document/code checked where referenced.</x:v>
      </x:c>
      <x:c r="J145" s="104" t="str">
        <x:v>U401.11
R406
J401.1</x:v>
      </x:c>
      <x:c r="K145" s="104" t="str">
        <x:v>qualification/GPS_REVIEW.md — Populated external active antenna interface
audit/board_vetting_20260908/rf_ground/GROUND_AND_RF_DISPOSITION.md — Direct copper and RF vetting / actual source deltas
qualification/GPS_REVIEW.md — Populated external active antenna interface
qualification/productization/GPS_EXTERNAL_PROPOSAL.md — external accessory scope</x:v>
      </x:c>
      <x:c r="L145" s="104" t="str">
        <x:v>Select exact accessory, reconcile startup/bias limits and verify open/short/insertion recovery.</x:v>
      </x:c>
      <x:c r="M145" s="104" t="str">
        <x:v>NO</x:v>
      </x:c>
      <x:c r="N145" s="104" t="str">
        <x:v>YES</x:v>
      </x:c>
      <x:c r="O145" s="104" t="str">
        <x:v>P0</x:v>
      </x:c>
    </x:row>
    <x:row r="146" ht="125" customHeight="1">
      <x:c r="A146" s="104" t="str">
        <x:v>GPS-10</x:v>
      </x:c>
      <x:c r="B146" s="104" t="str">
        <x:v>GPS module, timing and external antenna</x:v>
      </x:c>
      <x:c r="C146" s="104" t="str">
        <x:v>Calculated stackup/launch layout and exact RF protection part review.</x:v>
      </x:c>
      <x:c r="D146" s="104" t="str">
        <x:v>RF10.331mm,0.34mm width, one via, no unused tee and adjacent reference retained. D402 shunt0.42pF is typical; acute pad turn is actual unmodeled discontinuity.</x:v>
      </x:c>
      <x:c r="E146" s="104" t="str">
        <x:v>Meets nominal topology; complete loss/match and exact process bounds not established.</x:v>
      </x:c>
      <x:c r="F146" s="104" t="str">
        <x:v>OPEN</x:v>
      </x:c>
      <x:c r="G146" s="104" t="str">
        <x:v>OPEN</x:v>
      </x:c>
      <x:c r="H146" s="104" t="str">
        <x:v>OPEN</x:v>
      </x:c>
      <x:c r="I146" s="104" t="str">
        <x:v>Direct native pad/track/via/filled-copper inspection and source-bound calculation; exact supporting document/code checked where referenced.</x:v>
      </x:c>
      <x:c r="J146" s="104" t="str">
        <x:v>J401
D402
R406
U401.11</x:v>
      </x:c>
      <x:c r="K146" s="104" t="str">
        <x:v>audit/board_vetting_20260908/rf_ground/GEOMETRY_EVIDENCE.json — rf_tracks_vias; critical_reference_summary
audit/board_vetting_20260908/rf_ground/GROUND_AND_RF_DISPOSITION.md — Direct copper and RF vetting / actual source deltas
audit/erb_20260907/lanes/rf_ground_geometry.json — rf routes and sampled reference
audit/productization/pcb/gps/RF_GEOMETRY_ESTIMATE.json — ideal_ESD_typical_capacitance_only; limits</x:v>
      </x:c>
      <x:c r="L146" s="104" t="str">
        <x:v>Disposition RF corner, launch/via/ESD capacitance and actual fabricated feed/antenna.</x:v>
      </x:c>
      <x:c r="M146" s="104" t="str">
        <x:v>NO</x:v>
      </x:c>
      <x:c r="N146" s="104" t="str">
        <x:v>YES</x:v>
      </x:c>
      <x:c r="O146" s="104" t="str">
        <x:v>P1</x:v>
      </x:c>
    </x:row>
    <x:row r="147" ht="125" customHeight="1">
      <x:c r="A147" s="104" t="str">
        <x:v>GPS-11</x:v>
      </x:c>
      <x:c r="B147" s="104" t="str">
        <x:v>GPS module, timing and external antenna</x:v>
      </x:c>
      <x:c r="C147" s="104" t="str">
        <x:v>Complete DC/RF circuit proves antenna power remains available without harmful back-feed.</x:v>
      </x:c>
      <x:c r="D147" s="104" t="str">
        <x:v>U401.11→fittedR4060ohm→J401.1 preserves DC bias; D402 shunts toGND. No added DC block, RF switch or second bias supply.</x:v>
      </x:c>
      <x:c r="E147" s="104" t="str">
        <x:v>Actual DC/RF topology has no introduced bias interruption/backfeed source.</x:v>
      </x:c>
      <x:c r="F147" s="104" t="str">
        <x:v>VERIFIED</x:v>
      </x:c>
      <x:c r="G147" s="104" t="str">
        <x:v>CLOSED</x:v>
      </x:c>
      <x:c r="H147" s="104" t="str">
        <x:v>CLOSED</x:v>
      </x:c>
      <x:c r="I147" s="104" t="str">
        <x:v>Direct native pad/track/via/filled-copper inspection and source-bound calculation; exact supporting document/code checked where referenced.</x:v>
      </x:c>
      <x:c r="J147" s="104" t="str">
        <x:v>U401.11
R406.1/2
J401.1
D402.1/2</x:v>
      </x:c>
      <x:c r="K147" s="104" t="str">
        <x:v>audit/productization/manufacturing/final_board_review/recheck_f23c/inventory/NATIVE_BOARD_UPDATE_INVENTORY.json — existing_placements.U401/R406/J401/D402
audit/board_vetting_20260908/rf_ground/GROUND_AND_RF_DISPOSITION.md — Direct copper and RF vetting / actual source deltas
audit/productization/manufacturing/final_board_review/recheck_f23c/inventory/NATIVE_BOARD_UPDATE_INVENTORY.json — existing_placements.U401/R406/J401/D402
qualification/GPS_REVIEW.md — no second bias source, DC-block capacitor or separate RF switch</x:v>
      </x:c>
      <x:c r="L147" s="104" t="str">
        <x:v>Measure bias under actual accessory startup/short; topology does not establish module current-limit performance.</x:v>
      </x:c>
      <x:c r="M147" s="104" t="str">
        <x:v>YES</x:v>
      </x:c>
      <x:c r="N147" s="104" t="str">
        <x:v>NO</x:v>
      </x:c>
      <x:c r="O147" s="104" t="str">
        <x:v>P0</x:v>
      </x:c>
    </x:row>
    <x:row r="148" ht="125" customHeight="1">
      <x:c r="A148" s="104" t="str">
        <x:v>GPS-12</x:v>
      </x:c>
      <x:c r="B148" s="104" t="str">
        <x:v>GPS module, timing and external antenna</x:v>
      </x:c>
      <x:c r="C148" s="104" t="str">
        <x:v>Link/noise budget and representative internal-versus-external outdoor comparison.</x:v>
      </x:c>
      <x:c r="D148" s="104" t="str">
        <x:v>Module, RF feed and placement are known; external antenna gain/noise and cable loss/length remain unspecified.</x:v>
      </x:c>
      <x:c r="E148" s="104" t="str">
        <x:v>Board-source checks cannot invent external receive/noise budget inputs.</x:v>
      </x:c>
      <x:c r="F148" s="104" t="str">
        <x:v>OPEN</x:v>
      </x:c>
      <x:c r="G148" s="104" t="str">
        <x:v>OPEN</x:v>
      </x:c>
      <x:c r="H148" s="104" t="str">
        <x:v>OPEN</x:v>
      </x:c>
      <x:c r="I148" s="104" t="str">
        <x:v>Direct native pad/track/via/filled-copper inspection and source-bound calculation; exact supporting document/code checked where referenced.</x:v>
      </x:c>
      <x:c r="J148" s="104" t="str">
        <x:v>U401
J401
external antenna accessory</x:v>
      </x:c>
      <x:c r="K148" s="104" t="str">
        <x:v>qualification/GPS_REVIEW.md — External active antenna scope
audit/board_vetting_20260908/rf_ground/GROUND_AND_RF_DISPOSITION.md — Direct copper and RF vetting / actual source deltas
qualification/GPS_REVIEW.md — no exact antenna/cable accessory model qualified
ASSUMPTIONS.md — external antenna and installation assumptions</x:v>
      </x:c>
      <x:c r="L148" s="104" t="str">
        <x:v>Select accessory/cable/placement and run internal-versus-external outdoor reception comparison.</x:v>
      </x:c>
      <x:c r="M148" s="104" t="str">
        <x:v>NO</x:v>
      </x:c>
      <x:c r="N148" s="104" t="str">
        <x:v>YES</x:v>
      </x:c>
      <x:c r="O148" s="104" t="str">
        <x:v>P1</x:v>
      </x:c>
    </x:row>
    <x:row r="149" ht="125" customHeight="1">
      <x:c r="A149" s="104" t="str">
        <x:v>GPS-13</x:v>
      </x:c>
      <x:c r="B149" s="104" t="str">
        <x:v>GPS module, timing and external antenna</x:v>
      </x:c>
      <x:c r="C149" s="104" t="str">
        <x:v>Acquisition, C/N0, fix stability and timing results with aggressors off/on.</x:v>
      </x:c>
      <x:c r="D149" s="104" t="str">
        <x:v>U403 dedicated GPS LDO and module decoupling are placed; manufacturer requires&lt;50mVpp rail ripple. Source zoning/reference vetted.</x:v>
      </x:c>
      <x:c r="E149" s="104" t="str">
        <x:v>Actual rail/noise/aggressor paths identified; no physical acquisition/CN0/ripple evidence claimed.</x:v>
      </x:c>
      <x:c r="F149" s="104" t="str">
        <x:v>OPEN</x:v>
      </x:c>
      <x:c r="G149" s="104" t="str">
        <x:v>OPEN</x:v>
      </x:c>
      <x:c r="H149" s="104" t="str">
        <x:v>OPEN</x:v>
      </x:c>
      <x:c r="I149" s="104" t="str">
        <x:v>Direct native pad/track/via/filled-copper inspection and source-bound calculation; exact supporting document/code checked where referenced.</x:v>
      </x:c>
      <x:c r="J149" s="104" t="str">
        <x:v>U403
C402
U401
GPS_3V3</x:v>
      </x:c>
      <x:c r="K149" s="104" t="str">
        <x:v>qualification/GPS_REVIEW.md — GPS supply and physical acceptance
audit/board_vetting_20260908/rf_ground/GROUND_AND_RF_DISPOSITION.md — Direct copper and RF vetting / actual source deltas
qualification/GPS_REVIEW.md — GPS supply and physical acceptance
BRING_UP_PLAN.md — GPS step1 and integrated qualification</x:v>
      </x:c>
      <x:c r="L149" s="104" t="str">
        <x:v>Measure pad-level ripple and GNSS performance with converters/BLE/CAN active in final enclosure.</x:v>
      </x:c>
      <x:c r="M149" s="104" t="str">
        <x:v>YES</x:v>
      </x:c>
      <x:c r="N149" s="104" t="str">
        <x:v>YES</x:v>
      </x:c>
      <x:c r="O149" s="104" t="str">
        <x:v>P1</x:v>
      </x:c>
    </x:row>
    <x:row r="150" ht="125" customHeight="1">
      <x:c r="A150" s="104" t="str">
        <x:v>GPS-14</x:v>
      </x:c>
      <x:c r="B150" s="104" t="str">
        <x:v>GPS module, timing and external antenna</x:v>
      </x:c>
      <x:c r="C150" s="104" t="str">
        <x:v>Exact connector/cable drawings and retention/service procedure avoid using the PCB socket as a strain anchor.</x:v>
      </x:c>
      <x:c r="D150" s="104" t="str">
        <x:v>J401 is bottom U.FL with qualified socket geometry and local ground; PCB provides no frozen pigtail anchor or enclosure bend-radius feature.</x:v>
      </x:c>
      <x:c r="E150" s="104" t="str">
        <x:v>Exact socket placement known; strain relief is an actual unimplemented mechanical interface.</x:v>
      </x:c>
      <x:c r="F150" s="104" t="str">
        <x:v>OPEN</x:v>
      </x:c>
      <x:c r="G150" s="104" t="str">
        <x:v>OPEN</x:v>
      </x:c>
      <x:c r="H150" s="104" t="str">
        <x:v>OPEN</x:v>
      </x:c>
      <x:c r="I150" s="104" t="str">
        <x:v>Direct native pad/track/via/filled-copper inspection and source-bound calculation; exact supporting document/code checked where referenced.</x:v>
      </x:c>
      <x:c r="J150" s="104" t="str">
        <x:v>J401 bottom@(65.3,8.8)
U.FL coax</x:v>
      </x:c>
      <x:c r="K150" s="104" t="str">
        <x:v>audit/productization/manufacturing/final_board_review/recheck_f23c/inventory/NATIVE_BOARD_UPDATE_INVENTORY.json — existing_placements.J401
audit/board_vetting_20260908/rf_ground/GROUND_AND_RF_DISPOSITION.md — Direct copper and RF vetting / actual source deltas
audit/productization/manufacturing/final_board_review/recheck_f23c/inventory/NATIVE_BOARD_UPDATE_INVENTORY.json — existing_placements.J401 position/side
qualification/GPS_REVIEW.md — actual mating and strain relief remain OPEN</x:v>
      </x:c>
      <x:c r="L150" s="104" t="str">
        <x:v>Select coax/pigtail and anchor, verify bend/mating clearance and service procedure.</x:v>
      </x:c>
      <x:c r="M150" s="104" t="str">
        <x:v>NO</x:v>
      </x:c>
      <x:c r="N150" s="104" t="str">
        <x:v>YES</x:v>
      </x:c>
      <x:c r="O150" s="104" t="str">
        <x:v>P1</x:v>
      </x:c>
    </x:row>
    <x:row r="151" ht="125" customHeight="1">
      <x:c r="A151" s="104" t="str">
        <x:v>BLE-01</x:v>
      </x:c>
      <x:c r="B151" s="104" t="str">
        <x:v>BLE RF and application transport</x:v>
      </x:c>
      <x:c r="C151" s="104" t="str">
        <x:v>Manufacturer keepout overlaid in 2D and checked in the assembled 3D environment.</x:v>
      </x:c>
      <x:c r="D151" s="104" t="str">
        <x:v>U201 at(81.504766,23),−90degF.Cu; native all-Cu exclusion spans x88.254766…109.254766,y−1…47, beyond the board antenna edge.</x:v>
      </x:c>
      <x:c r="E151" s="104" t="str">
        <x:v>Actual keepout polygon/pin placement inspected; final metal/enclosure/harness absent.</x:v>
      </x:c>
      <x:c r="F151" s="104" t="str">
        <x:v>OPEN</x:v>
      </x:c>
      <x:c r="G151" s="104" t="str">
        <x:v>OPEN</x:v>
      </x:c>
      <x:c r="H151" s="104" t="str">
        <x:v>OPEN</x:v>
      </x:c>
      <x:c r="I151" s="104" t="str">
        <x:v>Direct native KiCad9.0.9 placed-pad/net/segment extraction plus exact current firmware source/datasheet comparison; source-derived calculation/host probe where explicitly stated. Existing unchanged build and nativeDRC evidence retained.</x:v>
      </x:c>
      <x:c r="J151" s="104" t="str">
        <x:v>{"ref":"U201","position_mm":[81.504766,23],"layer":"F.Cu","pins_nets":["1:GND","2:+3V3","3:ESP_EN","4:CAN_RX_MCU","5:CAN_TX_MCU","6:LED_BLE","27:ESP_GPIO0","36:UART0_RX","37:UART0_TX","38:OIL_EXCITATION_ADC","39:ADC_NODE"]}</x:v>
      </x:c>
      <x:c r="K151" s="104" t="str">
        <x:v>audit/board_vetting_20260908/lanes/DIGITAL_NATIVE_INSPECTION.json — objects.U201; tracks; esp_keepout
firmware/productization_candidate/cca_telemetry/cca_telemetry.ino — Hardware pins/setupImpl/initBle/loopImpl
audit/product_pcb/PRODUCT_PCB_CHECKS.json — ESP_all_copper_layer_antenna_keepout
audit/productization/PCB_VISUAL_REVIEW.json — scope and antennas
audit/board_vetting_20260908/lanes/DIGITAL_CAN_VETTING.md — BLE source-vetting explanation and explicit limits</x:v>
      </x:c>
      <x:c r="L151" s="104" t="str">
        <x:v>Assembled3D integration and installed antenna-clearance/range checks.</x:v>
      </x:c>
      <x:c r="M151" s="104" t="str">
        <x:v>YES</x:v>
      </x:c>
      <x:c r="N151" s="104" t="str">
        <x:v>YES</x:v>
      </x:c>
      <x:c r="O151" s="104" t="str">
        <x:v>P0</x:v>
      </x:c>
    </x:row>
    <x:row r="152" ht="155" customHeight="1">
      <x:c r="A152" s="104" t="str">
        <x:v>BLE-02</x:v>
      </x:c>
      <x:c r="B152" s="104" t="str">
        <x:v>BLE RF and application transport</x:v>
      </x:c>
      <x:c r="C152" s="104" t="str">
        <x:v>Separate RF ground and antenna-clearance reviews; no blanket pour or via fence through the antenna.</x:v>
      </x:c>
      <x:c r="D152" s="104" t="str">
        <x:v>U201 rule area excludes tracks,pads,vias,pours on F.Cu/In1.Cu/In2.Cu/B.Cu; native current DRC has no copper intrusion.</x:v>
      </x:c>
      <x:c r="E152" s="104" t="str">
        <x:v>No blanket via fence crosses antenna exclusion; this verdict is limited to prohibited region correctness.</x:v>
      </x:c>
      <x:c r="F152" s="104" t="str">
        <x:v>VERIFIED</x:v>
      </x:c>
      <x:c r="G152" s="104" t="str">
        <x:v>CLOSED</x:v>
      </x:c>
      <x:c r="H152" s="104" t="str">
        <x:v>CLOSED</x:v>
      </x:c>
      <x:c r="I152" s="104" t="str">
        <x:v>Direct native KiCad9.0.9 placed-pad/net/segment extraction plus exact current firmware source/datasheet comparison; source-derived calculation/host probe where explicitly stated. Existing unchanged build and nativeDRC evidence retained.</x:v>
      </x:c>
      <x:c r="J152" s="104" t="str">
        <x:v>{"ref":"U201","position_mm":[81.504766,23],"layer":"F.Cu","pins_nets":["1:GND","2:+3V3","3:ESP_EN","4:CAN_RX_MCU","5:CAN_TX_MCU","6:LED_BLE","27:ESP_GPIO0","36:UART0_RX","37:UART0_TX","38:OIL_EXCITATION_ADC","39:ADC_NODE"]}</x:v>
      </x:c>
      <x:c r="K152" s="104" t="str">
        <x:v>audit/board_vetting_20260908/lanes/DIGITAL_NATIVE_INSPECTION.json — objects.U201; tracks; esp_keepout
firmware/productization_candidate/cca_telemetry/cca_telemetry.ino — Hardware pins/setupImpl/initBle/loopImpl
audit/product_pcb/PRODUCT_PCB_CHECKS.json — ESP_all_copper_layer_antenna_keepout; reference plane geometry checks
audit/productization/PCB_VISUAL_REVIEW.json — ground_returns and antennas; current PCB SHA
audit/board_vetting_20260908/lanes/DIGITAL_CAN_VETTING.md — BLE source-vetting explanation and explicit limits
audit/board_vetting_20260908/lanes/rf_ground.json — GND-01 connected GND geometry; VIA-01/02 via connection inventory; distinguish separate installed RF acceptance</x:v>
      </x:c>
      <x:c r="L152" s="104" t="str">
        <x:v>Broader return/stitching sufficiency belongs to GND/VIA review; enclosure remainsBLE01.</x:v>
      </x:c>
      <x:c r="M152" s="104" t="str">
        <x:v>YES</x:v>
      </x:c>
      <x:c r="N152" s="104" t="str">
        <x:v>NO</x:v>
      </x:c>
      <x:c r="O152" s="104" t="str">
        <x:v>P1</x:v>
      </x:c>
    </x:row>
    <x:row r="153" ht="125" customHeight="1">
      <x:c r="A153" s="104" t="str">
        <x:v>BLE-03</x:v>
      </x:c>
      <x:c r="B153" s="104" t="str">
        <x:v>BLE RF and application transport</x:v>
      </x:c>
      <x:c r="C153" s="104" t="str">
        <x:v>Final-orientation range/throughput and self-interference tests.</x:v>
      </x:c>
      <x:c r="D153" s="104" t="str">
        <x:v>Antenna projects beyond right board edge; regulators/GPS occupy separate areas. Native positions establish geometry only.</x:v>
      </x:c>
      <x:c r="E153" s="104" t="str">
        <x:v>No installed range or self-interference measurements exist.</x:v>
      </x:c>
      <x:c r="F153" s="104" t="str">
        <x:v>OPEN</x:v>
      </x:c>
      <x:c r="G153" s="104" t="str">
        <x:v>OPEN</x:v>
      </x:c>
      <x:c r="H153" s="104" t="str">
        <x:v>OPEN</x:v>
      </x:c>
      <x:c r="I153" s="104" t="str">
        <x:v>Direct native KiCad9.0.9 placed-pad/net/segment extraction plus exact current firmware source/datasheet comparison; source-derived calculation/host probe where explicitly stated. Existing unchanged build and nativeDRC evidence retained.</x:v>
      </x:c>
      <x:c r="J153" s="104" t="str">
        <x:v>{"ref":"U201","position_mm":[81.504766,23],"layer":"F.Cu","pins_nets":["1:GND","2:+3V3","3:ESP_EN","4:CAN_RX_MCU","5:CAN_TX_MCU","6:LED_BLE","27:ESP_GPIO0","36:UART0_RX","37:UART0_TX","38:OIL_EXCITATION_ADC","39:ADC_NODE"]}</x:v>
      </x:c>
      <x:c r="K153" s="104" t="str">
        <x:v>audit/board_vetting_20260908/lanes/DIGITAL_NATIVE_INSPECTION.json — objects.U201; tracks; esp_keepout
firmware/productization_candidate/cca_telemetry/cca_telemetry.ino — Hardware pins/setupImpl/initBle/loopImpl
BRING_UP_PLAN.md — section5 integrated environmental/vehicle gate
STATUS.md — physical RF/environment open
audit/board_vetting_20260908/lanes/DIGITAL_CAN_VETTING.md — BLE source-vetting explanation and explicit limits</x:v>
      </x:c>
      <x:c r="L153" s="104" t="str">
        <x:v>Final orientation metal,harness,vehicle structure and simultaneous GPS/power/BLE measurements.</x:v>
      </x:c>
      <x:c r="M153" s="104" t="str">
        <x:v>YES</x:v>
      </x:c>
      <x:c r="N153" s="104" t="str">
        <x:v>YES</x:v>
      </x:c>
      <x:c r="O153" s="104" t="str">
        <x:v>P1</x:v>
      </x:c>
    </x:row>
    <x:row r="154" ht="155" customHeight="1">
      <x:c r="A154" s="104" t="str">
        <x:v>BLE-04</x:v>
      </x:c>
      <x:c r="B154" s="104" t="str">
        <x:v>BLE RF and application transport</x:v>
      </x:c>
      <x:c r="C154" s="104" t="str">
        <x:v>End-to-end byte-rate budget includes protocol overhead and worst phone behavior.</x:v>
      </x:c>
      <x:c r="D154" s="104" t="str">
        <x:v>Configured shared budget120notifications/s with GPS11/s and nominaloil25/s+diag0.5/s leaves83.5CAN/s; exact refill body actually grants1249tokens/10s under1–10ms polling.</x:v>
      </x:c>
      <x:c r="E154" s="104" t="str">
        <x:v>New BV-DIG-03: integer truncation violates stated120/s ceiling. Per-channel simultaneous maximum/minimum rates remain undefined.</x:v>
      </x:c>
      <x:c r="F154" s="104" t="str">
        <x:v>OPEN</x:v>
      </x:c>
      <x:c r="G154" s="104" t="str">
        <x:v>OPEN</x:v>
      </x:c>
      <x:c r="H154" s="104" t="str">
        <x:v>OPEN</x:v>
      </x:c>
      <x:c r="I154" s="104" t="str">
        <x:v>Direct native KiCad9.0.9 placed-pad/net/segment extraction plus exact current firmware source/datasheet comparison; source-derived calculation/host probe where explicitly stated. Existing unchanged build and nativeDRC evidence retained.</x:v>
      </x:c>
      <x:c r="J154" s="104" t="str">
        <x:v>{"ref":"U201","position_mm":[81.504766,23],"layer":"F.Cu","pins_nets":["1:GND","2:+3V3","3:ESP_EN","4:CAN_RX_MCU","5:CAN_TX_MCU","6:LED_BLE","27:ESP_GPIO0","36:UART0_RX","37:UART0_TX","38:OIL_EXCITATION_ADC","39:ADC_NODE"]}</x:v>
      </x:c>
      <x:c r="K154" s="104" t="str">
        <x:v>audit/board_vetting_20260908/lanes/DIGITAL_NATIVE_INSPECTION.json — objects.U201; tracks; esp_keepout
firmware/productization_candidate/cca_telemetry/cca_telemetry.ino — Hardware pins/setupImpl/initBle/loopImpl
firmware/productization_candidate/cca_telemetry/cca_telemetry.ino — BLE_TOKEN_RATE_PER_SECOND; serviceOil; publishDiagnostics; serviceGpsNotifications
firmware/productization_candidate/cca_telemetry/pidmaps/gr86_2022.h — RULES rates
audit/board_vetting_20260908/lanes/BLE_TOKEN_BUDGET_PROBE.json — exact-body host counterexample
audit/board_vetting_20260908/lanes/DIGITAL_CAN_VETTING.md — BLE source-vetting explanation and explicit limits</x:v>
      </x:c>
      <x:c r="L154" s="104" t="str">
        <x:v>Repair fixed-point refill and freeze useful channel-rate budget; measure target-phone payload/connection throughput.</x:v>
      </x:c>
      <x:c r="M154" s="104" t="str">
        <x:v>YES</x:v>
      </x:c>
      <x:c r="N154" s="104" t="str">
        <x:v>YES</x:v>
      </x:c>
      <x:c r="O154" s="104" t="str">
        <x:v>P1</x:v>
      </x:c>
    </x:row>
    <x:row r="155" ht="155" customHeight="1">
      <x:c r="A155" s="104" t="str">
        <x:v>BLE-05</x:v>
      </x:c>
      <x:c r="B155" s="104" t="str">
        <x:v>BLE RF and application transport</x:v>
      </x:c>
      <x:c r="C155" s="104" t="str">
        <x:v>Queue policy, dropped-packet counters and congestion tests.</x:v>
      </x:c>
      <x:c r="D155" s="104" t="str">
        <x:v>160callback events,96coalescing slots,4CANsends/pass,100msnotifybackoff and500msCANfreshness. Event draining and synchronous diagnostics lack complete per-pass execution bounds.</x:v>
      </x:c>
      <x:c r="E155" s="104" t="str">
        <x:v>New precise refill counterexample; prior bounded storage is not bounded end-to-end execution.</x:v>
      </x:c>
      <x:c r="F155" s="104" t="str">
        <x:v>OPEN</x:v>
      </x:c>
      <x:c r="G155" s="104" t="str">
        <x:v>OPEN</x:v>
      </x:c>
      <x:c r="H155" s="104" t="str">
        <x:v>OPEN</x:v>
      </x:c>
      <x:c r="I155" s="104" t="str">
        <x:v>Direct native KiCad9.0.9 placed-pad/net/segment extraction plus exact current firmware source/datasheet comparison; source-derived calculation/host probe where explicitly stated. Existing unchanged build and nativeDRC evidence retained.</x:v>
      </x:c>
      <x:c r="J155" s="104" t="str">
        <x:v>{"ref":"U201","position_mm":[81.504766,23],"layer":"F.Cu","pins_nets":["1:GND","2:+3V3","3:ESP_EN","4:CAN_RX_MCU","5:CAN_TX_MCU","6:LED_BLE","27:ESP_GPIO0","36:UART0_RX","37:UART0_TX","38:OIL_EXCITATION_ADC","39:ADC_NODE"]}</x:v>
      </x:c>
      <x:c r="K155" s="104" t="str">
        <x:v>audit/board_vetting_20260908/lanes/DIGITAL_NATIVE_INSPECTION.json — objects.U201; tracks; esp_keepout
firmware/productization_candidate/cca_telemetry/cca_telemetry.ino — Hardware pins/setupImpl/initBle/loopImpl
firmware/productization_candidate/cca_telemetry/cca_telemetry.ino — queueBleEvent; serviceBleEvents; notifyCharacteristic; serviceCanForwarding
audit/erb_20260907/firmware_tests/can_cache_after.log — source-derived stale/fresh forwarding regression
audit/board_vetting_20260908/lanes/BLE_TOKEN_BUDGET_PROBE.json — exact-body host counterexample
audit/board_vetting_20260908/lanes/DIGITAL_CAN_VETTING.md — BLE source-vetting explanation and explicit limits</x:v>
      </x:c>
      <x:c r="L155" s="104" t="str">
        <x:v>Bound work per loop and execute concurrency/congestion/ordering/latency stress.</x:v>
      </x:c>
      <x:c r="M155" s="104" t="str">
        <x:v>YES</x:v>
      </x:c>
      <x:c r="N155" s="104" t="str">
        <x:v>YES</x:v>
      </x:c>
      <x:c r="O155" s="104" t="str">
        <x:v>P1</x:v>
      </x:c>
    </x:row>
    <x:row r="156" ht="125" customHeight="1">
      <x:c r="A156" s="104" t="str">
        <x:v>BLE-06</x:v>
      </x:c>
      <x:c r="B156" s="104" t="str">
        <x:v>BLE RF and application transport</x:v>
      </x:c>
      <x:c r="C156" s="104" t="str">
        <x:v>Repeatable recovery matrix with actual target phone and RaceChrono versions.</x:v>
      </x:c>
      <x:c r="D156" s="104" t="str">
        <x:v>Connect/disconnect/events own filter/cache transitions and advertising restart; no new static contradictory state path identified.</x:v>
      </x:c>
      <x:c r="E156" s="104" t="str">
        <x:v>Source structure inspected; actual phone/app recovery remains unexercised.</x:v>
      </x:c>
      <x:c r="F156" s="104" t="str">
        <x:v>OPEN</x:v>
      </x:c>
      <x:c r="G156" s="104" t="str">
        <x:v>OPEN</x:v>
      </x:c>
      <x:c r="H156" s="104" t="str">
        <x:v>OPEN</x:v>
      </x:c>
      <x:c r="I156" s="104" t="str">
        <x:v>Direct native KiCad9.0.9 placed-pad/net/segment extraction plus exact current firmware source/datasheet comparison; source-derived calculation/host probe where explicitly stated. Existing unchanged build and nativeDRC evidence retained.</x:v>
      </x:c>
      <x:c r="J156" s="104" t="str">
        <x:v>{"ref":"U201","position_mm":[81.504766,23],"layer":"F.Cu","pins_nets":["1:GND","2:+3V3","3:ESP_EN","4:CAN_RX_MCU","5:CAN_TX_MCU","6:LED_BLE","27:ESP_GPIO0","36:UART0_RX","37:UART0_TX","38:OIL_EXCITATION_ADC","39:ADC_NODE"]}</x:v>
      </x:c>
      <x:c r="K156" s="104" t="str">
        <x:v>audit/board_vetting_20260908/lanes/DIGITAL_NATIVE_INSPECTION.json — objects.U201; tracks; esp_keepout
firmware/productization_candidate/cca_telemetry/cca_telemetry.ino — Hardware pins/setupImpl/initBle/loopImpl
firmware/productization_candidate/cca_telemetry/cca_telemetry.ino — ServerCallbacks; startAdvertisingIfNeeded; serviceBleEvents
BRING_UP_PLAN.md — BLE/RaceChrono gate
audit/board_vetting_20260908/lanes/DIGITAL_CAN_VETTING.md — BLE source-vetting explanation and explicit limits</x:v>
      </x:c>
      <x:c r="L156" s="104" t="str">
        <x:v>Out-of-range,screen lock,Bluetooth restart,app pause/reconnect matrix.</x:v>
      </x:c>
      <x:c r="M156" s="104" t="str">
        <x:v>YES</x:v>
      </x:c>
      <x:c r="N156" s="104" t="str">
        <x:v>YES</x:v>
      </x:c>
      <x:c r="O156" s="104" t="str">
        <x:v>P1</x:v>
      </x:c>
    </x:row>
    <x:row r="157" ht="125" customHeight="1">
      <x:c r="A157" s="104" t="str">
        <x:v>BLE-07</x:v>
      </x:c>
      <x:c r="B157" s="104" t="str">
        <x:v>BLE RF and application transport</x:v>
      </x:c>
      <x:c r="C157" s="104" t="str">
        <x:v>Exact software baseline and reproducible connection tests; no unsupported claim of closure.</x:v>
      </x:c>
      <x:c r="D157" s="104" t="str">
        <x:v>initBle disables auth/pairing,removes obsolete bonds,uses standard1FF8service with write filter.</x:v>
      </x:c>
      <x:c r="E157" s="104" t="str">
        <x:v>Interoperability policy explicit; prior hardware reconnect history cannot prove new board/core behavior.</x:v>
      </x:c>
      <x:c r="F157" s="104" t="str">
        <x:v>OPEN</x:v>
      </x:c>
      <x:c r="G157" s="104" t="str">
        <x:v>OPEN</x:v>
      </x:c>
      <x:c r="H157" s="104" t="str">
        <x:v>OPEN</x:v>
      </x:c>
      <x:c r="I157" s="104" t="str">
        <x:v>Direct native KiCad9.0.9 placed-pad/net/segment extraction plus exact current firmware source/datasheet comparison; source-derived calculation/host probe where explicitly stated. Existing unchanged build and nativeDRC evidence retained.</x:v>
      </x:c>
      <x:c r="J157" s="104" t="str">
        <x:v>{"ref":"U201","position_mm":[81.504766,23],"layer":"F.Cu","pins_nets":["1:GND","2:+3V3","3:ESP_EN","4:CAN_RX_MCU","5:CAN_TX_MCU","6:LED_BLE","27:ESP_GPIO0","36:UART0_RX","37:UART0_TX","38:OIL_EXCITATION_ADC","39:ADC_NODE"]}</x:v>
      </x:c>
      <x:c r="K157" s="104" t="str">
        <x:v>audit/board_vetting_20260908/lanes/DIGITAL_NATIVE_INSPECTION.json — objects.U201; tracks; esp_keepout
firmware/productization_candidate/cca_telemetry/cca_telemetry.ino — Hardware pins/setupImpl/initBle/loopImpl
firmware/productization_candidate/cca_telemetry/cca_telemetry.ino — initBle security configuration and comments
qualification/productization/FIRMWARE_PRODUCT_REVIEW.md — candidate defects/physical evidence
audit/board_vetting_20260908/lanes/DIGITAL_CAN_VETTING.md — BLE source-vetting explanation and explicit limits</x:v>
      </x:c>
      <x:c r="L157" s="104" t="str">
        <x:v>Exact target phone/RaceChrono regression evidence.</x:v>
      </x:c>
      <x:c r="M157" s="104" t="str">
        <x:v>YES</x:v>
      </x:c>
      <x:c r="N157" s="104" t="str">
        <x:v>YES</x:v>
      </x:c>
      <x:c r="O157" s="104" t="str">
        <x:v>P1</x:v>
      </x:c>
    </x:row>
    <x:row r="158" ht="125" customHeight="1">
      <x:c r="A158" s="104" t="str">
        <x:v>BLE-08</x:v>
      </x:c>
      <x:c r="B158" s="104" t="str">
        <x:v>BLE RF and application transport</x:v>
      </x:c>
      <x:c r="C158" s="104" t="str">
        <x:v>Scope captures at ESP supply and EN while advertising, connecting and streaming.</x:v>
      </x:c>
      <x:c r="D158" s="104" t="str">
        <x:v>Source configures3dBm; actual EN is modulepad3 with10k/1uF and local3V3 decoupling.</x:v>
      </x:c>
      <x:c r="E158" s="104" t="str">
        <x:v>Native rail/reset topology is valid intent; no radio-burst droop measurement.</x:v>
      </x:c>
      <x:c r="F158" s="104" t="str">
        <x:v>OPEN</x:v>
      </x:c>
      <x:c r="G158" s="104" t="str">
        <x:v>OPEN</x:v>
      </x:c>
      <x:c r="H158" s="104" t="str">
        <x:v>OPEN</x:v>
      </x:c>
      <x:c r="I158" s="104" t="str">
        <x:v>Direct native KiCad9.0.9 placed-pad/net/segment extraction plus exact current firmware source/datasheet comparison; source-derived calculation/host probe where explicitly stated. Existing unchanged build and nativeDRC evidence retained.</x:v>
      </x:c>
      <x:c r="J158" s="104" t="str">
        <x:v>{"ref":"U201","position_mm":[81.504766,23],"layer":"F.Cu","pins_nets":["1:GND","2:+3V3","3:ESP_EN","4:CAN_RX_MCU","5:CAN_TX_MCU","6:LED_BLE","27:ESP_GPIO0","36:UART0_RX","37:UART0_TX","38:OIL_EXCITATION_ADC","39:ADC_NODE"]}</x:v>
      </x:c>
      <x:c r="K158" s="104" t="str">
        <x:v>audit/board_vetting_20260908/lanes/DIGITAL_NATIVE_INSPECTION.json — objects.U201; tracks; esp_keepout
firmware/productization_candidate/cca_telemetry/cca_telemetry.ino — Hardware pins/setupImpl/initBle/loopImpl
firmware/productization_candidate/cca_telemetry/cca_telemetry.ino — initBle setPower; setupImpl boot diagnostics
BRING_UP_PLAN.md — MCU/reset and integrated gates
audit/board_vetting_20260908/lanes/DIGITAL_CAN_VETTING.md — BLE source-vetting explanation and explicit limits</x:v>
      </x:c>
      <x:c r="L158" s="104" t="str">
        <x:v>Scope module3V3 and EN during advertising/connect/stream/load steps.</x:v>
      </x:c>
      <x:c r="M158" s="104" t="str">
        <x:v>YES</x:v>
      </x:c>
      <x:c r="N158" s="104" t="str">
        <x:v>YES</x:v>
      </x:c>
      <x:c r="O158" s="104" t="str">
        <x:v>P1</x:v>
      </x:c>
    </x:row>
    <x:row r="159" ht="125" customHeight="1">
      <x:c r="A159" s="104" t="str">
        <x:v>BLE-09</x:v>
      </x:c>
      <x:c r="B159" s="104" t="str">
        <x:v>BLE RF and application transport</x:v>
      </x:c>
      <x:c r="C159" s="104" t="str">
        <x:v>Command permissions, malformed-input tests and separation from CAN transmit functions.</x:v>
      </x:c>
      <x:c r="D159" s="104" t="str">
        <x:v>Only bounded1/3/7byte filter events accepted on wireless write; no wireless GPIO,calibration or CAN-transmit command. Native R301DNP removes MCU→bus transmit connection.</x:v>
      </x:c>
      <x:c r="E159" s="104" t="str">
        <x:v>The static command restriction and missing TX link are verified. The required malformed BLE filter-input execution tests were not found; prior full closure was too strong.</x:v>
      </x:c>
      <x:c r="F159" s="104" t="str">
        <x:v>OPEN</x:v>
      </x:c>
      <x:c r="G159" s="104" t="str">
        <x:v>OPEN</x:v>
      </x:c>
      <x:c r="H159" s="104" t="str">
        <x:v>CLOSED</x:v>
      </x:c>
      <x:c r="I159" s="104" t="str">
        <x:v>Direct native KiCad9.0.9 placed-pad/net/segment extraction plus exact current firmware source/datasheet comparison; source-derived calculation/host probe where explicitly stated. Existing unchanged build and nativeDRC evidence retained.</x:v>
      </x:c>
      <x:c r="J159" s="104" t="str">
        <x:v>{"ref":"U201","position_mm":[81.504766,23],"layer":"F.Cu","pins_nets":["1:GND","2:+3V3","3:ESP_EN","4:CAN_RX_MCU","5:CAN_TX_MCU","6:LED_BLE","27:ESP_GPIO0","36:UART0_RX","37:UART0_TX","38:OIL_EXCITATION_ADC","39:ADC_NODE"]}</x:v>
      </x:c>
      <x:c r="K159" s="104" t="str">
        <x:v>audit/board_vetting_20260908/lanes/DIGITAL_NATIVE_INSPECTION.json — objects.U201; tracks; esp_keepout
firmware/productization_candidate/cca_telemetry/cca_telemetry.ino — Hardware pins/setupImpl/initBle/loopImpl
firmware/productization_candidate/cca_telemetry/cca_telemetry.ino — FilterCallbacks; handleRaceChronoFilterWrite; initBle; startCanDriver
manufacturing/product/review_tables/CURRENT_COMPONENT_QUALIFICATION.csv — R301 DNP
audit/board_vetting_20260908/lanes/DIGITAL_CAN_VETTING.md — BLE source-vetting explanation and explicit limits</x:v>
      </x:c>
      <x:c r="L159" s="104" t="str">
        <x:v>Execute malformed/boundary tests against the actual wireless filter handler; retain the independently verified absence of CAN transmit access. Target integration remains under FW-11 and CAN-02.</x:v>
      </x:c>
      <x:c r="M159" s="104" t="str">
        <x:v>NO</x:v>
      </x:c>
      <x:c r="N159" s="104" t="str">
        <x:v>NO</x:v>
      </x:c>
      <x:c r="O159" s="104" t="str">
        <x:v>P1</x:v>
      </x:c>
    </x:row>
    <x:row r="160" ht="125" customHeight="1">
      <x:c r="A160" s="104" t="str">
        <x:v>BLE-10</x:v>
      </x:c>
      <x:c r="B160" s="104" t="str">
        <x:v>BLE RF and application transport</x:v>
      </x:c>
      <x:c r="C160" s="104" t="str">
        <x:v>Applicable market/module integration review with qualified compliance input; no assumption that module approval covers the entire product.</x:v>
      </x:c>
      <x:c r="D160" s="104" t="str">
        <x:v>Exact N8R2 PCB-antenna module is selected and keepout represented. No complete host-market radio integration/compliance assessment.</x:v>
      </x:c>
      <x:c r="E160" s="104" t="str">
        <x:v>Module qualification alone does not close host product distribution requirements.</x:v>
      </x:c>
      <x:c r="F160" s="104" t="str">
        <x:v>HOLD</x:v>
      </x:c>
      <x:c r="G160" s="104" t="str">
        <x:v>OPEN</x:v>
      </x:c>
      <x:c r="H160" s="104" t="str">
        <x:v>OPEN</x:v>
      </x:c>
      <x:c r="I160" s="104" t="str">
        <x:v>Direct native KiCad9.0.9 placed-pad/net/segment extraction plus exact current firmware source/datasheet comparison; source-derived calculation/host probe where explicitly stated. Existing unchanged build and nativeDRC evidence retained.</x:v>
      </x:c>
      <x:c r="J160" s="104" t="str">
        <x:v>{"ref":"U201","position_mm":[81.504766,23],"layer":"F.Cu","pins_nets":["1:GND","2:+3V3","3:ESP_EN","4:CAN_RX_MCU","5:CAN_TX_MCU","6:LED_BLE","27:ESP_GPIO0","36:UART0_RX","37:UART0_TX","38:OIL_EXCITATION_ADC","39:ADC_NODE"]}</x:v>
      </x:c>
      <x:c r="K160" s="104" t="str">
        <x:v>audit/board_vetting_20260908/lanes/DIGITAL_NATIVE_INSPECTION.json — objects.U201; tracks; esp_keepout
firmware/productization_candidate/cca_telemetry/cca_telemetry.ino — Hardware pins/setupImpl/initBle/loopImpl
STATUS.md — physical product qualification OPEN
BRING_UP_PLAN.md — integrated/environmental test scope
audit/board_vetting_20260908/lanes/DIGITAL_CAN_VETTING.md — BLE source-vetting explanation and explicit limits</x:v>
      </x:c>
      <x:c r="L160" s="104" t="str">
        <x:v>Qualified market-specific host integration and compliance evidence.</x:v>
      </x:c>
      <x:c r="M160" s="104" t="str">
        <x:v>NO</x:v>
      </x:c>
      <x:c r="N160" s="104" t="str">
        <x:v>YES</x:v>
      </x:c>
      <x:c r="O160" s="104" t="str">
        <x:v>P1</x:v>
      </x:c>
    </x:row>
    <x:row r="161" ht="170" customHeight="1">
      <x:c r="A161" s="104" t="str">
        <x:v>MCU-01</x:v>
      </x:c>
      <x:c r="B161" s="104" t="str">
        <x:v>MCU, programming and debug</x:v>
      </x:c>
      <x:c r="C161" s="104" t="str">
        <x:v>Physical pin map and firmware allocation table match the reviewed assembly.</x:v>
      </x:c>
      <x:c r="D161" s="104" t="str">
        <x:v>Directly extracted17used control/GPIO pads match manufacturer identity and firmware; repeated13groundpad41shapes allGND. Actual CSV contains coordinates and direction perpad.</x:v>
      </x:c>
      <x:c r="E161" s="104" t="str">
        <x:v>All required GPIO,EN,BOOT,UART,LED mappings independently rechecked; oldstrapLEDpins3/46 unconnected.</x:v>
      </x:c>
      <x:c r="F161" s="104" t="str">
        <x:v>VERIFIED</x:v>
      </x:c>
      <x:c r="G161" s="104" t="str">
        <x:v>CLOSED</x:v>
      </x:c>
      <x:c r="H161" s="104" t="str">
        <x:v>CLOSED</x:v>
      </x:c>
      <x:c r="I161" s="104" t="str">
        <x:v>Direct native KiCad9.0.9 placed-pad/net/segment extraction plus exact current firmware source/datasheet comparison; source-derived calculation/host probe where explicitly stated. Existing unchanged build and nativeDRC evidence retained.</x:v>
      </x:c>
      <x:c r="J161"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1"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U201 all pins
firmware/productization_candidate/cca_telemetry/cca_telemetry.ino — Hardware pins and target guards
audit/board_vetting_20260908/lanes/ACTUAL_ESP_PIN_MAP.csv — all17requiredusedpads
audit/board_vetting_20260908/lanes/DIGITAL_CAN_VETTING.md — MCU source-vetting explanation and explicit limits</x:v>
      </x:c>
      <x:c r="L161" s="104" t="str">
        <x:v>Physical function acceptance remains open in subsystem tests.</x:v>
      </x:c>
      <x:c r="M161" s="104" t="str">
        <x:v>YES</x:v>
      </x:c>
      <x:c r="N161" s="104" t="str">
        <x:v>NO</x:v>
      </x:c>
      <x:c r="O161" s="104" t="str">
        <x:v>P0</x:v>
      </x:c>
    </x:row>
    <x:row r="162" ht="170" customHeight="1">
      <x:c r="A162" s="104" t="str">
        <x:v>MCU-02</x:v>
      </x:c>
      <x:c r="B162" s="104" t="str">
        <x:v>MCU, programming and debug</x:v>
      </x:c>
      <x:c r="C162" s="104" t="str">
        <x:v>Manufacturer footprint and cable pinout checked against actual adapter continuity.</x:v>
      </x:c>
      <x:c r="D162" s="104" t="str">
        <x:v>J201 at(71,6),0degF.Cu:1VTREF,2EN,3GND,4RX,5TX,6BOOT. Native coordinates match controlled single-left/two-right locator convention.</x:v>
      </x:c>
      <x:c r="E162" s="104" t="str">
        <x:v>Actual footprint assignment checked; cable contact face is mirrored,adapter has not been built/continuity-tested.</x:v>
      </x:c>
      <x:c r="F162" s="104" t="str">
        <x:v>OPEN</x:v>
      </x:c>
      <x:c r="G162" s="104" t="str">
        <x:v>OPEN</x:v>
      </x:c>
      <x:c r="H162" s="104" t="str">
        <x:v>OPEN</x:v>
      </x:c>
      <x:c r="I162" s="104" t="str">
        <x:v>Direct native KiCad9.0.9 placed-pad/net/segment extraction plus exact current firmware source/datasheet comparison; source-derived calculation/host probe where explicitly stated. Existing unchanged build and nativeDRC evidence retained.</x:v>
      </x:c>
      <x:c r="J162"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2" s="104" t="str">
        <x:v>audit/board_vetting_20260908/lanes/DIGITAL_NATIVE_INSPECTION.json — objects.U201,J201,R201,R202,C203; tracks; esp_keepout
firmware/productization_candidate/cca_telemetry/cca_telemetry.ino — Hardware pins/setupImpl/initBle/loopImpl
qualification/PROGRAMMING_INTERFACE_REVIEW.md — six-contact table; board/cable views; actual adapter OPEN
manufacturing/product/review_tables/CURRENT_PIN_PAD_NET_MATRIX.csv — J2011–6
audit/board_vetting_20260908/lanes/DIGITAL_CAN_VETTING.md — MCU source-vetting explanation and explicit limits</x:v>
      </x:c>
      <x:c r="L162" s="104" t="str">
        <x:v>Actual selected TC2030-IDC-NL adapter continuity including open-drain reset/boot.</x:v>
      </x:c>
      <x:c r="M162" s="104" t="str">
        <x:v>YES</x:v>
      </x:c>
      <x:c r="N162" s="104" t="str">
        <x:v>YES</x:v>
      </x:c>
      <x:c r="O162" s="104" t="str">
        <x:v>P0</x:v>
      </x:c>
    </x:row>
    <x:row r="163" ht="170" customHeight="1">
      <x:c r="A163" s="104" t="str">
        <x:v>MCU-03</x:v>
      </x:c>
      <x:c r="B163" s="104" t="str">
        <x:v>MCU, programming and debug</x:v>
      </x:c>
      <x:c r="C163" s="104" t="str">
        <x:v>Programmer interface contract and labeled adapter drawing define sense versus power pins.</x:v>
      </x:c>
      <x:c r="D163" s="104" t="str">
        <x:v>All J201signal pads connect only intended3V3/ESP/GND nets. Pad1 directly main3V3 is sense-only; no on-board programmer supply circuit or5V net on contact.</x:v>
      </x:c>
      <x:c r="E163" s="104" t="str">
        <x:v>Actual pad nets support explicit3.3V adapter contract; sense-only is a usage requirement,not hardware reverse-feed prevention.</x:v>
      </x:c>
      <x:c r="F163" s="104" t="str">
        <x:v>VERIFIED</x:v>
      </x:c>
      <x:c r="G163" s="104" t="str">
        <x:v>CLOSED</x:v>
      </x:c>
      <x:c r="H163" s="104" t="str">
        <x:v>CLOSED</x:v>
      </x:c>
      <x:c r="I163" s="104" t="str">
        <x:v>Direct native KiCad9.0.9 placed-pad/net/segment extraction plus exact current firmware source/datasheet comparison; source-derived calculation/host probe where explicitly stated. Existing unchanged build and nativeDRC evidence retained.</x:v>
      </x:c>
      <x:c r="J163"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3" s="104" t="str">
        <x:v>audit/board_vetting_20260908/lanes/DIGITAL_NATIVE_INSPECTION.json — objects.U201,J201,R201,R202,C203; tracks; esp_keepout
firmware/productization_candidate/cca_telemetry/cca_telemetry.ino — Hardware pins/setupImpl/initBle/loopImpl
qualification/PROGRAMMING_INTERFACE_REVIEW.md — electrical-contract table and procedure
firmware/productization_candidate/PROGRAMMING_AND_CALIBRATION.md — Programming fixture
audit/board_vetting_20260908/lanes/DIGITAL_CAN_VETTING.md — MCU source-vetting explanation and explicit limits</x:v>
      </x:c>
      <x:c r="L163" s="104" t="str">
        <x:v>Adapter must obey VTREFsense-only/3V3UART/open-drain controls; no physical adapter pass claimed.</x:v>
      </x:c>
      <x:c r="M163" s="104" t="str">
        <x:v>YES</x:v>
      </x:c>
      <x:c r="N163" s="104" t="str">
        <x:v>NO</x:v>
      </x:c>
      <x:c r="O163" s="104" t="str">
        <x:v>P0</x:v>
      </x:c>
    </x:row>
    <x:row r="164" ht="170" customHeight="1">
      <x:c r="A164" s="104" t="str">
        <x:v>MCU-04</x:v>
      </x:c>
      <x:c r="B164" s="104" t="str">
        <x:v>MCU, programming and debug</x:v>
      </x:c>
      <x:c r="C164" s="104" t="str">
        <x:v>Manual EN/BOOT sequence or verified auto-program circuit demonstrated over repeated cycles.</x:v>
      </x:c>
      <x:c r="D164" s="104" t="str">
        <x:v>Actual ENpad3←R20110k/3V3 withC2031uFGND; GPIO0pad27←R20210k. EN75%ideal-step delay13.86ms (12.35–15.40ms R1%/C10%screen).</x:v>
      </x:c>
      <x:c r="E164" s="104" t="str">
        <x:v>Correct routed controls replace RevA bodges; waveform/repeated boot behavior cannot be inferred from RC alone.</x:v>
      </x:c>
      <x:c r="F164" s="104" t="str">
        <x:v>OPEN</x:v>
      </x:c>
      <x:c r="G164" s="104" t="str">
        <x:v>OPEN</x:v>
      </x:c>
      <x:c r="H164" s="104" t="str">
        <x:v>OPEN</x:v>
      </x:c>
      <x:c r="I164" s="104" t="str">
        <x:v>Direct native KiCad9.0.9 placed-pad/net/segment extraction plus exact current firmware source/datasheet comparison; source-derived calculation/host probe where explicitly stated. Existing unchanged build and nativeDRC evidence retained.</x:v>
      </x:c>
      <x:c r="J164"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4"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J201/J202/J203/U201
firmware/productization_candidate/PROGRAMMING_AND_CALIBRATION.md — Programming fixture; esptool commands
audit/board_vetting_20260908/lanes/DIGITAL_CALCULATIONS.json — routes; logic; diagnostics
audit/board_vetting_20260908/lanes/DIGITAL_CAN_VETTING.md — MCU source-vetting explanation and explicit limits</x:v>
      </x:c>
      <x:c r="L164" s="104" t="str">
        <x:v>Stable rail≥50us before ENhigh,ENlow≥50us; verify ramp,brownout,discharge and repeated programming.</x:v>
      </x:c>
      <x:c r="M164" s="104" t="str">
        <x:v>YES</x:v>
      </x:c>
      <x:c r="N164" s="104" t="str">
        <x:v>YES</x:v>
      </x:c>
      <x:c r="O164" s="104" t="str">
        <x:v>P1</x:v>
      </x:c>
    </x:row>
    <x:row r="165" ht="170" customHeight="1">
      <x:c r="A165" s="104" t="str">
        <x:v>MCU-05</x:v>
      </x:c>
      <x:c r="B165" s="104" t="str">
        <x:v>MCU, programming and debug</x:v>
      </x:c>
      <x:c r="C165" s="104" t="str">
        <x:v>3D/mechanical fit and physical access check for selected cable variant.</x:v>
      </x:c>
      <x:c r="D165" s="104" t="str">
        <x:v>J201native landing reachable on top; sixpad coordinates and locating holes represented. Headers are also top mounted.</x:v>
      </x:c>
      <x:c r="E165" s="104" t="str">
        <x:v>2D location inspected; complete cable/contact/retention clip/enclosure3D fit absent.</x:v>
      </x:c>
      <x:c r="F165" s="104" t="str">
        <x:v>OPEN</x:v>
      </x:c>
      <x:c r="G165" s="104" t="str">
        <x:v>OPEN</x:v>
      </x:c>
      <x:c r="H165" s="104" t="str">
        <x:v>OPEN</x:v>
      </x:c>
      <x:c r="I165" s="104" t="str">
        <x:v>Direct native KiCad9.0.9 placed-pad/net/segment extraction plus exact current firmware source/datasheet comparison; source-derived calculation/host probe where explicitly stated. Existing unchanged build and nativeDRC evidence retained.</x:v>
      </x:c>
      <x:c r="J165"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5" s="104" t="str">
        <x:v>audit/board_vetting_20260908/lanes/DIGITAL_NATIVE_INSPECTION.json — objects.U201,J201,R201,R202,C203; tracks; esp_keepout
firmware/productization_candidate/cca_telemetry/cca_telemetry.ino — Hardware pins/setupImpl/initBle/loopImpl
qualification/PROGRAMMING_INTERFACE_REVIEW.md — clip/enclosure access OPEN; placed J201 orientation
audit/productization/PCB_VISUAL_REVIEW.json — CAD-only scope
audit/board_vetting_20260908/lanes/DIGITAL_CAN_VETTING.md — MCU source-vetting explanation and explicit limits</x:v>
      </x:c>
      <x:c r="L165" s="104" t="str">
        <x:v>Complete selected cable/contact envelope and physical after-assembly access check.</x:v>
      </x:c>
      <x:c r="M165" s="104" t="str">
        <x:v>NO</x:v>
      </x:c>
      <x:c r="N165" s="104" t="str">
        <x:v>YES</x:v>
      </x:c>
      <x:c r="O165" s="104" t="str">
        <x:v>P1</x:v>
      </x:c>
    </x:row>
    <x:row r="166" ht="170" customHeight="1">
      <x:c r="A166" s="104" t="str">
        <x:v>MCU-06</x:v>
      </x:c>
      <x:c r="B166" s="104" t="str">
        <x:v>MCU, programming and debug</x:v>
      </x:c>
      <x:c r="C166" s="104" t="str">
        <x:v>Purpose, population, allowed power and pinout defined for each header; unused features removed or marked DNP.</x:v>
      </x:c>
      <x:c r="D166" s="104" t="str">
        <x:v>J202 shorts EN→GND and J203BOOT→GND,parallel Tag pads2/6. Both factory fitted top; bottom appearance is solder tails.</x:v>
      </x:c>
      <x:c r="E166" s="104" t="str">
        <x:v>Electrically optional fallback function confirmed; no BOM change made.</x:v>
      </x:c>
      <x:c r="F166" s="104" t="str">
        <x:v>VERIFIED</x:v>
      </x:c>
      <x:c r="G166" s="104" t="str">
        <x:v>CLOSED</x:v>
      </x:c>
      <x:c r="H166" s="104" t="str">
        <x:v>CLOSED</x:v>
      </x:c>
      <x:c r="I166" s="104" t="str">
        <x:v>Direct native KiCad9.0.9 placed-pad/net/segment extraction plus exact current firmware source/datasheet comparison; source-derived calculation/host probe where explicitly stated. Existing unchanged build and nativeDRC evidence retained.</x:v>
      </x:c>
      <x:c r="J166"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6" s="104" t="str">
        <x:v>audit/board_vetting_20260908/lanes/DIGITAL_NATIVE_INSPECTION.json — objects.U201,J201,R201,R202,C203; tracks; esp_keepout
firmware/productization_candidate/cca_telemetry/cca_telemetry.ino — Hardware pins/setupImpl/initBle/loopImpl
qualification/PROGRAMMING_INTERFACE_REVIEW.md — manual-header selection
manufacturing/product/review_tables/CURRENT_PIN_PAD_NET_MATRIX.csv — J2012/6; J202/J203
audit/board_vetting_20260908/lanes/DIGITAL_CAN_VETTING.md — MCU source-vetting explanation and explicit limits</x:v>
      </x:c>
      <x:c r="L166" s="104" t="str">
        <x:v>If omitted later,control BOM/CPL/variant coherently; no current unexplained duplicate interface.</x:v>
      </x:c>
      <x:c r="M166" s="104" t="str">
        <x:v>YES</x:v>
      </x:c>
      <x:c r="N166" s="104" t="str">
        <x:v>NO</x:v>
      </x:c>
      <x:c r="O166" s="104" t="str">
        <x:v>P1</x:v>
      </x:c>
    </x:row>
    <x:row r="167" ht="170" customHeight="1">
      <x:c r="A167" s="104" t="str">
        <x:v>MCU-07</x:v>
      </x:c>
      <x:c r="B167" s="104" t="str">
        <x:v>MCU, programming and debug</x:v>
      </x:c>
      <x:c r="C167" s="104" t="str">
        <x:v>Bootloader/recovery test and accessible service procedure.</x:v>
      </x:c>
      <x:c r="D167" s="104" t="str">
        <x:v>ROM download EN/BOOT/UART pins are routed independent of application operation; exact compiled images and manual sequence available.</x:v>
      </x:c>
      <x:c r="E167" s="104" t="str">
        <x:v>Static recovery path valid; interruption and corrupt-image recovery not physically demonstrated.</x:v>
      </x:c>
      <x:c r="F167" s="104" t="str">
        <x:v>OPEN</x:v>
      </x:c>
      <x:c r="G167" s="104" t="str">
        <x:v>OPEN</x:v>
      </x:c>
      <x:c r="H167" s="104" t="str">
        <x:v>OPEN</x:v>
      </x:c>
      <x:c r="I167" s="104" t="str">
        <x:v>Direct native KiCad9.0.9 placed-pad/net/segment extraction plus exact current firmware source/datasheet comparison; source-derived calculation/host probe where explicitly stated. Existing unchanged build and nativeDRC evidence retained.</x:v>
      </x:c>
      <x:c r="J167"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7" s="104" t="str">
        <x:v>audit/board_vetting_20260908/lanes/DIGITAL_NATIVE_INSPECTION.json — objects.U201,J201,R201,R202,C203; tracks; esp_keepout
firmware/productization_candidate/cca_telemetry/cca_telemetry.ino — Hardware pins/setupImpl/initBle/loopImpl
firmware/productization_candidate/PROGRAMMING_AND_CALIBRATION.md — Programming fixture and split/merged images
BRING_UP_PLAN.md — Programming gate
audit/board_vetting_20260908/lanes/DIGITAL_CAN_VETTING.md — MCU source-vetting explanation and explicit limits</x:v>
      </x:c>
      <x:c r="L167" s="104" t="str">
        <x:v>Actual interrupted-flash and invalid-app recovery cycles.</x:v>
      </x:c>
      <x:c r="M167" s="104" t="str">
        <x:v>YES</x:v>
      </x:c>
      <x:c r="N167" s="104" t="str">
        <x:v>YES</x:v>
      </x:c>
      <x:c r="O167" s="104" t="str">
        <x:v>P1</x:v>
      </x:c>
    </x:row>
    <x:row r="168" ht="170" customHeight="1">
      <x:c r="A168" s="104" t="str">
        <x:v>MCU-08</x:v>
      </x:c>
      <x:c r="B168" s="104" t="str">
        <x:v>MCU, programming and debug</x:v>
      </x:c>
      <x:c r="C168" s="104" t="str">
        <x:v>Build/profile and hardware-default controls with independent configuration checks.</x:v>
      </x:c>
      <x:c r="D168" s="104" t="str">
        <x:v>CAN restart/profile commands cannot alter hard-coded LISTEN_ONLY or bridge native R301DNP. Programming controls connect EN/BOOT,not CAN mode.</x:v>
      </x:c>
      <x:c r="E168" s="104" t="str">
        <x:v>Default assembled vehicle restriction survives ordinary debug/profile use in inspected topology.</x:v>
      </x:c>
      <x:c r="F168" s="104" t="str">
        <x:v>VERIFIED</x:v>
      </x:c>
      <x:c r="G168" s="104" t="str">
        <x:v>CLOSED</x:v>
      </x:c>
      <x:c r="H168" s="104" t="str">
        <x:v>CLOSED</x:v>
      </x:c>
      <x:c r="I168" s="104" t="str">
        <x:v>Direct native KiCad9.0.9 placed-pad/net/segment extraction plus exact current firmware source/datasheet comparison; source-derived calculation/host probe where explicitly stated. Existing unchanged build and nativeDRC evidence retained.</x:v>
      </x:c>
      <x:c r="J168"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8" s="104" t="str">
        <x:v>audit/board_vetting_20260908/lanes/DIGITAL_NATIVE_INSPECTION.json — objects.U201,J201,R201,R202,C203; tracks; esp_keepout
firmware/productization_candidate/cca_telemetry/cca_telemetry.ino — Hardware pins/setupImpl/initBle/loopImpl
firmware/productization_candidate/cca_telemetry/cca_telemetry.ino — processCliLine CAN RESTART/PROFILE; startCanDriver
manufacturing/product/review_tables/CURRENT_COMPONENT_QUALIFICATION.csv — R301/R306/SJ301
audit/board_vetting_20260908/lanes/DIGITAL_CAN_VETTING.md — MCU source-vetting explanation and explicit limits</x:v>
      </x:c>
      <x:c r="L168" s="104" t="str">
        <x:v>Physical repopulation,ICfault and wrong assembly are separate fault cases,not software bypasses.</x:v>
      </x:c>
      <x:c r="M168" s="104" t="str">
        <x:v>YES</x:v>
      </x:c>
      <x:c r="N168" s="104" t="str">
        <x:v>NO</x:v>
      </x:c>
      <x:c r="O168" s="104" t="str">
        <x:v>P1</x:v>
      </x:c>
    </x:row>
    <x:row r="169" ht="170" customHeight="1">
      <x:c r="A169" s="104" t="str">
        <x:v>MCU-09</x:v>
      </x:c>
      <x:c r="B169" s="104" t="str">
        <x:v>MCU, programming and debug</x:v>
      </x:c>
      <x:c r="C169" s="104" t="str">
        <x:v>Exact-device pin review and startup testing with all external devices connected.</x:v>
      </x:c>
      <x:c r="D169" s="104" t="str">
        <x:v>GPIO0 external10khigh; GPIO45/46 nativeNC retain internal pulldowns; GPIO3NC floating JTAGstrap and no LEDload. ENnetwork correctly onpad3.</x:v>
      </x:c>
      <x:c r="E169" s="104" t="str">
        <x:v>No loaded boot strap contradiction in actual footprint; cable/module power sequencing unmeasured.</x:v>
      </x:c>
      <x:c r="F169" s="104" t="str">
        <x:v>OPEN</x:v>
      </x:c>
      <x:c r="G169" s="104" t="str">
        <x:v>OPEN</x:v>
      </x:c>
      <x:c r="H169" s="104" t="str">
        <x:v>OPEN</x:v>
      </x:c>
      <x:c r="I169" s="104" t="str">
        <x:v>Direct native KiCad9.0.9 placed-pad/net/segment extraction plus exact current firmware source/datasheet comparison; source-derived calculation/host probe where explicitly stated. Existing unchanged build and nativeDRC evidence retained.</x:v>
      </x:c>
      <x:c r="J169"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69" s="104" t="str">
        <x:v>audit/board_vetting_20260908/lanes/DIGITAL_NATIVE_INSPECTION.json — objects.U201,J201,R201,R202,C203; tracks; esp_keepout
firmware/productization_candidate/cca_telemetry/cca_telemetry.ino — Hardware pins/setupImpl/initBle/loopImpl
manufacturing/product/review_tables/CURRENT_PIN_PAD_NET_MATRIX.csv — U201 used/NC pins; R201/R202
qualification/LED_STRAP_REVIEW.md — strap dispositions
audit/board_vetting_20260908/lanes/DIGITAL_CAN_VETTING.md — MCU source-vetting explanation and explicit limits</x:v>
      </x:c>
      <x:c r="L169" s="104" t="str">
        <x:v>Verify startup with all attached peripherals and programmer in each allowed state.</x:v>
      </x:c>
      <x:c r="M169" s="104" t="str">
        <x:v>YES</x:v>
      </x:c>
      <x:c r="N169" s="104" t="str">
        <x:v>YES</x:v>
      </x:c>
      <x:c r="O169" s="104" t="str">
        <x:v>P1</x:v>
      </x:c>
    </x:row>
    <x:row r="170" ht="170" customHeight="1">
      <x:c r="A170" s="104" t="str">
        <x:v>MCU-10</x:v>
      </x:c>
      <x:c r="B170" s="104" t="str">
        <x:v>MCU, programming and debug</x:v>
      </x:c>
      <x:c r="C170" s="104" t="str">
        <x:v>Status/LED meanings, serial logs and test points map to actual measurable behavior.</x:v>
      </x:c>
      <x:c r="D170" s="104" t="str">
        <x:v>LED GPIO15/6/7/8/9/10 mapping and named testpoints match source; resetreason/RTC/CAN/BLE/GPS/oil stats exist. GPS RX ring overflow has no appcounter; synchronous stats can perturb acquisition.</x:v>
      </x:c>
      <x:c r="E170" s="104" t="str">
        <x:v>New BV-DIG-02 diagnostic observability/load defect; existing useful diagnostics do not distinguish all losses.</x:v>
      </x:c>
      <x:c r="F170" s="104" t="str">
        <x:v>OPEN</x:v>
      </x:c>
      <x:c r="G170" s="104" t="str">
        <x:v>OPEN</x:v>
      </x:c>
      <x:c r="H170" s="104" t="str">
        <x:v>OPEN</x:v>
      </x:c>
      <x:c r="I170" s="104" t="str">
        <x:v>Direct native KiCad9.0.9 placed-pad/net/segment extraction plus exact current firmware source/datasheet comparison; source-derived calculation/host probe where explicitly stated. Existing unchanged build and nativeDRC evidence retained.</x:v>
      </x:c>
      <x:c r="J170" s="104" t="str">
        <x:v>{"ref":"U201","position_mm":[81.504766,23],"layer":"F.Cu","pins_nets":["1:GND","2:+3V3","3:ESP_EN","4:CAN_RX_MCU","5:CAN_TX_MCU","6:LED_BLE","27:ESP_GPIO0","36:UART0_RX","37:UART0_TX","38:OIL_EXCITATION_ADC","39:ADC_NODE"]}
{"ref":"J201","position_mm":[71,6],"layer":"F.Cu","pins_nets":["1:+3V3","2:ESP_EN","3:GND","4:UART0_RX","5:UART0_TX","6:ESP_GPIO0"]}
{"ref":"R201","position_mm":[79.5,11.7],"layer":"F.Cu","pins_nets":["1:+3V3","2:ESP_EN"]}
{"ref":"R202","position_mm":[70,34.6],"layer":"F.Cu","pins_nets":["1:+3V3","2:ESP_GPIO0"]}
{"ref":"C203","position_mm":[82.7,10.8],"layer":"F.Cu","pins_nets":["1:ESP_EN","2:GND"]}</x:v>
      </x:c>
      <x:c r="K170" s="104" t="str">
        <x:v>audit/board_vetting_20260908/lanes/DIGITAL_NATIVE_INSPECTION.json — objects.U201,J201,R201,R202,C203; tracks; esp_keepout
firmware/productization_candidate/cca_telemetry/cca_telemetry.ino — Hardware pins/setupImpl/initBle/loopImpl
firmware/productization_candidate/cca_telemetry/cca_telemetry.ino — showStats; serviceStatusLeds; showOilCalibration; setupImpl
firmware/productization_candidate/PROGRAMMING_AND_CALIBRATION.md — ERB corrective candidate
audit/board_vetting_20260908/lanes/DIGITAL_CALCULATIONS.json — routes; logic; diagnostics
audit/board_vetting_20260908/lanes/DIGITAL_CAN_VETTING.md — MCU source-vetting explanation and explicit limits</x:v>
      </x:c>
      <x:c r="L170" s="104" t="str">
        <x:v>Add low-overhead loop/UART loss diagnostics and demonstrate measured fault-to-indicator mapping.</x:v>
      </x:c>
      <x:c r="M170" s="104" t="str">
        <x:v>YES</x:v>
      </x:c>
      <x:c r="N170" s="104" t="str">
        <x:v>YES</x:v>
      </x:c>
      <x:c r="O170" s="104" t="str">
        <x:v>P1</x:v>
      </x:c>
    </x:row>
    <x:row r="171" ht="125" customHeight="1">
      <x:c r="A171" s="104" t="str">
        <x:v>FW-01</x:v>
      </x:c>
      <x:c r="B171" s="104" t="str">
        <x:v>Firmware, timing and data integrity</x:v>
      </x:c>
      <x:c r="C171" s="104" t="str">
        <x:v>Compatibility matrix covers Rev A bodges and each Rev B population without silently reusing wrong constants.</x:v>
      </x:c>
      <x:c r="D171" s="104" t="str">
        <x:v>Native17pad map agrees with canonical2.1.1 build/config/LEDsource. Manifest calibrationv4 andruntimev1; oldRevAcalibration andstrapLEDassignments explicitly superseded.</x:v>
      </x:c>
      <x:c r="E171" s="104" t="str">
        <x:v>Current source/image contract remains matched; inherited generic firmware-contract document is historical and superseded.</x:v>
      </x:c>
      <x:c r="F171" s="104" t="str">
        <x:v>VERIFIED</x:v>
      </x:c>
      <x:c r="G171" s="104" t="str">
        <x:v>CLOSED</x:v>
      </x:c>
      <x:c r="H171" s="104" t="str">
        <x:v>CLOSED</x:v>
      </x:c>
      <x:c r="I171" s="104" t="str">
        <x:v>Direct native KiCad9.0.9 placed-pad/net/segment extraction plus exact current firmware source/datasheet comparison; source-derived calculation/host probe where explicitly stated. Existing unchanged build and nativeDRC evidence retained.</x:v>
      </x:c>
      <x:c r="J171" s="104" t="str">
        <x:v>{"ref":"U201","position_mm":[81.504766,23],"layer":"F.Cu","pins_nets":["1:GND","2:+3V3","3:ESP_EN","4:CAN_RX_MCU","5:CAN_TX_MCU","6:LED_BLE","27:ESP_GPIO0","36:UART0_RX","37:UART0_TX","38:OIL_EXCITATION_ADC","39:ADC_NODE"]}</x:v>
      </x:c>
      <x:c r="K171" s="104" t="str">
        <x:v>audit/board_vetting_20260908/lanes/DIGITAL_NATIVE_INSPECTION.json — objects.U201; tracks; esp_keepout
firmware/productization_candidate/cca_telemetry/cca_telemetry.ino — Hardware pins/setupImpl/initBle/loopImpl
manufacturing/product/review_tables/CURRENT_PIN_PAD_NET_MATRIX.csv — U201 mapping
firmware/productization_candidate/cca_telemetry/cca_telemetry.ino — BUILD_ID and Hardware pins
audit/board_vetting_20260908/lanes/DIGITAL_CAN_VETTING.md — FW source-vetting explanation and explicit limits</x:v>
      </x:c>
      <x:c r="L171" s="104" t="str">
        <x:v>No oldfirmwaredrop-in or physical functional pass implied.</x:v>
      </x:c>
      <x:c r="M171" s="104" t="str">
        <x:v>YES</x:v>
      </x:c>
      <x:c r="N171" s="104" t="str">
        <x:v>NO</x:v>
      </x:c>
      <x:c r="O171" s="104" t="str">
        <x:v>P0</x:v>
      </x:c>
    </x:row>
    <x:row r="172" ht="125" customHeight="1">
      <x:c r="A172" s="104" t="str">
        <x:v>FW-02</x:v>
      </x:c>
      <x:c r="B172" s="104" t="str">
        <x:v>Firmware, timing and data integrity</x:v>
      </x:c>
      <x:c r="C172" s="104" t="str">
        <x:v>Source commit, dependency lock and build manifest accompany the tested binary.</x:v>
      </x:c>
      <x:c r="D172" s="104" t="str">
        <x:v>Canonical manifest statesCLI1.3.1/core3.3.6/NimBLE2.3.6/GCC14.2.0,N8R2 8MBquadPSRAM/UART0. Prior exact-source successful build evidence and image hashes remain unchanged.</x:v>
      </x:c>
      <x:c r="E172" s="104" t="str">
        <x:v>No gratuitous rebuild; pin/map inspection tied to same compiled source hash.</x:v>
      </x:c>
      <x:c r="F172" s="104" t="str">
        <x:v>VERIFIED</x:v>
      </x:c>
      <x:c r="G172" s="104" t="str">
        <x:v>CLOSED</x:v>
      </x:c>
      <x:c r="H172" s="104" t="str">
        <x:v>CLOSED</x:v>
      </x:c>
      <x:c r="I172" s="104" t="str">
        <x:v>Direct native KiCad9.0.9 placed-pad/net/segment extraction plus exact current firmware source/datasheet comparison; source-derived calculation/host probe where explicitly stated. Existing unchanged build and nativeDRC evidence retained.</x:v>
      </x:c>
      <x:c r="J172" s="104" t="str">
        <x:v>{"ref":"U201","position_mm":[81.504766,23],"layer":"F.Cu","pins_nets":["1:GND","2:+3V3","3:ESP_EN","4:CAN_RX_MCU","5:CAN_TX_MCU","6:LED_BLE","27:ESP_GPIO0","36:UART0_RX","37:UART0_TX","38:OIL_EXCITATION_ADC","39:ADC_NODE"]}</x:v>
      </x:c>
      <x:c r="K172" s="104" t="str">
        <x:v>audit/board_vetting_20260908/lanes/DIGITAL_NATIVE_INSPECTION.json — objects.U201; tracks; esp_keepout
firmware/productization_candidate/cca_telemetry/cca_telemetry.ino — Hardware pins/setupImpl/initBle/loopImpl
firmware/productization_candidate/build.sh — pinned FQBN
firmware/productization_candidate/BUILD_MANIFEST.json — predecessor build provenance pending refresh
audit/board_vetting_20260908/lanes/DIGITAL_CAN_VETTING.md — FW source-vetting explanation and explicit limits</x:v>
      </x:c>
      <x:c r="L172" s="104" t="str">
        <x:v>Target execution still absent; upstream warnings recorded in existing build evidence.</x:v>
      </x:c>
      <x:c r="M172" s="104" t="str">
        <x:v>YES</x:v>
      </x:c>
      <x:c r="N172" s="104" t="str">
        <x:v>NO</x:v>
      </x:c>
      <x:c r="O172" s="104" t="str">
        <x:v>P1</x:v>
      </x:c>
    </x:row>
    <x:row r="173" ht="140" customHeight="1">
      <x:c r="A173" s="104" t="str">
        <x:v>FW-03</x:v>
      </x:c>
      <x:c r="B173" s="104" t="str">
        <x:v>Firmware, timing and data integrity</x:v>
      </x:c>
      <x:c r="C173" s="104" t="str">
        <x:v>Worst-case scheduling/latency measurements and resource budgets.</x:v>
      </x:c>
      <x:c r="D173" s="104" t="str">
        <x:v>Mainloop shares CAN,ADC,GPS,BLE,CLI; CAN2ms/96frame cap andGPS512byte/pass are local limits. SHOW STATS fixed-text alone can block≥51.736ms.</x:v>
      </x:c>
      <x:c r="E173" s="104" t="str">
        <x:v>BV-DIG-02 supplies concrete counterexample to fully bounded simultaneous acquisition claim; queue128fills28.416ms at worst unstuffedDLC8load.</x:v>
      </x:c>
      <x:c r="F173" s="104" t="str">
        <x:v>OPEN</x:v>
      </x:c>
      <x:c r="G173" s="104" t="str">
        <x:v>OPEN</x:v>
      </x:c>
      <x:c r="H173" s="104" t="str">
        <x:v>OPEN</x:v>
      </x:c>
      <x:c r="I173" s="104" t="str">
        <x:v>Direct native KiCad9.0.9 placed-pad/net/segment extraction plus exact current firmware source/datasheet comparison; source-derived calculation/host probe where explicitly stated. Existing unchanged build and nativeDRC evidence retained.</x:v>
      </x:c>
      <x:c r="J173" s="104" t="str">
        <x:v>{"ref":"U201","position_mm":[81.504766,23],"layer":"F.Cu","pins_nets":["1:GND","2:+3V3","3:ESP_EN","4:CAN_RX_MCU","5:CAN_TX_MCU","6:LED_BLE","27:ESP_GPIO0","36:UART0_RX","37:UART0_TX","38:OIL_EXCITATION_ADC","39:ADC_NODE"]}</x:v>
      </x:c>
      <x:c r="K173" s="104" t="str">
        <x:v>audit/board_vetting_20260908/lanes/DIGITAL_NATIVE_INSPECTION.json — objects.U201; tracks; esp_keepout
firmware/productization_candidate/cca_telemetry/cca_telemetry.ino — Hardware pins/setupImpl/initBle/loopImpl
firmware/productization_candidate/cca_telemetry/cca_telemetry.ino — serviceCanReceive; readGpsBytes; serviceOil; serviceBleEvents; serviceSerialCli; loopImpl
BRING_UP_PLAN.md — integrated test
audit/board_vetting_20260908/lanes/DIGITAL_CALCULATIONS.json — routes; logic; diagnostics
audit/board_vetting_20260908/lanes/DIGITAL_CAN_VETTING.md — FW source-vetting explanation and explicit limits</x:v>
      </x:c>
      <x:c r="L173" s="104" t="str">
        <x:v>Bound service/logging work and prove maximum latency including NVSwrites/CLI/congestion.</x:v>
      </x:c>
      <x:c r="M173" s="104" t="str">
        <x:v>YES</x:v>
      </x:c>
      <x:c r="N173" s="104" t="str">
        <x:v>YES</x:v>
      </x:c>
      <x:c r="O173" s="104" t="str">
        <x:v>P1</x:v>
      </x:c>
    </x:row>
    <x:row r="174" ht="140" customHeight="1">
      <x:c r="A174" s="104" t="str">
        <x:v>FW-04</x:v>
      </x:c>
      <x:c r="B174" s="104" t="str">
        <x:v>Firmware, timing and data integrity</x:v>
      </x:c>
      <x:c r="C174" s="104" t="str">
        <x:v>Stress tests cover overflow, starvation, heap fragmentation and long-duration load.</x:v>
      </x:c>
      <x:c r="D174" s="104" t="str">
        <x:v>PPS ISR records timestamp/count with200msedge rejection; GPS256byte defaultRX ring,160byte sentence buffer,512byte readpass. No explicit RXoverflow callback or maximum consumer-delay budget.</x:v>
      </x:c>
      <x:c r="E174" s="104" t="str">
        <x:v>Default serial buffer/diagnostic stall exposed; short ISR does not close burst-loss/resource criterion.</x:v>
      </x:c>
      <x:c r="F174" s="104" t="str">
        <x:v>OPEN</x:v>
      </x:c>
      <x:c r="G174" s="104" t="str">
        <x:v>OPEN</x:v>
      </x:c>
      <x:c r="H174" s="104" t="str">
        <x:v>OPEN</x:v>
      </x:c>
      <x:c r="I174" s="104" t="str">
        <x:v>Direct native KiCad9.0.9 placed-pad/net/segment extraction plus exact current firmware source/datasheet comparison; source-derived calculation/host probe where explicitly stated. Existing unchanged build and nativeDRC evidence retained.</x:v>
      </x:c>
      <x:c r="J174" s="104" t="str">
        <x:v>{"ref":"U201","position_mm":[81.504766,23],"layer":"F.Cu","pins_nets":["1:GND","2:+3V3","3:ESP_EN","4:CAN_RX_MCU","5:CAN_TX_MCU","6:LED_BLE","27:ESP_GPIO0","36:UART0_RX","37:UART0_TX","38:OIL_EXCITATION_ADC","39:ADC_NODE"]}</x:v>
      </x:c>
      <x:c r="K174" s="104" t="str">
        <x:v>audit/board_vetting_20260908/lanes/DIGITAL_NATIVE_INSPECTION.json — objects.U201; tracks; esp_keepout
firmware/productization_candidate/cca_telemetry/cca_telemetry.ino — Hardware pins/setupImpl/initBle/loopImpl
firmware/productization_candidate/cca_telemetry/cca_telemetry.ino — onGpsPps; BleEvent queue; CanSlot; showStats; serviceSerialCli
qualification/productization/FIRMWARE_PRODUCT_REVIEW.md — host test limits
audit/board_vetting_20260908/lanes/DIGITAL_CALCULATIONS.json — routes; logic; diagnostics
audit/board_vetting_20260908/lanes/DIGITAL_CAN_VETTING.md — FW source-vetting explanation and explicit limits</x:v>
      </x:c>
      <x:c r="L174" s="104" t="str">
        <x:v>Size queue to agreed burst+delay envelope,instrument overflow,and stress load/heap/long run.</x:v>
      </x:c>
      <x:c r="M174" s="104" t="str">
        <x:v>YES</x:v>
      </x:c>
      <x:c r="N174" s="104" t="str">
        <x:v>YES</x:v>
      </x:c>
      <x:c r="O174" s="104" t="str">
        <x:v>P1</x:v>
      </x:c>
    </x:row>
    <x:row r="175" ht="140" customHeight="1">
      <x:c r="A175" s="104" t="str">
        <x:v>FW-05</x:v>
      </x:c>
      <x:c r="B175" s="104" t="str">
        <x:v>Firmware, timing and data integrity</x:v>
      </x:c>
      <x:c r="C175" s="104" t="str">
        <x:v>Timestamp architecture and wrap/reboot/GPS-loss tests.</x:v>
      </x:c>
      <x:c r="D175" s="104" t="str">
        <x:v>millis differences and explicit backoff wrap are source-tested; RMC solution epoch retained; PPS marks plausible1Hz,not submillisecondUTC discipline.</x:v>
      </x:c>
      <x:c r="E175" s="104" t="str">
        <x:v>New refill-rate arithmetic defect is separate from already-fixed49-day/half-wrap tests. Timestamp architecture is not hardware jitter proof.</x:v>
      </x:c>
      <x:c r="F175" s="104" t="str">
        <x:v>OPEN</x:v>
      </x:c>
      <x:c r="G175" s="104" t="str">
        <x:v>OPEN</x:v>
      </x:c>
      <x:c r="H175" s="104" t="str">
        <x:v>OPEN</x:v>
      </x:c>
      <x:c r="I175" s="104" t="str">
        <x:v>Direct native KiCad9.0.9 placed-pad/net/segment extraction plus exact current firmware source/datasheet comparison; source-derived calculation/host probe where explicitly stated. Existing unchanged build and nativeDRC evidence retained.</x:v>
      </x:c>
      <x:c r="J175" s="104" t="str">
        <x:v>{"ref":"U201","position_mm":[81.504766,23],"layer":"F.Cu","pins_nets":["1:GND","2:+3V3","3:ESP_EN","4:CAN_RX_MCU","5:CAN_TX_MCU","6:LED_BLE","27:ESP_GPIO0","36:UART0_RX","37:UART0_TX","38:OIL_EXCITATION_ADC","39:ADC_NODE"]}</x:v>
      </x:c>
      <x:c r="K175" s="104" t="str">
        <x:v>audit/board_vetting_20260908/lanes/DIGITAL_NATIVE_INSPECTION.json — objects.U201; tracks; esp_keepout
firmware/productization_candidate/cca_telemetry/cca_telemetry.ino — Hardware pins/setupImpl/initBle/loopImpl
firmware/productization_candidate/cca_telemetry/cca_telemetry.ino — serviceGpsNotifications; servicePps; elapsedMs/timeReached
firmware/productization_candidate/cca_telemetry/src/runtime_timing.h — Backoff
audit/board_vetting_20260908/lanes/BLE_TOKEN_BUDGET_PROBE.json — exact-body host counterexample
audit/board_vetting_20260908/lanes/DIGITAL_CAN_VETTING.md — FW source-vetting explanation and explicit limits</x:v>
      </x:c>
      <x:c r="L175" s="104" t="str">
        <x:v>Document counter rollover/reboot time-domain contract and measure latency/jitter/GPSloss; repair token arithmetic.</x:v>
      </x:c>
      <x:c r="M175" s="104" t="str">
        <x:v>YES</x:v>
      </x:c>
      <x:c r="N175" s="104" t="str">
        <x:v>YES</x:v>
      </x:c>
      <x:c r="O175" s="104" t="str">
        <x:v>P1</x:v>
      </x:c>
    </x:row>
    <x:row r="176" ht="125" customHeight="1">
      <x:c r="A176" s="104" t="str">
        <x:v>FW-06</x:v>
      </x:c>
      <x:c r="B176" s="104" t="str">
        <x:v>Firmware, timing and data integrity</x:v>
      </x:c>
      <x:c r="C176" s="104" t="str">
        <x:v>Protocol/test vectors prevent stale numeric values appearing valid in RaceChrono.</x:v>
      </x:c>
      <x:c r="D176" s="104" t="str">
        <x:v>500msCANcacheTTL,disconnect clears,invalidGPS rejection andoilfault flags prevent several stale-valid paths. ActualRaceChrono display interpretation under loss remains unknown.</x:v>
      </x:c>
      <x:c r="E176" s="104" t="str">
        <x:v>Prior corrective regressions valid; UART overflow can lose sentences without specific diagnostic.</x:v>
      </x:c>
      <x:c r="F176" s="104" t="str">
        <x:v>OPEN</x:v>
      </x:c>
      <x:c r="G176" s="104" t="str">
        <x:v>OPEN</x:v>
      </x:c>
      <x:c r="H176" s="104" t="str">
        <x:v>OPEN</x:v>
      </x:c>
      <x:c r="I176" s="104" t="str">
        <x:v>Direct native KiCad9.0.9 placed-pad/net/segment extraction plus exact current firmware source/datasheet comparison; source-derived calculation/host probe where explicitly stated. Existing unchanged build and nativeDRC evidence retained.</x:v>
      </x:c>
      <x:c r="J176" s="104" t="str">
        <x:v>{"ref":"U201","position_mm":[81.504766,23],"layer":"F.Cu","pins_nets":["1:GND","2:+3V3","3:ESP_EN","4:CAN_RX_MCU","5:CAN_TX_MCU","6:LED_BLE","27:ESP_GPIO0","36:UART0_RX","37:UART0_TX","38:OIL_EXCITATION_ADC","39:ADC_NODE"]}</x:v>
      </x:c>
      <x:c r="K176" s="104" t="str">
        <x:v>audit/board_vetting_20260908/lanes/DIGITAL_NATIVE_INSPECTION.json — objects.U201; tracks; esp_keepout
firmware/productization_candidate/cca_telemetry/cca_telemetry.ino — Hardware pins/setupImpl/initBle/loopImpl
firmware/productization_candidate/PROGRAMMING_AND_CALIBRATION.md — Oil validity and RaceChrono; ERB corrective candidate
firmware/productization_candidate/cca_telemetry/cca_telemetry.ino — serviceOil; serviceGpsNotifications; serviceCanForwarding
audit/board_vetting_20260908/lanes/DIGITAL_CAN_VETTING.md — FW source-vetting explanation and explicit limits</x:v>
      </x:c>
      <x:c r="L176" s="104" t="str">
        <x:v>Exercise end-to-end stale/invalid/saturation and display semantics with target app.</x:v>
      </x:c>
      <x:c r="M176" s="104" t="str">
        <x:v>YES</x:v>
      </x:c>
      <x:c r="N176" s="104" t="str">
        <x:v>YES</x:v>
      </x:c>
      <x:c r="O176" s="104" t="str">
        <x:v>P1</x:v>
      </x:c>
    </x:row>
    <x:row r="177" ht="125" customHeight="1">
      <x:c r="A177" s="104" t="str">
        <x:v>FW-07</x:v>
      </x:c>
      <x:c r="B177" s="104" t="str">
        <x:v>Firmware, timing and data integrity</x:v>
      </x:c>
      <x:c r="C177" s="104" t="str">
        <x:v>Interrupted-write testing and schema/version validation without excessive flash wear.</x:v>
      </x:c>
      <x:c r="D177" s="104" t="str">
        <x:v>Runtime config singleCRCblob/schema1 andreadback; oilcalibration singleCRCblob/schema4. Existing implementation-level fault tests retained.</x:v>
      </x:c>
      <x:c r="E177" s="104" t="str">
        <x:v>Static atomic transaction correction is present; actual power interruption/flash-wear behavior not measured.</x:v>
      </x:c>
      <x:c r="F177" s="104" t="str">
        <x:v>OPEN</x:v>
      </x:c>
      <x:c r="G177" s="104" t="str">
        <x:v>OPEN</x:v>
      </x:c>
      <x:c r="H177" s="104" t="str">
        <x:v>OPEN</x:v>
      </x:c>
      <x:c r="I177" s="104" t="str">
        <x:v>Direct native KiCad9.0.9 placed-pad/net/segment extraction plus exact current firmware source/datasheet comparison; source-derived calculation/host probe where explicitly stated. Existing unchanged build and nativeDRC evidence retained.</x:v>
      </x:c>
      <x:c r="J177" s="104" t="str">
        <x:v>{"ref":"U201","position_mm":[81.504766,23],"layer":"F.Cu","pins_nets":["1:GND","2:+3V3","3:ESP_EN","4:CAN_RX_MCU","5:CAN_TX_MCU","6:LED_BLE","27:ESP_GPIO0","36:UART0_RX","37:UART0_TX","38:OIL_EXCITATION_ADC","39:ADC_NODE"]}</x:v>
      </x:c>
      <x:c r="K177" s="104" t="str">
        <x:v>audit/board_vetting_20260908/lanes/DIGITAL_NATIVE_INSPECTION.json — objects.U201; tracks; esp_keepout
firmware/productization_candidate/cca_telemetry/cca_telemetry.ino — Hardware pins/setupImpl/initBle/loopImpl
firmware/productization_candidate/cca_telemetry/cca_telemetry.ino — saveRuntimeConfig; loadRuntimeConfig
firmware/productization_candidate/cca_telemetry/src/oil_model.cpp — load/save
audit/board_vetting_20260908/lanes/DIGITAL_CAN_VETTING.md — FW source-vetting explanation and explicit limits</x:v>
      </x:c>
      <x:c r="L177" s="104" t="str">
        <x:v>Power-cut interrupted-write and recovery campaign on realNVS.</x:v>
      </x:c>
      <x:c r="M177" s="104" t="str">
        <x:v>YES</x:v>
      </x:c>
      <x:c r="N177" s="104" t="str">
        <x:v>YES</x:v>
      </x:c>
      <x:c r="O177" s="104" t="str">
        <x:v>P1</x:v>
      </x:c>
    </x:row>
    <x:row r="178" ht="125" customHeight="1">
      <x:c r="A178" s="104" t="str">
        <x:v>FW-08</x:v>
      </x:c>
      <x:c r="B178" s="104" t="str">
        <x:v>Firmware, timing and data integrity</x:v>
      </x:c>
      <x:c r="C178" s="104" t="str">
        <x:v>Boot compatibility checks and recovery behavior.</x:v>
      </x:c>
      <x:c r="D178" s="104" t="str">
        <x:v>Oilcalibrationv4 embeds eFuseMAC identity; compile guards requireS3/UART0. No hardware CCArevision-ID input exists in nativepadmap.</x:v>
      </x:c>
      <x:c r="E178" s="104" t="str">
        <x:v>Per-board calibration mismatch observable; MCU identity alone cannot detect wrongCCA revision/population firmware.</x:v>
      </x:c>
      <x:c r="F178" s="104" t="str">
        <x:v>OPEN</x:v>
      </x:c>
      <x:c r="G178" s="104" t="str">
        <x:v>OPEN</x:v>
      </x:c>
      <x:c r="H178" s="104" t="str">
        <x:v>OPEN</x:v>
      </x:c>
      <x:c r="I178" s="104" t="str">
        <x:v>Direct native KiCad9.0.9 placed-pad/net/segment extraction plus exact current firmware source/datasheet comparison; source-derived calculation/host probe where explicitly stated. Existing unchanged build and nativeDRC evidence retained.</x:v>
      </x:c>
      <x:c r="J178" s="104" t="str">
        <x:v>{"ref":"U201","position_mm":[81.504766,23],"layer":"F.Cu","pins_nets":["1:GND","2:+3V3","3:ESP_EN","4:CAN_RX_MCU","5:CAN_TX_MCU","6:LED_BLE","27:ESP_GPIO0","36:UART0_RX","37:UART0_TX","38:OIL_EXCITATION_ADC","39:ADC_NODE"]}</x:v>
      </x:c>
      <x:c r="K178" s="104" t="str">
        <x:v>audit/board_vetting_20260908/lanes/DIGITAL_NATIVE_INSPECTION.json — objects.U201; tracks; esp_keepout
firmware/productization_candidate/cca_telemetry/cca_telemetry.ino — Hardware pins/setupImpl/initBle/loopImpl
firmware/productization_candidate/cca_telemetry/src/oil_model.cpp — identity-checked load and save
audit/erb_20260907/firmware_tests/identity_before.log — cross-unit acceptance defect
audit/board_vetting_20260908/lanes/DIGITAL_CAN_VETTING.md — FW source-vetting explanation and explicit limits</x:v>
      </x:c>
      <x:c r="L178" s="104" t="str">
        <x:v>Control assembly/flash station effectivity and test wrongcalibration/wrongimage recovery; state no automatic physical-revision identification.</x:v>
      </x:c>
      <x:c r="M178" s="104" t="str">
        <x:v>YES</x:v>
      </x:c>
      <x:c r="N178" s="104" t="str">
        <x:v>YES</x:v>
      </x:c>
      <x:c r="O178" s="104" t="str">
        <x:v>P1</x:v>
      </x:c>
    </x:row>
    <x:row r="179" ht="140" customHeight="1">
      <x:c r="A179" s="104" t="str">
        <x:v>FW-09</x:v>
      </x:c>
      <x:c r="B179" s="104" t="str">
        <x:v>Firmware, timing and data integrity</x:v>
      </x:c>
      <x:c r="C179" s="104" t="str">
        <x:v>Instrumented counters reconcile against an independent source/analyzer.</x:v>
      </x:c>
      <x:c r="D179" s="104" t="str">
        <x:v>CAN/BLE/parser counters present; GPS hardwareRXoverflow and linebuffer-overrun path have no dedicated counter. Coalesced overwritten CANvalues lack per-ID accounting.</x:v>
      </x:c>
      <x:c r="E179" s="104" t="str">
        <x:v>BV-DIG-02/04: stage-loss accounting cannot reconcile all acquisition-to-app loss from existing counters.</x:v>
      </x:c>
      <x:c r="F179" s="104" t="str">
        <x:v>OPEN</x:v>
      </x:c>
      <x:c r="G179" s="104" t="str">
        <x:v>OPEN</x:v>
      </x:c>
      <x:c r="H179" s="104" t="str">
        <x:v>OPEN</x:v>
      </x:c>
      <x:c r="I179" s="104" t="str">
        <x:v>Direct native KiCad9.0.9 placed-pad/net/segment extraction plus exact current firmware source/datasheet comparison; source-derived calculation/host probe where explicitly stated. Existing unchanged build and nativeDRC evidence retained.</x:v>
      </x:c>
      <x:c r="J179" s="104" t="str">
        <x:v>{"ref":"U201","position_mm":[81.504766,23],"layer":"F.Cu","pins_nets":["1:GND","2:+3V3","3:ESP_EN","4:CAN_RX_MCU","5:CAN_TX_MCU","6:LED_BLE","27:ESP_GPIO0","36:UART0_RX","37:UART0_TX","38:OIL_EXCITATION_ADC","39:ADC_NODE"]}</x:v>
      </x:c>
      <x:c r="K179" s="104" t="str">
        <x:v>audit/board_vetting_20260908/lanes/DIGITAL_NATIVE_INSPECTION.json — objects.U201; tracks; esp_keepout
firmware/productization_candidate/cca_telemetry/cca_telemetry.ino — Hardware pins/setupImpl/initBle/loopImpl
firmware/productization_candidate/cca_telemetry/cca_telemetry.ino — serviceCanHealth; serviceCanReceive; showStats; serviceCanForwarding
BRING_UP_PLAN.md — CAN and integrated gates
audit/board_vetting_20260908/lanes/DIGITAL_CALCULATIONS.json — routes; logic; diagnostics
audit/board_vetting_20260908/lanes/DIGITAL_CAN_VETTING.md — FW source-vetting explanation and explicit limits</x:v>
      </x:c>
      <x:c r="L179" s="104" t="str">
        <x:v>Add counters for UART/lineoverflow,coalescing and maxloopgap; reconcile independent sequence source.</x:v>
      </x:c>
      <x:c r="M179" s="104" t="str">
        <x:v>YES</x:v>
      </x:c>
      <x:c r="N179" s="104" t="str">
        <x:v>YES</x:v>
      </x:c>
      <x:c r="O179" s="104" t="str">
        <x:v>P1</x:v>
      </x:c>
    </x:row>
    <x:row r="180" ht="125" customHeight="1">
      <x:c r="A180" s="104" t="str">
        <x:v>FW-10</x:v>
      </x:c>
      <x:c r="B180" s="104" t="str">
        <x:v>Firmware, timing and data integrity</x:v>
      </x:c>
      <x:c r="C180" s="104" t="str">
        <x:v>Code-path audit and hardware-in-the-loop tests across release configuration.</x:v>
      </x:c>
      <x:c r="D180" s="104" t="str">
        <x:v>No transmitcall; LISTEN_ONLY in sole driverstart; zeroTXqueue; profile/recovery reuse it. HardwareTXlinkDNP unaffected by software path.</x:v>
      </x:c>
      <x:c r="E180" s="104" t="str">
        <x:v>All inspectable sources support no prohibited transmit path; full criterion expressly includesHILfault matrix.</x:v>
      </x:c>
      <x:c r="F180" s="104" t="str">
        <x:v>OPEN</x:v>
      </x:c>
      <x:c r="G180" s="104" t="str">
        <x:v>OPEN</x:v>
      </x:c>
      <x:c r="H180" s="104" t="str">
        <x:v>OPEN</x:v>
      </x:c>
      <x:c r="I180" s="104" t="str">
        <x:v>Direct native KiCad9.0.9 placed-pad/net/segment extraction plus exact current firmware source/datasheet comparison; source-derived calculation/host probe where explicitly stated. Existing unchanged build and nativeDRC evidence retained.</x:v>
      </x:c>
      <x:c r="J180" s="104" t="str">
        <x:v>{"ref":"U201","position_mm":[81.504766,23],"layer":"F.Cu","pins_nets":["1:GND","2:+3V3","3:ESP_EN","4:CAN_RX_MCU","5:CAN_TX_MCU","6:LED_BLE","27:ESP_GPIO0","36:UART0_RX","37:UART0_TX","38:OIL_EXCITATION_ADC","39:ADC_NODE"]}</x:v>
      </x:c>
      <x:c r="K180" s="104" t="str">
        <x:v>audit/board_vetting_20260908/lanes/DIGITAL_NATIVE_INSPECTION.json — objects.U201; tracks; esp_keepout
firmware/productization_candidate/cca_telemetry/cca_telemetry.ino — Hardware pins/setupImpl/initBle/loopImpl
firmware/productization_candidate/cca_telemetry/cca_telemetry.ino — startCanDriver; processCliLine; publishVirtualCan
firmware/productization_candidate/tests/check_release.py — source and actual ELF checks
audit/board_vetting_20260908/lanes/DIGITAL_CAN_VETTING.md — FW source-vetting explanation and explicit limits</x:v>
      </x:c>
      <x:c r="L180" s="104" t="str">
        <x:v>Independent bus observation across startup/flash/recovery/malformedinput states.</x:v>
      </x:c>
      <x:c r="M180" s="104" t="str">
        <x:v>YES</x:v>
      </x:c>
      <x:c r="N180" s="104" t="str">
        <x:v>YES</x:v>
      </x:c>
      <x:c r="O180" s="104" t="str">
        <x:v>P0</x:v>
      </x:c>
    </x:row>
    <x:row r="181" ht="125" customHeight="1">
      <x:c r="A181" s="104" t="str">
        <x:v>FW-11</x:v>
      </x:c>
      <x:c r="B181" s="104" t="str">
        <x:v>Firmware, timing and data integrity</x:v>
      </x:c>
      <x:c r="C181" s="104" t="str">
        <x:v>Parser fuzz/boundary tests plus integration tests with representative hardware.</x:v>
      </x:c>
      <x:c r="D181" s="104" t="str">
        <x:v>Length-bounded BLEwrites,CAN8byte check,GPS160byte line andstrict parsers; existing boundary regressions inspected. ContinuousoverlengthGPS resets buffer without dedicatedoverflowcount.</x:v>
      </x:c>
      <x:c r="E181" s="104" t="str">
        <x:v>Memory-bound patterns present; adversarial timing/concurrency and on-target integration not established.</x:v>
      </x:c>
      <x:c r="F181" s="104" t="str">
        <x:v>OPEN</x:v>
      </x:c>
      <x:c r="G181" s="104" t="str">
        <x:v>OPEN</x:v>
      </x:c>
      <x:c r="H181" s="104" t="str">
        <x:v>OPEN</x:v>
      </x:c>
      <x:c r="I181" s="104" t="str">
        <x:v>Direct native KiCad9.0.9 placed-pad/net/segment extraction plus exact current firmware source/datasheet comparison; source-derived calculation/host probe where explicitly stated. Existing unchanged build and nativeDRC evidence retained.</x:v>
      </x:c>
      <x:c r="J181" s="104" t="str">
        <x:v>{"ref":"U201","position_mm":[81.504766,23],"layer":"F.Cu","pins_nets":["1:GND","2:+3V3","3:ESP_EN","4:CAN_RX_MCU","5:CAN_TX_MCU","6:LED_BLE","27:ESP_GPIO0","36:UART0_RX","37:UART0_TX","38:OIL_EXCITATION_ADC","39:ADC_NODE"]}</x:v>
      </x:c>
      <x:c r="K181" s="104" t="str">
        <x:v>audit/board_vetting_20260908/lanes/DIGITAL_NATIVE_INSPECTION.json — objects.U201; tracks; esp_keepout
firmware/productization_candidate/cca_telemetry/cca_telemetry.ino — Hardware pins/setupImpl/initBle/loopImpl
audit/erb_20260907/firmware_tests/protocol_after.log — 11407 assertions
audit/erb_20260907/firmware_tests/parser_before.log — 20/26 failures
audit/board_vetting_20260908/lanes/DIGITAL_CAN_VETTING.md — FW source-vetting explanation and explicit limits</x:v>
      </x:c>
      <x:c r="L181" s="104" t="str">
        <x:v>Fuzz representative raw UART/CAN/BLE streams and concurrent startup/reconnect; count overflow/rejection.</x:v>
      </x:c>
      <x:c r="M181" s="104" t="str">
        <x:v>YES</x:v>
      </x:c>
      <x:c r="N181" s="104" t="str">
        <x:v>YES</x:v>
      </x:c>
      <x:c r="O181" s="104" t="str">
        <x:v>P1</x:v>
      </x:c>
    </x:row>
    <x:row r="182" ht="125" customHeight="1">
      <x:c r="A182" s="104" t="str">
        <x:v>FW-12</x:v>
      </x:c>
      <x:c r="B182" s="104" t="str">
        <x:v>Firmware, timing and data integrity</x:v>
      </x:c>
      <x:c r="C182" s="104" t="str">
        <x:v>Regression evidence for claimed compatibility; pin preservation alone is insufficient.</x:v>
      </x:c>
      <x:c r="D182" s="104" t="str">
        <x:v>Exact oldRevA firmware is not drop-in: twoLEDpins,oiltransfer/excitationcalibration,listen-onlypolicy and configuration schemas differ. Current2.1.1 source/compiledimages explicitly supplied.</x:v>
      </x:c>
      <x:c r="E182" s="104" t="str">
        <x:v>Compatibility answer is definitively NO for unchanged oldfirmware; preserved essentialGPIOs do not imply firmware equivalence.</x:v>
      </x:c>
      <x:c r="F182" s="104" t="str">
        <x:v>VERIFIED</x:v>
      </x:c>
      <x:c r="G182" s="104" t="str">
        <x:v>CLOSED</x:v>
      </x:c>
      <x:c r="H182" s="104" t="str">
        <x:v>CLOSED</x:v>
      </x:c>
      <x:c r="I182" s="104" t="str">
        <x:v>Direct native KiCad9.0.9 placed-pad/net/segment extraction plus exact current firmware source/datasheet comparison; source-derived calculation/host probe where explicitly stated. Existing unchanged build and nativeDRC evidence retained.</x:v>
      </x:c>
      <x:c r="J182" s="104" t="str">
        <x:v>{"ref":"U201","position_mm":[81.504766,23],"layer":"F.Cu","pins_nets":["1:GND","2:+3V3","3:ESP_EN","4:CAN_RX_MCU","5:CAN_TX_MCU","6:LED_BLE","27:ESP_GPIO0","36:UART0_RX","37:UART0_TX","38:OIL_EXCITATION_ADC","39:ADC_NODE"]}</x:v>
      </x:c>
      <x:c r="K182" s="104" t="str">
        <x:v>audit/board_vetting_20260908/lanes/DIGITAL_NATIVE_INSPECTION.json — objects.U201; tracks; esp_keepout
firmware/productization_candidate/cca_telemetry/cca_telemetry.ino — Hardware pins/setupImpl/initBle/loopImpl
firmware/productization_candidate/PROGRAMMING_AND_CALIBRATION.md — Oil validity; ERB corrective candidate
qualification/productization/FIRMWARE_PRODUCT_REVIEW.md — Hardware contract and versioned prior changes
audit/board_vetting_20260908/lanes/DIGITAL_CAN_VETTING.md — FW source-vetting explanation and explicit limits</x:v>
      </x:c>
      <x:c r="L182" s="104" t="str">
        <x:v>Use controlledRevBimage andnew calibration; physical regression remainsseparate.</x:v>
      </x:c>
      <x:c r="M182" s="104" t="str">
        <x:v>YES</x:v>
      </x:c>
      <x:c r="N182" s="104" t="str">
        <x:v>NO</x:v>
      </x:c>
      <x:c r="O182" s="104" t="str">
        <x:v>P1</x:v>
      </x:c>
    </x:row>
    <x:row r="183" ht="125" customHeight="1">
      <x:c r="A183" s="104" t="str">
        <x:v>HAR-01</x:v>
      </x:c>
      <x:c r="B183" s="104" t="str">
        <x:v>Connectors and harness</x:v>
      </x:c>
      <x:c r="C183" s="104" t="str">
        <x:v>Is F1's exact manufacturer/series/part number and mating assembly known? Required evidence: Connector and mating housing/contact BOM; a generic 'Molex' description is not sufficient.</x:v>
      </x:c>
      <x:c r="D183" s="104" t="str">
        <x:v>Native F1 and selected BOM match Molex 0430451200; mate0430251200; tin contacts0430300007 loose/0430300001 reel. 12 pads, 3 mm pitch, 1.02 mm electrical drills and two3 mm pegs match family drawing.</x:v>
      </x:c>
      <x:c r="E183" s="104" t="str">
        <x:v>Identity/package source criterion passes; exact cable/tool/vehicle endpoint are separate unresolved harness inputs.</x:v>
      </x:c>
      <x:c r="F183" s="104" t="str">
        <x:v>VERIFIED</x:v>
      </x:c>
      <x:c r="G183" s="104" t="str">
        <x:v>CLOSED</x:v>
      </x:c>
      <x:c r="H183" s="104" t="str">
        <x:v>CLOSED</x:v>
      </x:c>
      <x:c r="I183" s="104" t="str">
        <x:v>Direct native KiCad pad/body/position/population extraction; exact manufacturer geometry and point-by-point document/fixture contract inspection. Detailed calculations in cited evidence.</x:v>
      </x:c>
      <x:c r="J183" s="104" t="str">
        <x:v>F1
 pads1-12
 top(8.3,23.5)</x:v>
      </x:c>
      <x:c r="K183" s="104" t="str">
        <x:v>audit/board_vetting_20260908/lanes/mechanics_geometry/MECHANICAL_VETTING_GEOMETRY.json — connector_contacts
audit/board_vetting_20260908/lanes/mechanics_geometry/MECHANICAL_VETTING.md — HAR direct source vetting and limitations</x:v>
      </x:c>
      <x:c r="L183" s="104" t="str">
        <x:v>No completed harness identity or supplier crimp acceptance is inferred.</x:v>
      </x:c>
      <x:c r="M183" s="104" t="str">
        <x:v>YES</x:v>
      </x:c>
      <x:c r="N183" s="104" t="str">
        <x:v>NO</x:v>
      </x:c>
      <x:c r="O183" s="104" t="str">
        <x:v>P0</x:v>
      </x:c>
    </x:row>
    <x:row r="184" ht="125" customHeight="1">
      <x:c r="A184" s="104" t="str">
        <x:v>HAR-02</x:v>
      </x:c>
      <x:c r="B184" s="104" t="str">
        <x:v>Connectors and harness</x:v>
      </x:c>
      <x:c r="C184" s="104" t="str">
        <x:v>Do board top, bottom, mating face, wire-entry face and latch orientation agree on every pin? Required evidence: Controlled drawings plus actual harness continuity from connector to destination.</x:v>
      </x:c>
      <x:c r="D184" s="104" t="str">
        <x:v>Read actual twelve pad coordinates and visually checked Molex component-side numbering. Top, mirrored bottom, header face, housing face and wire-entry views retain physical numbering; pin1 lower-right at header mating face, lower-left at housing contact face.</x:v>
      </x:c>
      <x:c r="E184" s="104" t="str">
        <x:v>No source view reversal found. Actual end-to-end harness continuity is still absent.</x:v>
      </x:c>
      <x:c r="F184" s="104" t="str">
        <x:v>VERIFIED</x:v>
      </x:c>
      <x:c r="G184" s="104" t="str">
        <x:v>OPEN</x:v>
      </x:c>
      <x:c r="H184" s="104" t="str">
        <x:v>OPEN</x:v>
      </x:c>
      <x:c r="I184" s="104" t="str">
        <x:v>Direct native KiCad pad/body/position/population extraction; exact manufacturer geometry and point-by-point document/fixture contract inspection. Detailed calculations in cited evidence.</x:v>
      </x:c>
      <x:c r="J184" s="104" t="str">
        <x:v>F1
 pads1-12
 F.Cu/B.Cu
 CONNECTOR_VETTING_VIEWS.svg</x:v>
      </x:c>
      <x:c r="K184" s="104" t="str">
        <x:v>audit/board_vetting_20260908/lanes/mechanics_geometry/MECHANICAL_VETTING_GEOMETRY.json — connector_contacts
audit/board_vetting_20260908/lanes/mechanics_geometry/MECHANICAL_VETTING.md — HAR direct source vetting and limitations</x:v>
      </x:c>
      <x:c r="L184" s="104" t="str">
        <x:v>Finished harness must be checked against all numbered cavities, not wire color.</x:v>
      </x:c>
      <x:c r="M184" s="104" t="str">
        <x:v>YES</x:v>
      </x:c>
      <x:c r="N184" s="104" t="str">
        <x:v>YES</x:v>
      </x:c>
      <x:c r="O184" s="104" t="str">
        <x:v>P0</x:v>
      </x:c>
    </x:row>
    <x:row r="185" ht="125" customHeight="1">
      <x:c r="A185" s="104" t="str">
        <x:v>HAR-03</x:v>
      </x:c>
      <x:c r="B185" s="104" t="str">
        <x:v>Connectors and harness</x:v>
      </x:c>
      <x:c r="C185" s="104" t="str">
        <x:v>Are F1-5 CANL, F1-6 CANH, F1-7 oil signal, F1-8 sensor 5 V and F1-9 sensor ground preserved or formally changed? Required evidence: Pin-by-pin comparison to controlled redlines and any approved interface change.</x:v>
      </x:c>
      <x:c r="D185" s="104" t="str">
        <x:v>Native F1.5=CANL,.6=CANH,.7=OIL_SIG,.8=OIL_5V,.9=GND. Actual Rev A comparison retains those functions; .4 IGN becomes NC and .11 GND becomes NC; .3 now requires switched power.</x:v>
      </x:c>
      <x:c r="E185" s="104" t="str">
        <x:v>The five asked CAN/oil functions are preserved. Two other pins changed and switched source behavior is mandatory.</x:v>
      </x:c>
      <x:c r="F185" s="104" t="str">
        <x:v>VERIFIED</x:v>
      </x:c>
      <x:c r="G185" s="104" t="str">
        <x:v>CLOSED</x:v>
      </x:c>
      <x:c r="H185" s="104" t="str">
        <x:v>CLOSED</x:v>
      </x:c>
      <x:c r="I185" s="104" t="str">
        <x:v>Direct native KiCad pad/body/position/population extraction; exact manufacturer geometry and point-by-point document/fixture contract inspection. Detailed calculations in cited evidence.</x:v>
      </x:c>
      <x:c r="J185" s="104" t="str">
        <x:v>F1.3-.9,.11
 CANH/CANL/OIL_SIG/OIL_5V/GND</x:v>
      </x:c>
      <x:c r="K185" s="104" t="str">
        <x:v>audit/board_vetting_20260908/lanes/mechanics_geometry/MECHANICAL_VETTING_GEOMETRY.json — f1_comparison
audit/board_vetting_20260908/lanes/mechanics_geometry/MECHANICAL_VETTING.md — HAR direct source vetting and limitations</x:v>
      </x:c>
      <x:c r="L185" s="104" t="str">
        <x:v>Actual ASC source cavity and sensor endpoint still require harness verification.</x:v>
      </x:c>
      <x:c r="M185" s="104" t="str">
        <x:v>YES</x:v>
      </x:c>
      <x:c r="N185" s="104" t="str">
        <x:v>NO</x:v>
      </x:c>
      <x:c r="O185" s="104" t="str">
        <x:v>P0</x:v>
      </x:c>
    </x:row>
    <x:row r="186" ht="125" customHeight="1">
      <x:c r="A186" s="104" t="str">
        <x:v>HAR-04</x:v>
      </x:c>
      <x:c r="B186" s="104" t="str">
        <x:v>Connectors and harness</x:v>
      </x:c>
      <x:c r="C186" s="104" t="str">
        <x:v>Are wire gauge, insulation, contact rating and upstream fuse compatible with load and fault currents? Required evidence: Derating and fault coordination for harness length and installation temperature.</x:v>
      </x:c>
      <x:c r="D186" s="104" t="str">
        <x:v>Selected contacts support20-24 AWG and &lt;=1.85 mm insulation. Board F101 is1 A. Actual F1 pin3-to2/9 connector short lies ahead of F101; wire length/MPN and upstream fuse are absent.</x:v>
      </x:c>
      <x:c r="E186" s="104" t="str">
        <x:v>Gauge range is compatible with the proposed interface, but protection of the upstream wire is not established by the board fuse.</x:v>
      </x:c>
      <x:c r="F186" s="104" t="str">
        <x:v>HOLD</x:v>
      </x:c>
      <x:c r="G186" s="104" t="str">
        <x:v>OPEN</x:v>
      </x:c>
      <x:c r="H186" s="104" t="str">
        <x:v>OPEN</x:v>
      </x:c>
      <x:c r="I186" s="104" t="str">
        <x:v>Direct native KiCad pad/body/position/population extraction; exact manufacturer geometry and point-by-point document/fixture contract inspection. Detailed calculations in cited evidence.</x:v>
      </x:c>
      <x:c r="J186" s="104" t="str">
        <x:v>F1.3 RAW_12V
 F1.1/.2/.9 GND
 F101</x:v>
      </x:c>
      <x:c r="K186" s="104" t="str">
        <x:v>audit/board_vetting_20260908/lanes/mechanics_geometry/MECHANICAL_VETTING_GEOMETRY.json — F1_FAULT_MATRIX.csv
audit/board_vetting_20260908/lanes/mechanics_geometry/MECHANICAL_VETTING.md — HAR direct source vetting and limitations
audit/board_vetting_20260908/lanes/mechanics_geometry/F1_FAULT_MATRIX.csv — Full object-level table/drawing</x:v>
      </x:c>
      <x:c r="L186" s="104" t="str">
        <x:v>Select actual branch wire/fuse and verify temperature, clearing and single-return current.</x:v>
      </x:c>
      <x:c r="M186" s="104" t="str">
        <x:v>YES</x:v>
      </x:c>
      <x:c r="N186" s="104" t="str">
        <x:v>YES</x:v>
      </x:c>
      <x:c r="O186" s="104" t="str">
        <x:v>P0</x:v>
      </x:c>
    </x:row>
    <x:row r="187" ht="125" customHeight="1">
      <x:c r="A187" s="104" t="str">
        <x:v>HAR-05</x:v>
      </x:c>
      <x:c r="B187" s="104" t="str">
        <x:v>Connectors and harness</x:v>
      </x:c>
      <x:c r="C187" s="104" t="str">
        <x:v>Are terminals, crimp tooling, insertion/retention and pull-test requirements specified? Required evidence: Harness work instruction and inspection/test records.</x:v>
      </x:c>
      <x:c r="D187" s="104" t="str">
        <x:v>Exact tin contacts and family housing are named; construction instruction explicitly requires a qualified contact/wire/tool combination. No tool/applicator, crimp-height/strip/pull data or physical samples are supplied.</x:v>
      </x:c>
      <x:c r="E187" s="104" t="str">
        <x:v>Real remaining delta is release of the crimp process and its acceptance evidence, not generic connector uncertainty.</x:v>
      </x:c>
      <x:c r="F187" s="104" t="str">
        <x:v>OPEN</x:v>
      </x:c>
      <x:c r="G187" s="104" t="str">
        <x:v>OPEN</x:v>
      </x:c>
      <x:c r="H187" s="104" t="str">
        <x:v>OPEN</x:v>
      </x:c>
      <x:c r="I187" s="104" t="str">
        <x:v>Direct native KiCad pad/body/position/population extraction; exact manufacturer geometry and point-by-point document/fixture contract inspection. Detailed calculations in cited evidence.</x:v>
      </x:c>
      <x:c r="J187" s="104" t="str">
        <x:v>F1 housing0430251200
 terminal0430300007/0001</x:v>
      </x:c>
      <x:c r="K187" s="104" t="str">
        <x:v>audit/board_vetting_20260908/lanes/mechanics_geometry/MECHANICAL_VETTING_GEOMETRY.json — F1_HARNESS_ASSEMBLY_SPEC.md
audit/board_vetting_20260908/lanes/mechanics_geometry/MECHANICAL_VETTING.md — HAR direct source vetting and limitations
audit/erb_20260907/F1_HARNESS_ASSEMBLY_SPEC.md — Complete current instruction</x:v>
      </x:c>
      <x:c r="L187" s="104" t="str">
        <x:v>Exact wire/tool setup and measured retention/pull evidence.</x:v>
      </x:c>
      <x:c r="M187" s="104" t="str">
        <x:v>YES</x:v>
      </x:c>
      <x:c r="N187" s="104" t="str">
        <x:v>YES</x:v>
      </x:c>
      <x:c r="O187" s="104" t="str">
        <x:v>P1</x:v>
      </x:c>
    </x:row>
    <x:row r="188" ht="125" customHeight="1">
      <x:c r="A188" s="104" t="str">
        <x:v>HAR-06</x:v>
      </x:c>
      <x:c r="B188" s="104" t="str">
        <x:v>Connectors and harness</x:v>
      </x:c>
      <x:c r="C188" s="104" t="str">
        <x:v>Is the CAN pair twisted appropriately and kept short through the tap and connectors? Required evidence: Harness routing/drawing specifies pair handling and maximum branch geometry.</x:v>
      </x:c>
      <x:c r="D188" s="104" t="str">
        <x:v>Actual PCB uses adjacent F1.5/.6 with 3 mm longitudinal spacing; harness spec limits the total tap branch to0.30 m and requires twisted pair. Cable twist rate, end untwist and installed branch length are unspecified.</x:v>
      </x:c>
      <x:c r="E188" s="104" t="str">
        <x:v>Board pair assignment passes. A complete cable construction/route cannot be deduced from PCB geometry.</x:v>
      </x:c>
      <x:c r="F188" s="104" t="str">
        <x:v>OPEN</x:v>
      </x:c>
      <x:c r="G188" s="104" t="str">
        <x:v>OPEN</x:v>
      </x:c>
      <x:c r="H188" s="104" t="str">
        <x:v>OPEN</x:v>
      </x:c>
      <x:c r="I188" s="104" t="str">
        <x:v>Direct native KiCad pad/body/position/population extraction; exact manufacturer geometry and point-by-point document/fixture contract inspection. Detailed calculations in cited evidence.</x:v>
      </x:c>
      <x:c r="J188" s="104" t="str">
        <x:v>F1.5(8.3,11.5) CANL
 F1.6(8.3,8.5) CANH</x:v>
      </x:c>
      <x:c r="K188" s="104" t="str">
        <x:v>audit/board_vetting_20260908/lanes/mechanics_geometry/MECHANICAL_VETTING_GEOMETRY.json — connector_contacts
audit/board_vetting_20260908/lanes/mechanics_geometry/MECHANICAL_VETTING.md — HAR direct source vetting and limitations</x:v>
      </x:c>
      <x:c r="L188" s="104" t="str">
        <x:v>Exact cable, twist/untwist and measured installed branch geometry.</x:v>
      </x:c>
      <x:c r="M188" s="104" t="str">
        <x:v>YES</x:v>
      </x:c>
      <x:c r="N188" s="104" t="str">
        <x:v>YES</x:v>
      </x:c>
      <x:c r="O188" s="104" t="str">
        <x:v>P1</x:v>
      </x:c>
    </x:row>
    <x:row r="189" ht="125" customHeight="1">
      <x:c r="A189" s="104" t="str">
        <x:v>HAR-07</x:v>
      </x:c>
      <x:c r="B189" s="104" t="str">
        <x:v>Connectors and harness</x:v>
      </x:c>
      <x:c r="C189" s="104" t="str">
        <x:v>Can a mis-mated connector, adjacent-pin short or swapped power/signal damage the vehicle or board? Required evidence: Keying, labeling and credible miswire FMEA; tests use a protected fixture.</x:v>
      </x:c>
      <x:c r="D189" s="104" t="str">
        <x:v>Direct coordinate enumeration produced all 16 3 mm adjacent-contact pairs plus 7 miswire/ground cases. 3-to2/9 needs upstream fuse; 5-to6 shorts bus; mirrored crimping can ground both CAN lines.</x:v>
      </x:c>
      <x:c r="E189" s="104" t="str">
        <x:v>Previously missing adjacent-contact FMEA is now performed. Fault containment/acceptance gaps are explicit and cannot be fixed by listen-only firmware alone.</x:v>
      </x:c>
      <x:c r="F189" s="104" t="str">
        <x:v>HOLD</x:v>
      </x:c>
      <x:c r="G189" s="104" t="str">
        <x:v>OPEN</x:v>
      </x:c>
      <x:c r="H189" s="104" t="str">
        <x:v>OPEN</x:v>
      </x:c>
      <x:c r="I189" s="104" t="str">
        <x:v>Direct native KiCad pad/body/position/population extraction; exact manufacturer geometry and point-by-point document/fixture contract inspection. Detailed calculations in cited evidence.</x:v>
      </x:c>
      <x:c r="J189" s="104" t="str">
        <x:v>F1 all16 adjacent pairs
 F101
 U501/R507
 CANH/CANL</x:v>
      </x:c>
      <x:c r="K189" s="104" t="str">
        <x:v>audit/board_vetting_20260908/lanes/mechanics_geometry/MECHANICAL_VETTING_GEOMETRY.json — F1_FAULT_MATRIX.csv
audit/board_vetting_20260908/lanes/mechanics_geometry/MECHANICAL_VETTING.md — HAR direct source vetting and limitations
audit/board_vetting_20260908/lanes/mechanics_geometry/F1_FAULT_MATRIX.csv — Full object-level table/drawing</x:v>
      </x:c>
      <x:c r="L189" s="104" t="str">
        <x:v>Resolve upstream protection, exact sensor back-drive, vehicle ground return and protected harness fixture acceptance.</x:v>
      </x:c>
      <x:c r="M189" s="104" t="str">
        <x:v>YES</x:v>
      </x:c>
      <x:c r="N189" s="104" t="str">
        <x:v>YES</x:v>
      </x:c>
      <x:c r="O189" s="104" t="str">
        <x:v>P0</x:v>
      </x:c>
    </x:row>
    <x:row r="190" ht="125" customHeight="1">
      <x:c r="A190" s="104" t="str">
        <x:v>HAR-08</x:v>
      </x:c>
      <x:c r="B190" s="104" t="str">
        <x:v>Connectors and harness</x:v>
      </x:c>
      <x:c r="C190" s="104" t="str">
        <x:v>Are unused pins safely assigned and future options prevented from creating ambiguous harness variants? Required evidence: Reserved-pin rules and variant identification.</x:v>
      </x:c>
      <x:c r="D190" s="104" t="str">
        <x:v>Native pads4,10,11,12 are uniquely named unconnected pads with no intended functional assignment; harness rule requires omitted contacts and a new revision before future use.</x:v>
      </x:c>
      <x:c r="E190" s="104" t="str">
        <x:v>No unexpected functional net on a reserved cavity was found. Explicit removal of old IGN4/GND11 is captured.</x:v>
      </x:c>
      <x:c r="F190" s="104" t="str">
        <x:v>VERIFIED</x:v>
      </x:c>
      <x:c r="G190" s="104" t="str">
        <x:v>CLOSED</x:v>
      </x:c>
      <x:c r="H190" s="104" t="str">
        <x:v>CLOSED</x:v>
      </x:c>
      <x:c r="I190" s="104" t="str">
        <x:v>Direct native KiCad pad/body/position/population extraction; exact manufacturer geometry and point-by-point document/fixture contract inspection. Detailed calculations in cited evidence.</x:v>
      </x:c>
      <x:c r="J190" s="104" t="str">
        <x:v>F1.4,.10,.11,.12
 no-connect names</x:v>
      </x:c>
      <x:c r="K190" s="104" t="str">
        <x:v>audit/board_vetting_20260908/lanes/mechanics_geometry/MECHANICAL_VETTING_GEOMETRY.json — connector_contacts
audit/board_vetting_20260908/lanes/mechanics_geometry/MECHANICAL_VETTING.md — HAR direct source vetting and limitations</x:v>
      </x:c>
      <x:c r="L190" s="104" t="str">
        <x:v>Final physical no-contact/no-conductor inspection remains part of harness acceptance.</x:v>
      </x:c>
      <x:c r="M190" s="104" t="str">
        <x:v>YES</x:v>
      </x:c>
      <x:c r="N190" s="104" t="str">
        <x:v>NO</x:v>
      </x:c>
      <x:c r="O190" s="104" t="str">
        <x:v>P1</x:v>
      </x:c>
    </x:row>
    <x:row r="191" ht="125" customHeight="1">
      <x:c r="A191" s="104" t="str">
        <x:v>HAR-09</x:v>
      </x:c>
      <x:c r="B191" s="104" t="str">
        <x:v>Connectors and harness</x:v>
      </x:c>
      <x:c r="C191" s="104" t="str">
        <x:v>Are cable strain relief, vibration, bend radius and service-loop requirements satisfied? Required evidence: Installed routing and mechanical retention review.</x:v>
      </x:c>
      <x:c r="D191" s="104" t="str">
        <x:v>F1 plastic pegs occupy native holes and provide connector retention; no carrier/enclosure/strain-relief object or harness bend geometry exists. J401 is a bottom U.FL socket requiring separately secured cable.</x:v>
      </x:c>
      <x:c r="E191" s="104" t="str">
        <x:v>Connector retention is present; cable loads are not demonstrated to bypass PCB solder joints.</x:v>
      </x:c>
      <x:c r="F191" s="104" t="str">
        <x:v>OPEN</x:v>
      </x:c>
      <x:c r="G191" s="104" t="str">
        <x:v>OPEN</x:v>
      </x:c>
      <x:c r="H191" s="104" t="str">
        <x:v>OPEN</x:v>
      </x:c>
      <x:c r="I191" s="104" t="str">
        <x:v>Direct native KiCad pad/body/position/population extraction; exact manufacturer geometry and point-by-point document/fixture contract inspection. Detailed calculations in cited evidence.</x:v>
      </x:c>
      <x:c r="J191" s="104" t="str">
        <x:v>F1 pegs(3.98,10.64)/(3.98,21.34)
 J401(65.3,8.8)B.Cu</x:v>
      </x:c>
      <x:c r="K191" s="104" t="str">
        <x:v>audit/board_vetting_20260908/lanes/mechanics_geometry/MECHANICAL_VETTING_GEOMETRY.json — holes
audit/board_vetting_20260908/lanes/mechanics_geometry/MECHANICAL_VETTING.md — HAR direct source vetting and limitations</x:v>
      </x:c>
      <x:c r="L191" s="104" t="str">
        <x:v>Actual strain relief, cable bend radius, service loop and vibration retention.</x:v>
      </x:c>
      <x:c r="M191" s="104" t="str">
        <x:v>YES</x:v>
      </x:c>
      <x:c r="N191" s="104" t="str">
        <x:v>YES</x:v>
      </x:c>
      <x:c r="O191" s="104" t="str">
        <x:v>P1</x:v>
      </x:c>
    </x:row>
    <x:row r="192" ht="125" customHeight="1">
      <x:c r="A192" s="104" t="str">
        <x:v>HAR-10</x:v>
      </x:c>
      <x:c r="B192" s="104" t="str">
        <x:v>Connectors and harness</x:v>
      </x:c>
      <x:c r="C192" s="104" t="str">
        <x:v>Are connector and test labels readable and meaningful after installation? Required evidence: Assembly/service inspection checks access, orientation and field troubleshooting.</x:v>
      </x:c>
      <x:c r="D192" s="104" t="str">
        <x:v>Actual assembly has F1 pin1 marker, numbered TP contacts, Tag pin1 and BOOT/RESET labels. Five-view annotation has been regenerated from native pads. Installed line-of-sight is unknown.</x:v>
      </x:c>
      <x:c r="E192" s="104" t="str">
        <x:v>Board identification exists; full labels/readability after enclosure installation are not yet demonstrated.</x:v>
      </x:c>
      <x:c r="F192" s="104" t="str">
        <x:v>OPEN</x:v>
      </x:c>
      <x:c r="G192" s="104" t="str">
        <x:v>OPEN</x:v>
      </x:c>
      <x:c r="H192" s="104" t="str">
        <x:v>OPEN</x:v>
      </x:c>
      <x:c r="I192" s="104" t="str">
        <x:v>Direct native KiCad pad/body/position/population extraction; exact manufacturer geometry and point-by-point document/fixture contract inspection. Detailed calculations in cited evidence.</x:v>
      </x:c>
      <x:c r="J192" s="104" t="str">
        <x:v>F1
 J201/J202/J203
 TP101-TP510
 silkscreens</x:v>
      </x:c>
      <x:c r="K192" s="104" t="str">
        <x:v>audit/board_vetting_20260908/lanes/mechanics_geometry/MECHANICAL_VETTING_GEOMETRY.json — BOARD_TOP_BOTTOM_MECHANICAL.svg
audit/board_vetting_20260908/lanes/mechanics_geometry/MECHANICAL_VETTING.md — HAR direct source vetting and limitations
audit/board_vetting_20260908/lanes/mechanics_geometry/BOARD_TOP_BOTTOM_MECHANICAL.svg — Full object-level table/drawing</x:v>
      </x:c>
      <x:c r="L192" s="104" t="str">
        <x:v>Installed readability and troubleshooting access demonstration.</x:v>
      </x:c>
      <x:c r="M192" s="104" t="str">
        <x:v>YES</x:v>
      </x:c>
      <x:c r="N192" s="104" t="str">
        <x:v>YES</x:v>
      </x:c>
      <x:c r="O192" s="104" t="str">
        <x:v>P1</x:v>
      </x:c>
    </x:row>
    <x:row r="193" ht="125" customHeight="1">
      <x:c r="A193" s="104" t="str">
        <x:v>MECH-01</x:v>
      </x:c>
      <x:c r="B193" s="104" t="str">
        <x:v>Mechanical fit and installation</x:v>
      </x:c>
      <x:c r="C193" s="104" t="str">
        <x:v>Is the board outline and hole pattern dimensionally compatible with the intended enclosure and harness access? Required evidence: Datum-based drawing, STEP interference check and physical fit verification.</x:v>
      </x:c>
      <x:c r="D193" s="104" t="str">
        <x:v>Bare outline88.254766x41.288863 is retained. ESP extends6 mm right; F1 fab body extends0.73 mm left. Nominal populated X span94.984766 mm, before mating cables, tolerances or RF clearance.</x:v>
      </x:c>
      <x:c r="E193" s="104" t="str">
        <x:v>Enclosure fit must use assembled geometry, not88.25 mm board length. No actual enclosure/carrier drawing exists.</x:v>
      </x:c>
      <x:c r="F193" s="104" t="str">
        <x:v>HOLD</x:v>
      </x:c>
      <x:c r="G193" s="104" t="str">
        <x:v>OPEN</x:v>
      </x:c>
      <x:c r="H193" s="104" t="str">
        <x:v>OPEN</x:v>
      </x:c>
      <x:c r="I193" s="104" t="str">
        <x:v>Direct native KiCad pad/body/position/population extraction; exact manufacturer geometry and point-by-point document/fixture contract inspection. Detailed calculations in cited evidence.</x:v>
      </x:c>
      <x:c r="J193" s="104" t="str">
        <x:v>Edge.Cuts
 U201 bodyX68.754766..94.254766
 F1X-0.73..9.4</x:v>
      </x:c>
      <x:c r="K193" s="104" t="str">
        <x:v>audit/board_vetting_20260908/lanes/mechanics_geometry/MECHANICAL_VETTING_GEOMETRY.json — MECHANICAL_VETTING.md
audit/board_vetting_20260908/lanes/mechanics_geometry/MECHANICAL_VETTING.md — MECH direct source vetting and limitations</x:v>
      </x:c>
      <x:c r="L193" s="104" t="str">
        <x:v>Complete enclosure, mating/tool/cable sweeps, tolerated models and physical fit.</x:v>
      </x:c>
      <x:c r="M193" s="104" t="str">
        <x:v>YES</x:v>
      </x:c>
      <x:c r="N193" s="104" t="str">
        <x:v>YES</x:v>
      </x:c>
      <x:c r="O193" s="104" t="str">
        <x:v>P0</x:v>
      </x:c>
    </x:row>
    <x:row r="194" ht="125" customHeight="1">
      <x:c r="A194" s="104" t="str">
        <x:v>MECH-02</x:v>
      </x:c>
      <x:c r="B194" s="104" t="str">
        <x:v>Mechanical fit and installation</x:v>
      </x:c>
      <x:c r="C194" s="104" t="str">
        <x:v>What changed in outline, mounting holes, connector position and height from Rev A to Rev B? Required evidence: Measured form/fit delta table with enclosure and installation impact.</x:v>
      </x:c>
      <x:c r="D194" s="104" t="str">
        <x:v>All 12 F1 pad deltas measured from normalized Altium source: pin1 dx-1.977383,dy+12.052616 mm; row+X becomes-Y. Peg positions move; zero dedicated mount holes. Top/bottom factory population73/71.</x:v>
      </x:c>
      <x:c r="E194" s="104" t="str">
        <x:v>Measured form/fit delta table now exists. Original outline preservation does not preserve connector approach or underside clearance.</x:v>
      </x:c>
      <x:c r="F194" s="104" t="str">
        <x:v>VERIFIED</x:v>
      </x:c>
      <x:c r="G194" s="104" t="str">
        <x:v>OPEN</x:v>
      </x:c>
      <x:c r="H194" s="104" t="str">
        <x:v>OPEN</x:v>
      </x:c>
      <x:c r="I194" s="104" t="str">
        <x:v>Direct native KiCad pad/body/position/population extraction; exact manufacturer geometry and point-by-point document/fixture contract inspection. Detailed calculations in cited evidence.</x:v>
      </x:c>
      <x:c r="J194" s="104" t="str">
        <x:v>F1 pins/pegs
 Edge.Cuts
 all186footprints</x:v>
      </x:c>
      <x:c r="K194" s="104" t="str">
        <x:v>audit/board_vetting_20260908/lanes/mechanics_geometry/MECHANICAL_VETTING_GEOMETRY.json — F1_PIN_DELTAS.csv
audit/board_vetting_20260908/lanes/mechanics_geometry/MECHANICAL_VETTING.md — MECH direct source vetting and limitations
audit/board_vetting_20260908/lanes/mechanics_geometry/F1_PIN_DELTAS.csv — Full object-level table/drawing</x:v>
      </x:c>
      <x:c r="L194" s="104" t="str">
        <x:v>Installed enclosure response is addressed separately by MECH-01/-03.</x:v>
      </x:c>
      <x:c r="M194" s="104" t="str">
        <x:v>YES</x:v>
      </x:c>
      <x:c r="N194" s="104" t="str">
        <x:v>NO</x:v>
      </x:c>
      <x:c r="O194" s="104" t="str">
        <x:v>P1</x:v>
      </x:c>
    </x:row>
    <x:row r="195" ht="125" customHeight="1">
      <x:c r="A195" s="104" t="str">
        <x:v>MECH-03</x:v>
      </x:c>
      <x:c r="B195" s="104" t="str">
        <x:v>Mechanical fit and installation</x:v>
      </x:c>
      <x:c r="C195" s="104" t="str">
        <x:v>Are bottom-side components allowed by standoff height and enclosure clearance? Required evidence: Worst-case tolerance stack includes component heights, solder protrusion, warp and fasteners.</x:v>
      </x:c>
      <x:c r="D195" s="104" t="str">
        <x:v>Exact bottom L151 -103 max height3.1 mm exceeds a3 mm standoff before solder. Dominant top F1 conservative bound9.27 mm; headers8.94 mm; GPS6.9 mm. Explicit preliminary allocations:4.5 mm underside,10.5 mm topside.</x:v>
      </x:c>
      <x:c r="E195" s="104" t="str">
        <x:v>Quantitative provisional envelope replaces a blanket missing-model finding. These allocations are not a completed all-part/enclosure tolerance pass.</x:v>
      </x:c>
      <x:c r="F195" s="104" t="str">
        <x:v>CALCULATED</x:v>
      </x:c>
      <x:c r="G195" s="104" t="str">
        <x:v>OPEN</x:v>
      </x:c>
      <x:c r="H195" s="104" t="str">
        <x:v>OPEN</x:v>
      </x:c>
      <x:c r="I195" s="104" t="str">
        <x:v>Direct native KiCad pad/body/position/population extraction; exact manufacturer geometry and point-by-point document/fixture contract inspection. Detailed calculations in cited evidence.</x:v>
      </x:c>
      <x:c r="J195" s="104" t="str">
        <x:v>L151 B.Cu(25.7,16.5)
 F1/J202/J203/U401 F.Cu</x:v>
      </x:c>
      <x:c r="K195" s="104" t="str">
        <x:v>audit/board_vetting_20260908/lanes/mechanics_geometry/MECHANICAL_VETTING_GEOMETRY.json — MECHANICAL_VETTING.md
audit/board_vetting_20260908/lanes/mechanics_geometry/MECHANICAL_VETTING.md — MECH direct source vetting and limitations</x:v>
      </x:c>
      <x:c r="L195" s="104" t="str">
        <x:v>Actual standoffs/enclosure and full part, solder, warp, placement and cable/plug tolerances remain unresolved.</x:v>
      </x:c>
      <x:c r="M195" s="104" t="str">
        <x:v>YES</x:v>
      </x:c>
      <x:c r="N195" s="104" t="str">
        <x:v>YES</x:v>
      </x:c>
      <x:c r="O195" s="104" t="str">
        <x:v>P1</x:v>
      </x:c>
    </x:row>
    <x:row r="196" ht="125" customHeight="1">
      <x:c r="A196" s="104" t="str">
        <x:v>MECH-04</x:v>
      </x:c>
      <x:c r="B196" s="104" t="str">
        <x:v>Mechanical fit and installation</x:v>
      </x:c>
      <x:c r="C196" s="104" t="str">
        <x:v>Does two-sided assembly create reflow, inspection, fixture or service access constraints? Required evidence: Assembly sequence and fixture/rework plan approved by the assembler.</x:v>
      </x:c>
      <x:c r="D196" s="104" t="str">
        <x:v>Actual 73 top/71 bottom factory placements require two SMT passes; controlled process specifies bottom first/top second so ESP sees only the second pass, then protected THT and manual GPS.</x:v>
      </x:c>
      <x:c r="E196" s="104" t="str">
        <x:v>Process implications are explicit. No comparative one-sided redesign proves two-side optimal, and no supplier fixture/reflow approval exists.</x:v>
      </x:c>
      <x:c r="F196" s="104" t="str">
        <x:v>OPEN</x:v>
      </x:c>
      <x:c r="G196" s="104" t="str">
        <x:v>OPEN</x:v>
      </x:c>
      <x:c r="H196" s="104" t="str">
        <x:v>OPEN</x:v>
      </x:c>
      <x:c r="I196" s="104" t="str">
        <x:v>Direct native KiCad pad/body/position/population extraction; exact manufacturer geometry and point-by-point document/fixture contract inspection. Detailed calculations in cited evidence.</x:v>
      </x:c>
      <x:c r="J196" s="104" t="str">
        <x:v>All144factoryparts
 U201
 F1/J202/J203
 U401manual</x:v>
      </x:c>
      <x:c r="K196"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196" s="104" t="str">
        <x:v>Assembler approval of retention, second reflow, selective THT protection and rework access.</x:v>
      </x:c>
      <x:c r="M196" s="104" t="str">
        <x:v>YES</x:v>
      </x:c>
      <x:c r="N196" s="104" t="str">
        <x:v>YES</x:v>
      </x:c>
      <x:c r="O196" s="104" t="str">
        <x:v>P1</x:v>
      </x:c>
    </x:row>
    <x:row r="197" ht="125" customHeight="1">
      <x:c r="A197" s="104" t="str">
        <x:v>MECH-05</x:v>
      </x:c>
      <x:c r="B197" s="104" t="str">
        <x:v>Mechanical fit and installation</x:v>
      </x:c>
      <x:c r="C197" s="104" t="str">
        <x:v>Can metal mounting hardware contact a live pad, trace, antenna or exposed component? Required evidence: Keepouts include washer diameter, screw length and installation tolerances.</x:v>
      </x:c>
      <x:c r="D197" s="104" t="str">
        <x:v>All six native NPTH are occupied location features: F1 two3 mm, Tag three0.9906 mm and GPS1.2 mm. Zero dedicated screw holes or hardware keepouts.</x:v>
      </x:c>
      <x:c r="E197" s="104" t="str">
        <x:v>Existing holes cannot be assumed suitable for metal mounting screws; no proposed washer/screw geometry can be checked.</x:v>
      </x:c>
      <x:c r="F197" s="104" t="str">
        <x:v>HOLD</x:v>
      </x:c>
      <x:c r="G197" s="104" t="str">
        <x:v>OPEN</x:v>
      </x:c>
      <x:c r="H197" s="104" t="str">
        <x:v>OPEN</x:v>
      </x:c>
      <x:c r="I197" s="104" t="str">
        <x:v>Direct native KiCad pad/body/position/population extraction; exact manufacturer geometry and point-by-point document/fixture contract inspection. Detailed calculations in cited evidence.</x:v>
      </x:c>
      <x:c r="J197" s="104" t="str">
        <x:v>F1/J201/U401 NPTH
 exposed TP pads and RF edge</x:v>
      </x:c>
      <x:c r="K197" s="104" t="str">
        <x:v>audit/board_vetting_20260908/lanes/mechanics_geometry/MECHANICAL_VETTING_GEOMETRY.json — holes
audit/board_vetting_20260908/lanes/mechanics_geometry/MECHANICAL_VETTING.md — MECH direct source vetting and limitations</x:v>
      </x:c>
      <x:c r="L197" s="104" t="str">
        <x:v>Select noninterfering carrier/edge support or redesign mounting with explicit hardware keepouts.</x:v>
      </x:c>
      <x:c r="M197" s="104" t="str">
        <x:v>YES</x:v>
      </x:c>
      <x:c r="N197" s="104" t="str">
        <x:v>YES</x:v>
      </x:c>
      <x:c r="O197" s="104" t="str">
        <x:v>P0</x:v>
      </x:c>
    </x:row>
    <x:row r="198" ht="125" customHeight="1">
      <x:c r="A198" s="104" t="str">
        <x:v>MECH-06</x:v>
      </x:c>
      <x:c r="B198" s="104" t="str">
        <x:v>Mechanical fit and installation</x:v>
      </x:c>
      <x:c r="C198" s="104" t="str">
        <x:v>Is PCB bending from fasteners, connectors or cable loads controlled? Required evidence: Support/torque plan and stress assessment for ceramic capacitors and heavy modules.</x:v>
      </x:c>
      <x:c r="D198" s="104" t="str">
        <x:v>F1 mates left and its plastic pegs retain the connector; board has no screw support pattern. GPS6 g and L1212.3-2.5 g are located on unsupported source-only geometry.</x:v>
      </x:c>
      <x:c r="E198" s="104" t="str">
        <x:v>Solder-joint and board-flex loading has not been bounded by a support/torque plan.</x:v>
      </x:c>
      <x:c r="F198" s="104" t="str">
        <x:v>OPEN</x:v>
      </x:c>
      <x:c r="G198" s="104" t="str">
        <x:v>OPEN</x:v>
      </x:c>
      <x:c r="H198" s="104" t="str">
        <x:v>OPEN</x:v>
      </x:c>
      <x:c r="I198" s="104" t="str">
        <x:v>Direct native KiCad pad/body/position/population extraction; exact manufacturer geometry and point-by-point document/fixture contract inspection. Detailed calculations in cited evidence.</x:v>
      </x:c>
      <x:c r="J198" s="104" t="str">
        <x:v>F1
 U401(54.5,9)
 L121(60,29)
 no mount holes</x:v>
      </x:c>
      <x:c r="K198" s="104" t="str">
        <x:v>audit/board_vetting_20260908/lanes/mechanics_geometry/MECHANICAL_VETTING_GEOMETRY.json — MECHANICAL_VETTING.md
audit/board_vetting_20260908/lanes/mechanics_geometry/MECHANICAL_VETTING.md — MECH direct source vetting and limitations</x:v>
      </x:c>
      <x:c r="L198" s="104" t="str">
        <x:v>Carrier/support locations, clamp force, allowable deflection and connector insertion load path.</x:v>
      </x:c>
      <x:c r="M198" s="104" t="str">
        <x:v>YES</x:v>
      </x:c>
      <x:c r="N198" s="104" t="str">
        <x:v>YES</x:v>
      </x:c>
      <x:c r="O198" s="104" t="str">
        <x:v>P1</x:v>
      </x:c>
    </x:row>
    <x:row r="199" ht="125" customHeight="1">
      <x:c r="A199" s="104" t="str">
        <x:v>MECH-07</x:v>
      </x:c>
      <x:c r="B199" s="104" t="str">
        <x:v>Mechanical fit and installation</x:v>
      </x:c>
      <x:c r="C199" s="104" t="str">
        <x:v>Are GPS module/patch antenna and other heavy parts adequately supported for vibration? Required evidence: Mechanical retention and qualification plan appropriate to mounting location.</x:v>
      </x:c>
      <x:c r="D199" s="104" t="str">
        <x:v>U401 has twenty solder lands and a1.2 mm antenna-locator clearance hole; PA1616D module is6 g and6.7+/-0.2 mm high. No mechanical fastener/stake is defined.</x:v>
      </x:c>
      <x:c r="E199" s="104" t="str">
        <x:v>The locator hole is not a vibration fastener; solder-only retention has not been qualified.</x:v>
      </x:c>
      <x:c r="F199" s="104" t="str">
        <x:v>OPEN</x:v>
      </x:c>
      <x:c r="G199" s="104" t="str">
        <x:v>OPEN</x:v>
      </x:c>
      <x:c r="H199" s="104" t="str">
        <x:v>OPEN</x:v>
      </x:c>
      <x:c r="I199" s="104" t="str">
        <x:v>Direct native KiCad pad/body/position/population extraction; exact manufacturer geometry and point-by-point document/fixture contract inspection. Detailed calculations in cited evidence.</x:v>
      </x:c>
      <x:c r="J199" s="104" t="str">
        <x:v>U401 pads1-20
 locator(54.5,8.55)</x:v>
      </x:c>
      <x:c r="K199" s="104" t="str">
        <x:v>audit/board_vetting_20260908/lanes/mechanics_geometry/MECHANICAL_VETTING_GEOMETRY.json — MECHANICAL_VETTING.md
audit/board_vetting_20260908/lanes/mechanics_geometry/MECHANICAL_VETTING.md — MECH direct source vetting and limitations</x:v>
      </x:c>
      <x:c r="L199" s="104" t="str">
        <x:v>Assess actual module solder-joint support, allowable staking material if selected, and vibration qualification.</x:v>
      </x:c>
      <x:c r="M199" s="104" t="str">
        <x:v>YES</x:v>
      </x:c>
      <x:c r="N199" s="104" t="str">
        <x:v>YES</x:v>
      </x:c>
      <x:c r="O199" s="104" t="str">
        <x:v>P1</x:v>
      </x:c>
    </x:row>
    <x:row r="200" ht="125" customHeight="1">
      <x:c r="A200" s="104" t="str">
        <x:v>MECH-08</x:v>
      </x:c>
      <x:c r="B200" s="104" t="str">
        <x:v>Mechanical fit and installation</x:v>
      </x:c>
      <x:c r="C200" s="104" t="str">
        <x:v>Are antenna sky view and BLE orientation preserved in the actual vehicle mounting location? Required evidence: Installation drawing and in-situ RF performance evidence.</x:v>
      </x:c>
      <x:c r="D200" s="104" t="str">
        <x:v>U201 antenna deliberately extends6 mm off right board; U401 patch is top-facing at(54.5,9); external socket J401 is bottom(65.3,8.8). Actual dashboard orientation and antenna accessory are unspecified.</x:v>
      </x:c>
      <x:c r="E200" s="104" t="str">
        <x:v>PCB antenna arrangement is explicit; sky view and BLE performance depend on absent installed geometry.</x:v>
      </x:c>
      <x:c r="F200" s="104" t="str">
        <x:v>OPEN</x:v>
      </x:c>
      <x:c r="G200" s="104" t="str">
        <x:v>OPEN</x:v>
      </x:c>
      <x:c r="H200" s="104" t="str">
        <x:v>OPEN</x:v>
      </x:c>
      <x:c r="I200" s="104" t="str">
        <x:v>Direct native KiCad pad/body/position/population extraction; exact manufacturer geometry and point-by-point document/fixture contract inspection. Detailed calculations in cited evidence.</x:v>
      </x:c>
      <x:c r="J200" s="104" t="str">
        <x:v>U201antenna
 U401patch
 J401 B.Cu</x:v>
      </x:c>
      <x:c r="K200"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200" s="104" t="str">
        <x:v>Installation/accessory choice plus in-situ GPS/BLE evidence.</x:v>
      </x:c>
      <x:c r="M200" s="104" t="str">
        <x:v>YES</x:v>
      </x:c>
      <x:c r="N200" s="104" t="str">
        <x:v>YES</x:v>
      </x:c>
      <x:c r="O200" s="104" t="str">
        <x:v>P1</x:v>
      </x:c>
    </x:row>
    <x:row r="201" ht="125" customHeight="1">
      <x:c r="A201" s="104" t="str">
        <x:v>MECH-09</x:v>
      </x:c>
      <x:c r="B201" s="104" t="str">
        <x:v>Mechanical fit and installation</x:v>
      </x:c>
      <x:c r="C201" s="104" t="str">
        <x:v>Can the board be programmed, probed, inspected and replaced without damaging connectors or rework wires? Required evidence: Service access demonstration and documented removal sequence.</x:v>
      </x:c>
      <x:c r="D201" s="104" t="str">
        <x:v>J201 top landing is clear of nearest body by2.4 mm; the projected landing is0.425 mm from bottom J401 body. All 37 test contacts have nominal2 mm-shank body clearance. Headers accessible from top;23 test pads require bottom access.</x:v>
      </x:c>
      <x:c r="E201" s="104" t="str">
        <x:v>Nominal bare-assembly access is now quantified; cable head/clip, probe barrel and enclosure-removal motion remain unchecked.</x:v>
      </x:c>
      <x:c r="F201" s="104" t="str">
        <x:v>CALCULATED</x:v>
      </x:c>
      <x:c r="G201" s="104" t="str">
        <x:v>OPEN</x:v>
      </x:c>
      <x:c r="H201" s="104" t="str">
        <x:v>OPEN</x:v>
      </x:c>
      <x:c r="I201" s="104" t="str">
        <x:v>Direct native KiCad pad/body/position/population extraction; exact manufacturer geometry and point-by-point document/fixture contract inspection. Detailed calculations in cited evidence.</x:v>
      </x:c>
      <x:c r="J201" s="104" t="str">
        <x:v>J201(71,6)
 J202/J203
 all37TPs</x:v>
      </x:c>
      <x:c r="K201" s="104" t="str">
        <x:v>audit/board_vetting_20260908/lanes/mechanics_geometry/MECHANICAL_VETTING_GEOMETRY.json — TEST_POINT_ACCESS.csv
audit/board_vetting_20260908/lanes/mechanics_geometry/MECHANICAL_VETTING.md — MECH direct source vetting and limitations
audit/board_vetting_20260908/lanes/mechanics_geometry/TEST_POINT_ACCESS.csv — Full object-level table/drawing</x:v>
      </x:c>
      <x:c r="L201" s="104" t="str">
        <x:v>Actual fixture/cable/enclosure access and safe removal sequence.</x:v>
      </x:c>
      <x:c r="M201" s="104" t="str">
        <x:v>YES</x:v>
      </x:c>
      <x:c r="N201" s="104" t="str">
        <x:v>YES</x:v>
      </x:c>
      <x:c r="O201" s="104" t="str">
        <x:v>P1</x:v>
      </x:c>
    </x:row>
    <x:row r="202" ht="125" customHeight="1">
      <x:c r="A202" s="104" t="str">
        <x:v>MECH-10</x:v>
      </x:c>
      <x:c r="B202" s="104" t="str">
        <x:v>Mechanical fit and installation</x:v>
      </x:c>
      <x:c r="C202" s="104" t="str">
        <x:v>Are enclosure ingress, drainage, venting and condensation behavior consistent with the intended environment? Required evidence: Environmental design rationale and installation-specific tests.</x:v>
      </x:c>
      <x:c r="D202" s="104" t="str">
        <x:v>The source is an exposed two-sided board with unsealed contacts/U.FL and no enclosure, drainage, vent or coating definition. Accepted dashboard temperature alone does not define condensation behavior.</x:v>
      </x:c>
      <x:c r="E202" s="104" t="str">
        <x:v>Ingress/condensation cannot be marked passed from the PCB or temperature statement.</x:v>
      </x:c>
      <x:c r="F202" s="104" t="str">
        <x:v>OPEN</x:v>
      </x:c>
      <x:c r="G202" s="104" t="str">
        <x:v>OPEN</x:v>
      </x:c>
      <x:c r="H202" s="104" t="str">
        <x:v>OPEN</x:v>
      </x:c>
      <x:c r="I202" s="104" t="str">
        <x:v>Direct native KiCad pad/body/position/population extraction; exact manufacturer geometry and point-by-point document/fixture contract inspection. Detailed calculations in cited evidence.</x:v>
      </x:c>
      <x:c r="J202" s="104" t="str">
        <x:v>Alloutercopper
 F1/J201/J401
 PCBsurfaces</x:v>
      </x:c>
      <x:c r="K202" s="104" t="str">
        <x:v>audit/board_vetting_20260908/lanes/mechanics_geometry/MECHANICAL_VETTING_GEOMETRY.json — BOARD_TOP_BOTTOM_MECHANICAL.svg
audit/board_vetting_20260908/lanes/mechanics_geometry/MECHANICAL_VETTING.md — MECH direct source vetting and limitations
audit/board_vetting_20260908/lanes/mechanics_geometry/BOARD_TOP_BOTTOM_MECHANICAL.svg — Full object-level table/drawing</x:v>
      </x:c>
      <x:c r="L202" s="104" t="str">
        <x:v>Enclosure/vent/drain strategy, contamination/condensation requirement and installed test.</x:v>
      </x:c>
      <x:c r="M202" s="104" t="str">
        <x:v>YES</x:v>
      </x:c>
      <x:c r="N202" s="104" t="str">
        <x:v>YES</x:v>
      </x:c>
      <x:c r="O202" s="104" t="str">
        <x:v>P1</x:v>
      </x:c>
    </x:row>
    <x:row r="203" ht="125" customHeight="1">
      <x:c r="A203" s="104" t="str">
        <x:v>THERM-01</x:v>
      </x:c>
      <x:c r="B203" s="104" t="str">
        <x:v>Thermal and environmental reliability</x:v>
      </x:c>
      <x:c r="C203" s="104" t="str">
        <x:v>Cabin/under-dash/engine-bay environment explicitly selected rather than conflated.</x:v>
      </x:c>
      <x:c r="D203" s="104" t="str">
        <x:v>Actual CCA is a dashboard design with two-sided placement, no specified enclosure thermal boundary. User estimates 48.9°C worst local ambient; 65°C remains the analytical screen.</x:v>
      </x:c>
      <x:c r="E203" s="104" t="str">
        <x:v>Operating/storage/hot-sun envelope is not a completed product rating; board/package ratings alone do not define it.</x:v>
      </x:c>
      <x:c r="F203" s="104" t="str">
        <x:v>OPEN</x:v>
      </x:c>
      <x:c r="G203" s="104" t="str">
        <x:v>OPEN</x:v>
      </x:c>
      <x:c r="H203" s="104" t="str">
        <x:v>OPEN</x:v>
      </x:c>
      <x:c r="I203" s="104" t="str">
        <x:v>Read actual native KiCad 9.0.9 board/pads/tracks/fills; compare exact selected values and manufacturer electrical contract; source-bound geometry/arithmetic and firmware inspection where applicable. No physical test inferred.</x:v>
      </x:c>
      <x:c r="J203" s="104" t="str">
        <x:v>U403 F.Cu (39,6)
U121 F.Cu (47,26.5)
U151 B.Cu (35,13)
Two-sided board</x:v>
      </x:c>
      <x:c r="K20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calculations/POWER_ARCHITECTURE_REVIEW.md — Operating envelope</x:v>
      </x:c>
      <x:c r="L203" s="104" t="str">
        <x:v>Freeze installation/enclosure and operating/storage limits; characterize parked/powered local temperatures.</x:v>
      </x:c>
      <x:c r="M203" s="104" t="str">
        <x:v>NO</x:v>
      </x:c>
      <x:c r="N203" s="104" t="str">
        <x:v>YES</x:v>
      </x:c>
      <x:c r="O203" s="104" t="str">
        <x:v>P0</x:v>
      </x:c>
    </x:row>
    <x:row r="204" ht="125" customHeight="1">
      <x:c r="A204" s="104" t="str">
        <x:v>THERM-02</x:v>
      </x:c>
      <x:c r="B204" s="104" t="str">
        <x:v>Thermal and environmental reliability</x:v>
      </x:c>
      <x:c r="C204" s="104" t="str">
        <x:v>Thermal model, component limits, sensor/IR method and measured hot spots.</x:v>
      </x:c>
      <x:c r="D204" s="104" t="str">
        <x:v>Actual MIC5504 SOT23 has nearby ground via/copper. Conservative loaded/line low-output screen gives 0.21024 W at 100 mA; datasheet-reference thetaJA gives 118.19°C at 65°C, only 6.81°C margin. Required effective theta≤285.39°C/W. Buck heat allocations and native copper areas also calculated.</x:v>
      </x:c>
      <x:c r="E204" s="104" t="str">
        <x:v>BV-THERM-01: actual GPS LDO has limited reference-model margin. Existing ±3% voltage and nominal-loss summary was not a full line/load/temperature bound. No installed theta or hot spots are established.</x:v>
      </x:c>
      <x:c r="F204" s="104" t="str">
        <x:v>HOLD</x:v>
      </x:c>
      <x:c r="G204" s="104" t="str">
        <x:v>OPEN</x:v>
      </x:c>
      <x:c r="H204" s="104" t="str">
        <x:v>OPEN</x:v>
      </x:c>
      <x:c r="I204" s="104" t="str">
        <x:v>Read actual native KiCad 9.0.9 board/pads/tracks/fills; compare exact selected values and manufacturer electrical contract; source-bound geometry/arithmetic and firmware inspection where applicable. No physical test inferred.</x:v>
      </x:c>
      <x:c r="J204" s="104" t="str">
        <x:v>U403 MIC5504-3.3YM5-TR
GND via (38.8625,6)
U121/U151/L121/L151</x:v>
      </x:c>
      <x:c r="K20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evidence/manufacturer/mic5504.pdf.txt — Electrical conditions and SOT23 thermal table</x:v>
      </x:c>
      <x:c r="L204" s="104" t="str">
        <x:v>Measure worst 10 Hz/antenna current and final-enclosure case/board temperatures; demonstrate thermal margin or revise supply/thermal design.</x:v>
      </x:c>
      <x:c r="M204" s="104" t="str">
        <x:v>NO</x:v>
      </x:c>
      <x:c r="N204" s="104" t="str">
        <x:v>YES</x:v>
      </x:c>
      <x:c r="O204" s="104" t="str">
        <x:v>P1</x:v>
      </x:c>
    </x:row>
    <x:row r="205" ht="125" customHeight="1">
      <x:c r="A205" s="104" t="str">
        <x:v>THERM-03</x:v>
      </x:c>
      <x:c r="B205" s="104" t="str">
        <x:v>Thermal and environmental reliability</x:v>
      </x:c>
      <x:c r="C205" s="104" t="str">
        <x:v>Part stress/life table includes regulators, TVS, capacitors, inductors and connectors.</x:v>
      </x:c>
      <x:c r="D205" s="104" t="str">
        <x:v>Actual oil selected values/package identities verified; R507 is pulse-rated 2512, dissipating 0.270 mW normally and storing-event screen 10.93 mJ at 24 V/Cmax. Divider upper R at ±24 V dissipates only 0.573 mW; capacitors carry explicit bias/aging allocations.</x:v>
      </x:c>
      <x:c r="E205" s="104" t="str">
        <x:v>No selected service-life or consolidated applied-stress/derated-life acceptance; reference-board Irms/theta are not actual installed ratings.</x:v>
      </x:c>
      <x:c r="F205" s="104" t="str">
        <x:v>OPEN</x:v>
      </x:c>
      <x:c r="G205" s="104" t="str">
        <x:v>OPEN</x:v>
      </x:c>
      <x:c r="H205" s="104" t="str">
        <x:v>OPEN</x:v>
      </x:c>
      <x:c r="I205" s="104" t="str">
        <x:v>Read actual native KiCad 9.0.9 board/pads/tracks/fills; compare exact selected values and manufacturer electrical contract; source-bound geometry/arithmetic and firmware inspection where applicable. No physical test inferred.</x:v>
      </x:c>
      <x:c r="J205" s="104" t="str">
        <x:v>R507 F.Cu (17.5,15.5)
C504–506
R511/R521
U121/U151/U403</x:v>
      </x:c>
      <x:c r="K20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qualification/PASSIVE_STRESS_SCREEN_SCOPE.md — Historical stress screen limitations</x:v>
      </x:c>
      <x:c r="L205" s="104" t="str">
        <x:v>Finish matched current-BOM stress/life table and thermal correlation, including repetitive faults, contacts and capacitor age.</x:v>
      </x:c>
      <x:c r="M205" s="104" t="str">
        <x:v>NO</x:v>
      </x:c>
      <x:c r="N205" s="104" t="str">
        <x:v>YES</x:v>
      </x:c>
      <x:c r="O205" s="104" t="str">
        <x:v>P1</x:v>
      </x:c>
    </x:row>
    <x:row r="206" ht="125" customHeight="1">
      <x:c r="A206" s="104" t="str">
        <x:v>THERM-04</x:v>
      </x:c>
      <x:c r="B206" s="104" t="str">
        <x:v>Thermal and environmental reliability</x:v>
      </x:c>
      <x:c r="C206" s="104" t="str">
        <x:v>Accuracy/noise/RF tests at cold, nominal and hot operating conditions.</x:v>
      </x:c>
      <x:c r="D206" s="104" t="str">
        <x:v>Actual dual ADC topology and GPS LDO voltage path fit declared static range; nominal resistor TCR and low-output thermal headroom recalculated. PA1616D still needs 3.0–4.3 V and &lt;50 mVpp ripple at the module.</x:v>
      </x:c>
      <x:c r="E206" s="104" t="str">
        <x:v>No cold/hot ADC residual, GPS 10 Hz acquisition/tracking or antenna-bias performance measurement.</x:v>
      </x:c>
      <x:c r="F206" s="104" t="str">
        <x:v>HOLD</x:v>
      </x:c>
      <x:c r="G206" s="104" t="str">
        <x:v>OPEN</x:v>
      </x:c>
      <x:c r="H206" s="104" t="str">
        <x:v>OPEN</x:v>
      </x:c>
      <x:c r="I206" s="104" t="str">
        <x:v>Read actual native KiCad 9.0.9 board/pads/tracks/fills; compare exact selected values and manufacturer electrical contract; source-bound geometry/arithmetic and firmware inspection where applicable. No physical test inferred.</x:v>
      </x:c>
      <x:c r="J206" s="104" t="str">
        <x:v>U403→GPS_3V3→U401.1
U502→U201.38/.39</x:v>
      </x:c>
      <x:c r="K20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evidence/manufacturer/pa1616d_v06.pdf.txt — VCC/ripple and current conditions</x:v>
      </x:c>
      <x:c r="L206" s="104" t="str">
        <x:v>Run cold/room/hot full simultaneous operation with calibrated inputs and RF metrics; digital boot is insufficient.</x:v>
      </x:c>
      <x:c r="M206" s="104" t="str">
        <x:v>YES</x:v>
      </x:c>
      <x:c r="N206" s="104" t="str">
        <x:v>YES</x:v>
      </x:c>
      <x:c r="O206" s="104" t="str">
        <x:v>P1</x:v>
      </x:c>
    </x:row>
    <x:row r="207" ht="125" customHeight="1">
      <x:c r="A207" s="104" t="str">
        <x:v>THERM-05</x:v>
      </x:c>
      <x:c r="B207" s="104" t="str">
        <x:v>Thermal and environmental reliability</x:v>
      </x:c>
      <x:c r="C207" s="104" t="str">
        <x:v>Material/assembly review and cycling test acceptance criteria.</x:v>
      </x:c>
      <x:c r="D207" s="104" t="str">
        <x:v>Actual populated PCB uses top ESP/GPS modules and components on both faces, with large inductor/capacitor/connector assemblies and fixed pad geometry. No coating or flexible interposer is specified.</x:v>
      </x:c>
      <x:c r="E207" s="104" t="str">
        <x:v>No thermal-cycle ramp/dwell/cycle count, enclosure constraint/CTE model or module-joint acceptance was supplied or performed.</x:v>
      </x:c>
      <x:c r="F207" s="104" t="str">
        <x:v>OPEN</x:v>
      </x:c>
      <x:c r="G207" s="104" t="str">
        <x:v>OPEN</x:v>
      </x:c>
      <x:c r="H207" s="104" t="str">
        <x:v>OPEN</x:v>
      </x:c>
      <x:c r="I207" s="104" t="str">
        <x:v>Read actual native KiCad 9.0.9 board/pads/tracks/fills; compare exact selected values and manufacturer electrical contract; source-bound geometry/arithmetic and firmware inspection where applicable. No physical test inferred.</x:v>
      </x:c>
      <x:c r="J207" s="104" t="str">
        <x:v>U201/U401 top modules
L121/C504–506
F1
Two populated faces</x:v>
      </x:c>
      <x:c r="K20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7" s="104" t="str">
        <x:v>Define installation-relevant cycling and joint inspection/continuity/function limits; correlate actual construction.</x:v>
      </x:c>
      <x:c r="M207" s="104" t="str">
        <x:v>NO</x:v>
      </x:c>
      <x:c r="N207" s="104" t="str">
        <x:v>YES</x:v>
      </x:c>
      <x:c r="O207" s="104" t="str">
        <x:v>P1</x:v>
      </x:c>
    </x:row>
    <x:row r="208" ht="125" customHeight="1">
      <x:c r="A208" s="104" t="str">
        <x:v>THERM-06</x:v>
      </x:c>
      <x:c r="B208" s="104" t="str">
        <x:v>Thermal and environmental reliability</x:v>
      </x:c>
      <x:c r="C208" s="104" t="str">
        <x:v>Agreed mechanical test profile with pre/post functional checks.</x:v>
      </x:c>
      <x:c r="D208" s="104" t="str">
        <x:v>Actual F1 and Tag/GPS locator holes do not by themselves define a secured enclosure mount; coax and harness loads act on connector/module joints.</x:v>
      </x:c>
      <x:c r="E208" s="104" t="str">
        <x:v>Installation fixture, vibration/shock profile and retention acceptance remain undefined; sensor ratings do not qualify the PCB.</x:v>
      </x:c>
      <x:c r="F208" s="104" t="str">
        <x:v>OPEN</x:v>
      </x:c>
      <x:c r="G208" s="104" t="str">
        <x:v>OPEN</x:v>
      </x:c>
      <x:c r="H208" s="104" t="str">
        <x:v>OPEN</x:v>
      </x:c>
      <x:c r="I208" s="104" t="str">
        <x:v>Read actual native KiCad 9.0.9 board/pads/tracks/fills; compare exact selected values and manufacturer electrical contract; source-bound geometry/arithmetic and firmware inspection where applicable. No physical test inferred.</x:v>
      </x:c>
      <x:c r="J208" s="104" t="str">
        <x:v>F1 right-angle header
J401 U.FL
U401 GPS
PCB outline/mount interface</x:v>
      </x:c>
      <x:c r="K20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8" s="104" t="str">
        <x:v>Freeze mount/strain relief then define pre/post joint, continuity and live-functional vibration/shock acceptance.</x:v>
      </x:c>
      <x:c r="M208" s="104" t="str">
        <x:v>NO</x:v>
      </x:c>
      <x:c r="N208" s="104" t="str">
        <x:v>YES</x:v>
      </x:c>
      <x:c r="O208" s="104" t="str">
        <x:v>P1</x:v>
      </x:c>
    </x:row>
    <x:row r="209" ht="125" customHeight="1">
      <x:c r="A209" s="104" t="str">
        <x:v>THERM-07</x:v>
      </x:c>
      <x:c r="B209" s="104" t="str">
        <x:v>Thermal and environmental reliability</x:v>
      </x:c>
      <x:c r="C209" s="104" t="str">
        <x:v>Exposure matrix and selected enclosure/coating/material compatibility.</x:v>
      </x:c>
      <x:c r="D209" s="104" t="str">
        <x:v>Actual board exposes contacts, test pads, MCU/GPS modules and both populated faces; no closed enclosure ingress/material definition is present.</x:v>
      </x:c>
      <x:c r="E209" s="104" t="str">
        <x:v>Remote Honeywell sensor ingress/fluids rating cannot transfer to this dashboard CCA.</x:v>
      </x:c>
      <x:c r="F209" s="104" t="str">
        <x:v>OPEN</x:v>
      </x:c>
      <x:c r="G209" s="104" t="str">
        <x:v>OPEN</x:v>
      </x:c>
      <x:c r="H209" s="104" t="str">
        <x:v>OPEN</x:v>
      </x:c>
      <x:c r="I209" s="104" t="str">
        <x:v>Read actual native KiCad 9.0.9 board/pads/tracks/fills; compare exact selected values and manufacturer electrical contract; source-bound geometry/arithmetic and firmware inspection where applicable. No physical test inferred.</x:v>
      </x:c>
      <x:c r="J209" s="104" t="str">
        <x:v>F1
J201
J401
U201/U401
Exposed test pads</x:v>
      </x:c>
      <x:c r="K20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09" s="104" t="str">
        <x:v>Define condensation/dust/cleaner/ingress exposure and enclosure/material controls, then test agreed conditions.</x:v>
      </x:c>
      <x:c r="M209" s="104" t="str">
        <x:v>NO</x:v>
      </x:c>
      <x:c r="N209" s="104" t="str">
        <x:v>YES</x:v>
      </x:c>
      <x:c r="O209" s="104" t="str">
        <x:v>P1</x:v>
      </x:c>
    </x:row>
    <x:row r="210" ht="125" customHeight="1">
      <x:c r="A210" s="104" t="str">
        <x:v>THERM-08</x:v>
      </x:c>
      <x:c r="B210" s="104" t="str">
        <x:v>Thermal and environmental reliability</x:v>
      </x:c>
      <x:c r="C210" s="104" t="str">
        <x:v>Masking, process and inspection instructions; antennas/contact surfaces protected appropriately.</x:v>
      </x:c>
      <x:c r="D210" s="104" t="str">
        <x:v>Current factory packet has no selected conformal coating; actual antenna/connector/test areas are present and require accessible surfaces.</x:v>
      </x:c>
      <x:c r="E210" s="104" t="str">
        <x:v>No coating compatibility or masking process exists. No claim that an unspecified coating protects this assembly.</x:v>
      </x:c>
      <x:c r="F210" s="104" t="str">
        <x:v>OPEN</x:v>
      </x:c>
      <x:c r="G210" s="104" t="str">
        <x:v>OPEN</x:v>
      </x:c>
      <x:c r="H210" s="104" t="str">
        <x:v>OPEN</x:v>
      </x:c>
      <x:c r="I210" s="104" t="str">
        <x:v>Read actual native KiCad 9.0.9 board/pads/tracks/fills; compare exact selected values and manufacturer electrical contract; source-bound geometry/arithmetic and firmware inspection where applicable. No physical test inferred.</x:v>
      </x:c>
      <x:c r="J210" s="104" t="str">
        <x:v>U201 antenna
U401/J401 RF
J201 contacts
F1 contacts
All test pads</x:v>
      </x:c>
      <x:c r="K21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0" s="104" t="str">
        <x:v>Either control the product as uncoated with accepted environment or qualify material, masks, curing, RF/ADC effects and repair.</x:v>
      </x:c>
      <x:c r="M210" s="104" t="str">
        <x:v>NO</x:v>
      </x:c>
      <x:c r="N210" s="104" t="str">
        <x:v>YES</x:v>
      </x:c>
      <x:c r="O210" s="104" t="str">
        <x:v>P1</x:v>
      </x:c>
    </x:row>
    <x:row r="211" ht="125" customHeight="1">
      <x:c r="A211" s="104" t="str">
        <x:v>THERM-09</x:v>
      </x:c>
      <x:c r="B211" s="104" t="str">
        <x:v>Thermal and environmental reliability</x:v>
      </x:c>
      <x:c r="C211" s="104" t="str">
        <x:v>Service-cycle/retention assessment and permitted mating procedure.</x:v>
      </x:c>
      <x:c r="D211" s="104" t="str">
        <x:v>Actual right-angle F1, U.FL and manual GPS joints provide service interfaces; F1 moved/rotated from Rev A and bottom headers increase clearance/handling demands.</x:v>
      </x:c>
      <x:c r="E211" s="104" t="str">
        <x:v>No final harness/coax strain relief or service-cycle demonstration against actual enclosure.</x:v>
      </x:c>
      <x:c r="F211" s="104" t="str">
        <x:v>OPEN</x:v>
      </x:c>
      <x:c r="G211" s="104" t="str">
        <x:v>OPEN</x:v>
      </x:c>
      <x:c r="H211" s="104" t="str">
        <x:v>OPEN</x:v>
      </x:c>
      <x:c r="I211" s="104" t="str">
        <x:v>Read actual native KiCad 9.0.9 board/pads/tracks/fills; compare exact selected values and manufacturer electrical contract; source-bound geometry/arithmetic and firmware inspection where applicable. No physical test inferred.</x:v>
      </x:c>
      <x:c r="J211" s="104" t="str">
        <x:v>F1 (8.3,23.5)
J401
J202/J203
U401 joints</x:v>
      </x:c>
      <x:c r="K21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audit/erb_20260907/F1_HARNESS_ASSEMBLY_SPEC.md — Retain/strain-relief and service limits</x:v>
      </x:c>
      <x:c r="L211" s="104" t="str">
        <x:v>Control retention, permitted mating cycles/procedure and mechanical support; test exact installed accessories.</x:v>
      </x:c>
      <x:c r="M211" s="104" t="str">
        <x:v>NO</x:v>
      </x:c>
      <x:c r="N211" s="104" t="str">
        <x:v>YES</x:v>
      </x:c>
      <x:c r="O211" s="104" t="str">
        <x:v>P1</x:v>
      </x:c>
    </x:row>
    <x:row r="212" ht="125" customHeight="1">
      <x:c r="A212" s="104" t="str">
        <x:v>THERM-10</x:v>
      </x:c>
      <x:c r="B212" s="104" t="str">
        <x:v>Thermal and environmental reliability</x:v>
      </x:c>
      <x:c r="C212" s="104" t="str">
        <x:v>Soak duration justified by failure mechanism, with current, temperature, resets, loss and timing logged.</x:v>
      </x:c>
      <x:c r="D212" s="104" t="str">
        <x:v>Actual ESP EN physical pin and boot network have corrected Rev B topology; firmware includes corrected uptime/backoff and reset diagnostics. These address identifiable Rev A/source failure mechanisms.</x:v>
      </x:c>
      <x:c r="E212" s="104" t="str">
        <x:v>No Rev B multi-hour/thermal-cycle soak current/temperature/reset/data trace exists; prior fixes do not demonstrate long-duration hardware stability.</x:v>
      </x:c>
      <x:c r="F212" s="104" t="str">
        <x:v>HOLD</x:v>
      </x:c>
      <x:c r="G212" s="104" t="str">
        <x:v>OPEN</x:v>
      </x:c>
      <x:c r="H212" s="104" t="str">
        <x:v>OPEN</x:v>
      </x:c>
      <x:c r="I212" s="104" t="str">
        <x:v>Read actual native KiCad 9.0.9 board/pads/tracks/fills; compare exact selected values and manufacturer electrical contract; source-bound geometry/arithmetic and firmware inspection where applicable. No physical test inferred.</x:v>
      </x:c>
      <x:c r="J212" s="104" t="str">
        <x:v>U201.3 ESP_EN
U403 GPS supply
U121/U151 rails
Current firmware diagnostics</x:v>
      </x:c>
      <x:c r="K21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BRING_UP_PLAN.md — Integrated acceptance</x:v>
      </x:c>
      <x:c r="L212" s="104" t="str">
        <x:v>Run frozen-board/build/accessory soak with rails, hot spots, reset reason, calibration, CAN/GPS/BLE loss and recovery logging.</x:v>
      </x:c>
      <x:c r="M212" s="104" t="str">
        <x:v>NO</x:v>
      </x:c>
      <x:c r="N212" s="104" t="str">
        <x:v>YES</x:v>
      </x:c>
      <x:c r="O212" s="104" t="str">
        <x:v>P1</x:v>
      </x:c>
    </x:row>
    <x:row r="213" ht="125" customHeight="1">
      <x:c r="A213" s="104" t="str">
        <x:v>EMC-01</x:v>
      </x:c>
      <x:c r="B213" s="104" t="str">
        <x:v>EMC, ESD and self-interference</x:v>
      </x:c>
      <x:c r="C213" s="104" t="str">
        <x:v>Applicability matrix records standards/editions, severity, configuration and pass/fail functional criteria.</x:v>
      </x:c>
      <x:c r="D213" s="104" t="str">
        <x:v>Actual board is a wired dashboard vehicle-power/CAN/oil device with BLE and external active GNSS antenna, plus programming/service interfaces; these are the applicable test configurations to assess.</x:v>
      </x:c>
      <x:c r="E213" s="104" t="str">
        <x:v>No controlled standard/edition/severity/functional criterion matrix exists; passive CAN logic does not establish EMC compliance.</x:v>
      </x:c>
      <x:c r="F213" s="104" t="str">
        <x:v>OPEN</x:v>
      </x:c>
      <x:c r="G213" s="104" t="str">
        <x:v>OPEN</x:v>
      </x:c>
      <x:c r="H213" s="104" t="str">
        <x:v>OPEN</x:v>
      </x:c>
      <x:c r="I213" s="104" t="str">
        <x:v>Read actual native KiCad 9.0.9 board/pads/tracks/fills; compare exact selected values and manufacturer electrical contract; source-bound geometry/arithmetic and firmware inspection where applicable. No physical test inferred.</x:v>
      </x:c>
      <x:c r="J213" s="104" t="str">
        <x:v>F1 vehicle/CAN/oil
U201 BLE
J401 active GPS antenna
J201 service</x:v>
      </x:c>
      <x:c r="K213"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3" s="104" t="str">
        <x:v>Define installation/product-market applicability, representative harness/accessories and pass/fail states before EMC qualification.</x:v>
      </x:c>
      <x:c r="M213" s="104" t="str">
        <x:v>NO</x:v>
      </x:c>
      <x:c r="N213" s="104" t="str">
        <x:v>YES</x:v>
      </x:c>
      <x:c r="O213" s="104" t="str">
        <x:v>P0</x:v>
      </x:c>
    </x:row>
    <x:row r="214" ht="125" customHeight="1">
      <x:c r="A214" s="104" t="str">
        <x:v>EMC-02</x:v>
      </x:c>
      <x:c r="B214" s="104" t="str">
        <x:v>EMC, ESD and self-interference</x:v>
      </x:c>
      <x:c r="C214" s="104" t="str">
        <x:v>Pre-compliance/qualification report states fixture, bandwidth, detector and operating modes.</x:v>
      </x:c>
      <x:c r="D214" s="104" t="str">
        <x:v>Actual switch nodes occupy U121/L121 front and U151/L151 bottom power zones; oil filtered inputs are separated by ≥14.451 mm from 5V_SW. Power filtering/protection paths are physically implemented.</x:v>
      </x:c>
      <x:c r="E214" s="104" t="str">
        <x:v>No harness/source-impedance/LISN conducted-emissions measurement; zoning cannot establish limit compliance.</x:v>
      </x:c>
      <x:c r="F214" s="104" t="str">
        <x:v>HOLD</x:v>
      </x:c>
      <x:c r="G214" s="104" t="str">
        <x:v>OPEN</x:v>
      </x:c>
      <x:c r="H214" s="104" t="str">
        <x:v>OPEN</x:v>
      </x:c>
      <x:c r="I214" s="104" t="str">
        <x:v>Read actual native KiCad 9.0.9 board/pads/tracks/fills; compare exact selected values and manufacturer electrical contract; source-bound geometry/arithmetic and firmware inspection where applicable. No physical test inferred.</x:v>
      </x:c>
      <x:c r="J214" s="104" t="str">
        <x:v>5V_SW F.Cu
3V3_SW B.Cu
F1.3 RAW_12V
Input protection/filter network</x:v>
      </x:c>
      <x:c r="K214"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4" s="104" t="str">
        <x:v>Measure worst-mode conducted emissions with final harness, detector/bandwidth and exact supply/load configuration.</x:v>
      </x:c>
      <x:c r="M214" s="104" t="str">
        <x:v>NO</x:v>
      </x:c>
      <x:c r="N214" s="104" t="str">
        <x:v>YES</x:v>
      </x:c>
      <x:c r="O214" s="104" t="str">
        <x:v>P1</x:v>
      </x:c>
    </x:row>
    <x:row r="215" ht="125" customHeight="1">
      <x:c r="A215" s="104" t="str">
        <x:v>EMC-03</x:v>
      </x:c>
      <x:c r="B215" s="104" t="str">
        <x:v>EMC, ESD and self-interference</x:v>
      </x:c>
      <x:c r="C215" s="104" t="str">
        <x:v>Worst-mode measurements include switchers, BLE traffic, GPS acquisition and interface activity.</x:v>
      </x:c>
      <x:c r="D215" s="104" t="str">
        <x:v>Actual double-sided board has continuous-reference regions, ESP RF, GPS coax and long external-interface routes; native copper/return geometry is captured.</x:v>
      </x:c>
      <x:c r="E215" s="104" t="str">
        <x:v>No radiated-emissions measurement for actual cables/enclosure; source observations do not bound common-mode radiation.</x:v>
      </x:c>
      <x:c r="F215" s="104" t="str">
        <x:v>HOLD</x:v>
      </x:c>
      <x:c r="G215" s="104" t="str">
        <x:v>OPEN</x:v>
      </x:c>
      <x:c r="H215" s="104" t="str">
        <x:v>OPEN</x:v>
      </x:c>
      <x:c r="I215" s="104" t="str">
        <x:v>Read actual native KiCad 9.0.9 board/pads/tracks/fills; compare exact selected values and manufacturer electrical contract; source-bound geometry/arithmetic and firmware inspection where applicable. No physical test inferred.</x:v>
      </x:c>
      <x:c r="J215" s="104" t="str">
        <x:v>U201 BLE antenna
J401 coax
F1 harness
U121/U151 switchers</x:v>
      </x:c>
      <x:c r="K215"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5" s="104" t="str">
        <x:v>Measure agreed bands/configurations in idle and simultaneous worst activity with final accessories.</x:v>
      </x:c>
      <x:c r="M215" s="104" t="str">
        <x:v>NO</x:v>
      </x:c>
      <x:c r="N215" s="104" t="str">
        <x:v>YES</x:v>
      </x:c>
      <x:c r="O215" s="104" t="str">
        <x:v>P1</x:v>
      </x:c>
    </x:row>
    <x:row r="216" ht="125" customHeight="1">
      <x:c r="A216" s="104" t="str">
        <x:v>EMC-04</x:v>
      </x:c>
      <x:c r="B216" s="104" t="str">
        <x:v>EMC, ESD and self-interference</x:v>
      </x:c>
      <x:c r="C216" s="104" t="str">
        <x:v>Agreed immunity tests observe CAN non-interference as well as MCU operation.</x:v>
      </x:c>
      <x:c r="D216" s="104" t="str">
        <x:v>Actual CAN physical mode and firmware receive-only intent are controlled; oil faults invalidate data. Supported crank resets are explicit and do not imply arbitrary immunity upset is acceptable.</x:v>
      </x:c>
      <x:c r="E216" s="104" t="str">
        <x:v>No susceptibility waveform/field results or per-test allowed recovery states.</x:v>
      </x:c>
      <x:c r="F216" s="104" t="str">
        <x:v>HOLD</x:v>
      </x:c>
      <x:c r="G216" s="104" t="str">
        <x:v>OPEN</x:v>
      </x:c>
      <x:c r="H216" s="104" t="str">
        <x:v>OPEN</x:v>
      </x:c>
      <x:c r="I216" s="104" t="str">
        <x:v>Read actual native KiCad 9.0.9 board/pads/tracks/fills; compare exact selected values and manufacturer electrical contract; source-bound geometry/arithmetic and firmware inspection where applicable. No physical test inferred.</x:v>
      </x:c>
      <x:c r="J216" s="104" t="str">
        <x:v>U301 mode pins
U201
F1 CANH/CANL
ADC_NODE/OIL_EXCITATION_ADC</x:v>
      </x:c>
      <x:c r="K216"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6" s="104" t="str">
        <x:v>Monitor bus non-interference, rail stress, oil validity/reset/recovery and retained data during defined immunity exposure.</x:v>
      </x:c>
      <x:c r="M216" s="104" t="str">
        <x:v>NO</x:v>
      </x:c>
      <x:c r="N216" s="104" t="str">
        <x:v>YES</x:v>
      </x:c>
      <x:c r="O216" s="104" t="str">
        <x:v>P1</x:v>
      </x:c>
    </x:row>
    <x:row r="217" ht="125" customHeight="1">
      <x:c r="A217" s="104" t="str">
        <x:v>EMC-05</x:v>
      </x:c>
      <x:c r="B217" s="104" t="str">
        <x:v>EMC, ESD and self-interference</x:v>
      </x:c>
      <x:c r="C217" s="104" t="str">
        <x:v>Contact/air discharge locations and ground return configuration are documented.</x:v>
      </x:c>
      <x:c r="D217" s="104" t="str">
        <x:v>Actual fitted entry protectors include D501 oil, D301 CAN and D402 RF; accessible F1/U.FL/Tag/reset-boot/test-pad interfaces are identifiable on the source.</x:v>
      </x:c>
      <x:c r="E217" s="104" t="str">
        <x:v>No complete accessibility-state ESD point drawing or level/polarity/repetition/return specification.</x:v>
      </x:c>
      <x:c r="F217" s="104" t="str">
        <x:v>OPEN</x:v>
      </x:c>
      <x:c r="G217" s="104" t="str">
        <x:v>OPEN</x:v>
      </x:c>
      <x:c r="H217" s="104" t="str">
        <x:v>OPEN</x:v>
      </x:c>
      <x:c r="I217" s="104" t="str">
        <x:v>Read actual native KiCad 9.0.9 board/pads/tracks/fills; compare exact selected values and manufacturer electrical contract; source-bound geometry/arithmetic and firmware inspection where applicable. No physical test inferred.</x:v>
      </x:c>
      <x:c r="J217" s="104" t="str">
        <x:v>D501 B.Cu (14.2,20.5)
D301 B.Cu (14.6,9.5)
D402 B.Cu (63.6,12.3)
F1/J201/J202/J203/J401</x:v>
      </x:c>
      <x:c r="K217"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7" s="104" t="str">
        <x:v>Freeze enclosure/service accessibility and create the exact contact/air-discharge location matrix, with powered/off functional criteria.</x:v>
      </x:c>
      <x:c r="M217" s="104" t="str">
        <x:v>NO</x:v>
      </x:c>
      <x:c r="N217" s="104" t="str">
        <x:v>YES</x:v>
      </x:c>
      <x:c r="O217" s="104" t="str">
        <x:v>P0</x:v>
      </x:c>
    </x:row>
    <x:row r="218" ht="125" customHeight="1">
      <x:c r="A218" s="104" t="str">
        <x:v>EMC-06</x:v>
      </x:c>
      <x:c r="B218" s="104" t="str">
        <x:v>EMC, ESD and self-interference</x:v>
      </x:c>
      <x:c r="C218" s="104" t="str">
        <x:v>PCB current-path inspection and measured robustness.</x:v>
      </x:c>
      <x:c r="D218" s="104" t="str">
        <x:v>D501 shunts are 2.863/2.356 mm routed from F1.7/.8; GND via is 0.862 mm from its ground pad. D301/D402 nearest ground-via distances are 1.048/0.618 mm. Outgoing oil routes branch at F1 rather than flowing through TVS pads.</x:v>
      </x:c>
      <x:c r="E218" s="104" t="str">
        <x:v>Protection is nearby shunt routing, not a flow-through launch. Branch/return inductance and actual residual clamp at protected devices remain unbounded; no measured failure asserted.</x:v>
      </x:c>
      <x:c r="F218" s="104" t="str">
        <x:v>HOLD</x:v>
      </x:c>
      <x:c r="G218" s="104" t="str">
        <x:v>OPEN</x:v>
      </x:c>
      <x:c r="H218" s="104" t="str">
        <x:v>OPEN</x:v>
      </x:c>
      <x:c r="I218" s="104" t="str">
        <x:v>Read actual native KiCad 9.0.9 board/pads/tracks/fills; compare exact selected values and manufacturer electrical contract; source-bound geometry/arithmetic and firmware inspection where applicable. No physical test inferred.</x:v>
      </x:c>
      <x:c r="J218" s="104" t="str">
        <x:v>F1.7/.8
D501.1/.2/.3
D301 ground
D402 ground</x:v>
      </x:c>
      <x:c r="K218"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
audit/board_vetting_20260908/lanes/ACTUAL_ANALOG_CALCULATIONS.json — routed_paths and protection_ground_geometry</x:v>
      </x:c>
      <x:c r="L218" s="104" t="str">
        <x:v>Include branch/return parasitics in ESD review and verify protection at exact entry points. Address separate D502/U501 fault delta BV-ADC-01.</x:v>
      </x:c>
      <x:c r="M218" s="104" t="str">
        <x:v>NO</x:v>
      </x:c>
      <x:c r="N218" s="104" t="str">
        <x:v>YES</x:v>
      </x:c>
      <x:c r="O218" s="104" t="str">
        <x:v>P1</x:v>
      </x:c>
    </x:row>
    <x:row r="219" ht="125" customHeight="1">
      <x:c r="A219" s="104" t="str">
        <x:v>EMC-07</x:v>
      </x:c>
      <x:c r="B219" s="104" t="str">
        <x:v>EMC, ESD and self-interference</x:v>
      </x:c>
      <x:c r="C219" s="104" t="str">
        <x:v>Controlled aggressor on/off test measures receiver and ADC degradation.</x:v>
      </x:c>
      <x:c r="D219" s="104" t="str">
        <x:v>Actual input filtered nets have sampled In2 GND coverage and large switch-node separation. U502/ADC circuitry lies beneath the ESP module region; excitation feedback changes layer with a 5.216 mm nearest return via.</x:v>
      </x:c>
      <x:c r="E219" s="104" t="str">
        <x:v>Source geometry cannot quantify radio/supply/ground-induced ADC bias or GPS desense.</x:v>
      </x:c>
      <x:c r="F219" s="104" t="str">
        <x:v>HOLD</x:v>
      </x:c>
      <x:c r="G219" s="104" t="str">
        <x:v>OPEN</x:v>
      </x:c>
      <x:c r="H219" s="104" t="str">
        <x:v>OPEN</x:v>
      </x:c>
      <x:c r="I219" s="104" t="str">
        <x:v>Read actual native KiCad 9.0.9 board/pads/tracks/fills; compare exact selected values and manufacturer electrical contract; source-bound geometry/arithmetic and firmware inspection where applicable. No physical test inferred.</x:v>
      </x:c>
      <x:c r="J219" s="104" t="str">
        <x:v>U502 under U201 region
OIL_EXCITATION_ADC via (72,30.2)
GPS_3V3/U401/J401</x:v>
      </x:c>
      <x:c r="K219"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19" s="104" t="str">
        <x:v>Measure controlled aggressor on/off ADC error and GNSS acquisition/CN0 with exact antenna, enclosure and rails.</x:v>
      </x:c>
      <x:c r="M219" s="104" t="str">
        <x:v>NO</x:v>
      </x:c>
      <x:c r="N219" s="104" t="str">
        <x:v>YES</x:v>
      </x:c>
      <x:c r="O219" s="104" t="str">
        <x:v>P1</x:v>
      </x:c>
    </x:row>
    <x:row r="220" ht="125" customHeight="1">
      <x:c r="A220" s="104" t="str">
        <x:v>EMC-08</x:v>
      </x:c>
      <x:c r="B220" s="104" t="str">
        <x:v>EMC, ESD and self-interference</x:v>
      </x:c>
      <x:c r="C220" s="104" t="str">
        <x:v>Qualification configuration matches installation constraints and approved variants.</x:v>
      </x:c>
      <x:c r="D220" s="104" t="str">
        <x:v>Exact PCB identity is frozen; F1 is a changed harness/mechanical interface and U.FL accepts an as-yet unqualified active-antenna/cable accessory.</x:v>
      </x:c>
      <x:c r="E220" s="104" t="str">
        <x:v>No physical tested system or approved cable/enclosure/mount variants; board-only evidence cannot be transferred to an arbitrary installation.</x:v>
      </x:c>
      <x:c r="F220" s="104" t="str">
        <x:v>OPEN</x:v>
      </x:c>
      <x:c r="G220" s="104" t="str">
        <x:v>OPEN</x:v>
      </x:c>
      <x:c r="H220" s="104" t="str">
        <x:v>OPEN</x:v>
      </x:c>
      <x:c r="I220" s="104" t="str">
        <x:v>Read actual native KiCad 9.0.9 board/pads/tracks/fills; compare exact selected values and manufacturer electrical contract; source-bound geometry/arithmetic and firmware inspection where applicable. No physical test inferred.</x:v>
      </x:c>
      <x:c r="J220" s="104" t="str">
        <x:v>F1 changed interface
J401 accessory
U201 antenna keepout
Board enclosure interface</x:v>
      </x:c>
      <x:c r="K220"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0" s="104" t="str">
        <x:v>Freeze tested configuration and material-change retest rules for harness, grounding, antenna, enclosure and mounting.</x:v>
      </x:c>
      <x:c r="M220" s="104" t="str">
        <x:v>NO</x:v>
      </x:c>
      <x:c r="N220" s="104" t="str">
        <x:v>YES</x:v>
      </x:c>
      <x:c r="O220" s="104" t="str">
        <x:v>P1</x:v>
      </x:c>
    </x:row>
    <x:row r="221" ht="125" customHeight="1">
      <x:c r="A221" s="104" t="str">
        <x:v>EMC-09</x:v>
      </x:c>
      <x:c r="B221" s="104" t="str">
        <x:v>EMC, ESD and self-interference</x:v>
      </x:c>
      <x:c r="C221" s="104" t="str">
        <x:v>Functional status criteria and post-test inspection prevent a reboot from being counted as universal success.</x:v>
      </x:c>
      <x:c r="D221" s="104" t="str">
        <x:v>Actual source separates invalid oil data, accepted crank gaps, firmware resets and passive CAN operation; its modes can be monitored by test pads/diagnostics.</x:v>
      </x:c>
      <x:c r="E221" s="104" t="str">
        <x:v>No per-stimulus matrix distinguishes permanent damage, temporary invalidity/data loss, restart time, retained calibration and unsafe bus behavior.</x:v>
      </x:c>
      <x:c r="F221" s="104" t="str">
        <x:v>OPEN</x:v>
      </x:c>
      <x:c r="G221" s="104" t="str">
        <x:v>OPEN</x:v>
      </x:c>
      <x:c r="H221" s="104" t="str">
        <x:v>OPEN</x:v>
      </x:c>
      <x:c r="I221" s="104" t="str">
        <x:v>Read actual native KiCad 9.0.9 board/pads/tracks/fills; compare exact selected values and manufacturer electrical contract; source-bound geometry/arithmetic and firmware inspection where applicable. No physical test inferred.</x:v>
      </x:c>
      <x:c r="J221" s="104" t="str">
        <x:v>TP rails/ADC/CAN
U201 diagnostics
U301 passive bus mode
Oil model flags</x:v>
      </x:c>
      <x:c r="K221"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1" s="104" t="str">
        <x:v>Set functional classes and post-test inspection/current/accuracy criteria; never count every recoverable reboot as passing.</x:v>
      </x:c>
      <x:c r="M221" s="104" t="str">
        <x:v>NO</x:v>
      </x:c>
      <x:c r="N221" s="104" t="str">
        <x:v>YES</x:v>
      </x:c>
      <x:c r="O221" s="104" t="str">
        <x:v>P1</x:v>
      </x:c>
    </x:row>
    <x:row r="222" ht="125" customHeight="1">
      <x:c r="A222" s="104" t="str">
        <x:v>EMC-10</x:v>
      </x:c>
      <x:c r="B222" s="104" t="str">
        <x:v>EMC, ESD and self-interference</x:v>
      </x:c>
      <x:c r="C222" s="104" t="str">
        <x:v>Before/after evidence and regression tests for power stability, RF and measurement accuracy.</x:v>
      </x:c>
      <x:c r="D222" s="104" t="str">
        <x:v>Actual converter mode/frequency and selected RC/ESD circuits are fixed. No EMC-related copper or component change was made in this vetting; baseline geometric observations are retained.</x:v>
      </x:c>
      <x:c r="E222" s="104" t="str">
        <x:v>No measured baseline failure or before/after mitigation proves a benefit; untested filtering/shielding can affect stability/RF/ADC.</x:v>
      </x:c>
      <x:c r="F222" s="104" t="str">
        <x:v>OPEN</x:v>
      </x:c>
      <x:c r="G222" s="104" t="str">
        <x:v>OPEN</x:v>
      </x:c>
      <x:c r="H222" s="104" t="str">
        <x:v>OPEN</x:v>
      </x:c>
      <x:c r="I222" s="104" t="str">
        <x:v>Read actual native KiCad 9.0.9 board/pads/tracks/fills; compare exact selected values and manufacturer electrical contract; source-bound geometry/arithmetic and firmware inspection where applicable. No physical test inferred.</x:v>
      </x:c>
      <x:c r="J222" s="104" t="str">
        <x:v>U121 R121/R124/C125/C126
U151 mode/frequency pins
C511–C524
J401/D402</x:v>
      </x:c>
      <x:c r="K222" s="104" t="str">
        <x:v>audit/board_vetting_20260908/lanes/ANALOG_THERMAL_BOARD_VETTING.md — Source-bound circuit, routing, fault, thermal and EMC sections
audit/board_vetting_20260908/lanes/ANALOG_THERMAL_NATIVE_GEOMETRY.json — components, analog_nets, endpoints and thermal_copper_geometry
audit/board_vetting_20260908/lanes/ACTUAL_ANALOG_CALCULATIONS.json — 103 physical endpoint checks, value checks, shortest routes and independent arithmetic</x:v>
      </x:c>
      <x:c r="L222" s="104" t="str">
        <x:v>After measurements, control each mitigation and repeat power, RF, ADC, passive CAN and manufacturing regression checks.</x:v>
      </x:c>
      <x:c r="M222" s="104" t="str">
        <x:v>NO</x:v>
      </x:c>
      <x:c r="N222" s="104" t="str">
        <x:v>YES</x:v>
      </x:c>
      <x:c r="O222" s="104" t="str">
        <x:v>P1</x:v>
      </x:c>
    </x:row>
    <x:row r="223" ht="125" customHeight="1">
      <x:c r="A223" s="104" t="str">
        <x:v>LAY-01</x:v>
      </x:c>
      <x:c r="B223" s="104" t="str">
        <x:v>Placement and power-layout review</x:v>
      </x:c>
      <x:c r="C223" s="104" t="str">
        <x:v>Input high-di/dt loops must follow each exact buck reference layout with local VIN/GND copper.</x:v>
      </x:c>
      <x:c r="D223" s="104" t="str">
        <x:v>C123 → U121 VIN 2.153 mm and C152 → U151 VIN 2.263 mm routed paths; same-side straight VIN and return paths lie in filled copper. Projected pin-centre loop proxies 3.408/3.046 mm². Compared native copper to TI LM5164p25/LM63615p44.</x:v>
      </x:c>
      <x:c r="E223" s="104" t="str">
        <x:v>Earlier missing-loop-review gap closed. Both HF capacitors are local; bottom bulkC122 does not replace localC123. No thermal spokes in these loops.</x:v>
      </x:c>
      <x:c r="F223" s="104" t="str">
        <x:v>VERIFIED</x:v>
      </x:c>
      <x:c r="G223" s="104" t="str">
        <x:v>CLOSED</x:v>
      </x:c>
      <x:c r="H223" s="104" t="str">
        <x:v>OPEN</x:v>
      </x:c>
      <x:c r="I223" s="104" t="str">
        <x:v>Read actual native PCB objects/filled copper; dimensional/path calculations and exact manufacturer/reference comparison where applicable; source-bound outputs and requirement inspected.</x:v>
      </x:c>
      <x:c r="J223" s="104" t="str">
        <x:v>U121.2/.1
C123.1/.2
F.Cu(42.15–44.3,23.85–25.865)
U151.13/.15
C152.1/.2
B.Cu(37.8625–40,13.2–14.75)</x:v>
      </x:c>
      <x:c r="K223" s="104" t="str">
        <x:v>audit/board_vetting_20260908/layout_mfg/DIRECT_LAYOUT_MEASUREMENTS.json — hotloops; decoupling; MANUFACTURER_LAYOUT_SOURCES
audit/board_vetting_20260908/layout_mfg/DIRECT_BOARD_REVIEW.md — LAY-01</x:v>
      </x:c>
      <x:c r="L223" s="104" t="str">
        <x:v>Projected area is not an EM extraction; verify VIN/SW ringing and emission on first article.</x:v>
      </x:c>
      <x:c r="M223" s="104" t="str">
        <x:v>YES</x:v>
      </x:c>
      <x:c r="N223" s="104" t="str">
        <x:v>YES</x:v>
      </x:c>
      <x:c r="O223" s="104" t="str">
        <x:v>P0</x:v>
      </x:c>
    </x:row>
    <x:row r="224" ht="125" customHeight="1">
      <x:c r="A224" s="104" t="str">
        <x:v>LAY-02</x:v>
      </x:c>
      <x:c r="B224" s="104" t="str">
        <x:v>Placement and power-layout review</x:v>
      </x:c>
      <x:c r="C224" s="104" t="str">
        <x:v>Switch copper should be local, short, isolated from ADC/RF and quiet sense routing.</x:v>
      </x:c>
      <x:c r="D224" s="104" t="str">
        <x:v>Actual5V_SW29.15 mm² F.Cu and3V3_SW9.87 mm² B.Cu; no inner-layer SW traces.5V_SW to ADC_NODE26.13 mm, excitationADC13.01 mm, nearest RF10.42 mm;3V3SW farther away.</x:v>
      </x:c>
      <x:c r="E224" s="104" t="str">
        <x:v>No sensitive ADC/RF crossing or proximity violation found.5VFB nearestSW1.05 mm uses short local leg; intentional ripple network couples SW throughR124.</x:v>
      </x:c>
      <x:c r="F224" s="104" t="str">
        <x:v>VERIFIED</x:v>
      </x:c>
      <x:c r="G224" s="104" t="str">
        <x:v>CLOSED</x:v>
      </x:c>
      <x:c r="H224" s="104" t="str">
        <x:v>CLOSED</x:v>
      </x:c>
      <x:c r="I224" s="104" t="str">
        <x:v>Read actual native PCB objects/filled copper; dimensional/path calculations and exact manufacturer/reference comparison where applicable; source-bound outputs and requirement inspected.</x:v>
      </x:c>
      <x:c r="J224" s="104" t="str">
        <x:v>5V_SW F.Cu
3V3_SW B.Cu
ADC_NODE
OIL_EXCITATION_ADC
5V_FB
GPS_EXT_ANT</x:v>
      </x:c>
      <x:c r="K224" s="104" t="str">
        <x:v>audit/board_vetting_20260908/layout_mfg/DIRECT_LAYOUT_MEASUREMENTS.json — switch_nodes
audit/board_vetting_20260908/layout_mfg/DIRECT_BOARD_REVIEW.md — LAY-02</x:v>
      </x:c>
      <x:c r="L224" s="104" t="str">
        <x:v>No numerical manufacturer maximum SW area is specified; emission/ripple performance remains physical evidence.</x:v>
      </x:c>
      <x:c r="M224" s="104" t="str">
        <x:v>YES</x:v>
      </x:c>
      <x:c r="N224" s="104" t="str">
        <x:v>YES</x:v>
      </x:c>
      <x:c r="O224" s="104" t="str">
        <x:v>P1</x:v>
      </x:c>
    </x:row>
    <x:row r="225" ht="125" customHeight="1">
      <x:c r="A225" s="104" t="str">
        <x:v>LAY-03</x:v>
      </x:c>
      <x:c r="B225" s="104" t="str">
        <x:v>Placement and power-layout review</x:v>
      </x:c>
      <x:c r="C225" s="104" t="str">
        <x:v>Sense output after inductor with local FB components and quiet ground return.</x:v>
      </x:c>
      <x:c r="D225" s="104" t="str">
        <x:v>U121 FB→R1232.761 mm and→R1225.063 mm; output sense reachesC127 through separate bottom route. U151 FB uses opposite-face sense branch toC158/output cap bus, as TI reference does. Returns use solid GND copper and local vias.</x:v>
      </x:c>
      <x:c r="E225" s="104" t="str">
        <x:v>Actual pickoff is post-inductor and pre-isolation load rail; neither FB route is a series load conductor. Earlier undocumented-copper gap closed.</x:v>
      </x:c>
      <x:c r="F225" s="104" t="str">
        <x:v>VERIFIED</x:v>
      </x:c>
      <x:c r="G225" s="104" t="str">
        <x:v>CLOSED</x:v>
      </x:c>
      <x:c r="H225" s="104" t="str">
        <x:v>OPEN</x:v>
      </x:c>
      <x:c r="I225" s="104" t="str">
        <x:v>Read actual native PCB objects/filled copper; dimensional/path calculations and exact manufacturer/reference comparison where applicable; source-bound outputs and requirement inspected.</x:v>
      </x:c>
      <x:c r="J225" s="104" t="str">
        <x:v>U121.5
R122
R123
C127
U151.9
C158
C157
F.Cu/B.Cu</x:v>
      </x:c>
      <x:c r="K225" s="104" t="str">
        <x:v>audit/board_vetting_20260908/layout_mfg/DIRECT_LAYOUT_MEASUREMENTS.json — feedback_paths; zone_connections; annotated copper views
audit/board_vetting_20260908/layout_mfg/DIRECT_BOARD_REVIEW.md — LAY-03</x:v>
      </x:c>
      <x:c r="L225" s="104" t="str">
        <x:v>Ground is a finite shared plane; measured ripple/load regulation still required, not inferred from label equality.</x:v>
      </x:c>
      <x:c r="M225" s="104" t="str">
        <x:v>YES</x:v>
      </x:c>
      <x:c r="N225" s="104" t="str">
        <x:v>YES</x:v>
      </x:c>
      <x:c r="O225" s="104" t="str">
        <x:v>P1</x:v>
      </x:c>
    </x:row>
    <x:row r="226" ht="125" customHeight="1">
      <x:c r="A226" s="104" t="str">
        <x:v>LAY-04</x:v>
      </x:c>
      <x:c r="B226" s="104" t="str">
        <x:v>Placement and power-layout review</x:v>
      </x:c>
      <x:c r="C226" s="104" t="str">
        <x:v>Each used IC supply must have a physically local bypass and effective return.</x:v>
      </x:c>
      <x:c r="D226" s="104" t="str">
        <x:v>Measured 15 supply/bypass paths. BuckVIN2.15/2.26 mm, bootstrap1.90/1.96 mm, ESP2.68 mm, CAN VCC1.38 mm, OPA3.00 mm, TPS2.14 mm. Longest sampled supply path is MIC input→C4017.36 mm; cap and IC each have a1 mm direct ground-via path.</x:v>
      </x:c>
      <x:c r="E226" s="104" t="str">
        <x:v>Earlier generic decoupler-count evidence replaced by actual path/via measurements. Longer LDO/buffer paths are documented; no absent bypass or disconnected return found.</x:v>
      </x:c>
      <x:c r="F226" s="104" t="str">
        <x:v>VERIFIED</x:v>
      </x:c>
      <x:c r="G226" s="104" t="str">
        <x:v>CLOSED</x:v>
      </x:c>
      <x:c r="H226" s="104" t="str">
        <x:v>OPEN</x:v>
      </x:c>
      <x:c r="I226" s="104" t="str">
        <x:v>Read actual native PCB objects/filled copper; dimensional/path calculations and exact manufacturer/reference comparison where applicable; source-bound outputs and requirement inspected.</x:v>
      </x:c>
      <x:c r="J226" s="104" t="str">
        <x:v>U101/C101
U121/C123/C124
U151/C152/C153/C154
U201/C202
U301/C301/C302
U403/C401/C402
U402/C404
U404/C405
U501/C502
U502/C531</x:v>
      </x:c>
      <x:c r="K226" s="104" t="str">
        <x:v>audit/board_vetting_20260908/layout_mfg/DIRECT_LAYOUT_MEASUREMENTS.json — decoupling
audit/board_vetting_20260908/layout_mfg/DIRECT_BOARD_REVIEW.md — LAY-04</x:v>
      </x:c>
      <x:c r="L226" s="104" t="str">
        <x:v>No numerical universal maximum bypass length exists; validate local rail ripple/stability at loads. U501 output clamp placement separately remains HOLD.</x:v>
      </x:c>
      <x:c r="M226" s="104" t="str">
        <x:v>YES</x:v>
      </x:c>
      <x:c r="N226" s="104" t="str">
        <x:v>YES</x:v>
      </x:c>
      <x:c r="O226" s="104" t="str">
        <x:v>P1</x:v>
      </x:c>
    </x:row>
    <x:row r="227" ht="125" customHeight="1">
      <x:c r="A227" s="104" t="str">
        <x:v>LAY-05</x:v>
      </x:c>
      <x:c r="B227" s="104" t="str">
        <x:v>Placement and power-layout review</x:v>
      </x:c>
      <x:c r="C227" s="104" t="str">
        <x:v>Protection should intercept connector faults with short discharge loops before sensitive circuitry.</x:v>
      </x:c>
      <x:c r="D227" s="104" t="str">
        <x:v>CAN/vehicle/RF protection is present on actual connector paths. However D502 supplemental oilOUT clamp is25.841 mm routed from U501.OUT; reservoirsC504/C505/C506 are4.879/12.034/14.552 mm away per analog lane.</x:v>
      </x:c>
      <x:c r="E227" s="104" t="str">
        <x:v>Earlier blanket placement VERIFIED was too broad: stated adjacent/local oil clamp+reservoir assumption is not the actual distributed PCB.</x:v>
      </x:c>
      <x:c r="F227" s="104" t="str">
        <x:v>HOLD</x:v>
      </x:c>
      <x:c r="G227" s="104" t="str">
        <x:v>OPEN</x:v>
      </x:c>
      <x:c r="H227" s="104" t="str">
        <x:v>CLOSED</x:v>
      </x:c>
      <x:c r="I227" s="104" t="str">
        <x:v>Read actual native PCB objects/filled copper; dimensional/path calculations and exact manufacturer/reference comparison where applicable; source-bound outputs and requirement inspected.</x:v>
      </x:c>
      <x:c r="J227" s="104" t="str">
        <x:v>F1
D301
U301
J401
D402
U501.15/.16
D502
C504/C505/C506</x:v>
      </x:c>
      <x:c r="K227" s="104" t="str">
        <x:v>audit/board_vetting_20260908/layout_mfg/DIRECT_LAYOUT_MEASUREMENTS.json — NATIVE_OBJECTS U501/D502/C504/C505/C506; analog lane functional routes
audit/board_vetting_20260908/layout_mfg/DIRECT_BOARD_REVIEW.md — LAY-05</x:v>
      </x:c>
      <x:c r="L227" s="104" t="str">
        <x:v>Resolve distributed oil fault-loop parasitics by local placement correction or model/extraction/physical transient evidence; no observed failure is asserted.</x:v>
      </x:c>
      <x:c r="M227" s="104" t="str">
        <x:v>YES</x:v>
      </x:c>
      <x:c r="N227" s="104" t="str">
        <x:v>YES</x:v>
      </x:c>
      <x:c r="O227" s="104" t="str">
        <x:v>P1</x:v>
      </x:c>
    </x:row>
    <x:row r="228" ht="125" customHeight="1">
      <x:c r="A228" s="104" t="str">
        <x:v>LAY-06</x:v>
      </x:c>
      <x:c r="B228" s="104" t="str">
        <x:v>Placement and power-layout review</x:v>
      </x:c>
      <x:c r="C228" s="104" t="str">
        <x:v>Actual power necks, vias and returns must support allocated normal/fault currents.</x:v>
      </x:c>
      <x:c r="D228" s="104" t="str">
        <x:v>Screened 1191 actual perpendicular copper cross sections across 17 power nets; recorded narrow segments and nominal65 °C I²R. Minimum drawn width0.15 mm; thermal spokes absent in conductive zones. Via barrel20/25 µm assumptions quantified at 0.2/0.3 mm drills.</x:v>
      </x:c>
      <x:c r="E228" s="104" t="str">
        <x:v>Source geometry is now measured. Thin0.15–0.25 mm sense/test branches are not automatically full-rail paths. Finished copper/plating minimum and fuse let-through-to-copper survival are not guaranteed by current job specification.</x:v>
      </x:c>
      <x:c r="F228" s="104" t="str">
        <x:v>OPEN</x:v>
      </x:c>
      <x:c r="G228" s="104" t="str">
        <x:v>OPEN</x:v>
      </x:c>
      <x:c r="H228" s="104" t="str">
        <x:v>OPEN</x:v>
      </x:c>
      <x:c r="I228" s="104" t="str">
        <x:v>Read actual native PCB objects/filled copper; dimensional/path calculations and exact manufacturer/reference comparison where applicable; source-bound outputs and requirement inspected.</x:v>
      </x:c>
      <x:c r="J228" s="104" t="str">
        <x:v>RAW_12V
PROTECTED_12V
5V_VIN
5V_SOURCE
+5V
3V3_VIN
3V3_SOURCE
+3V3
OIL_5V
power vias</x:v>
      </x:c>
      <x:c r="K228" s="104" t="str">
        <x:v>audit/board_vetting_20260908/layout_mfg/DIRECT_LAYOUT_MEASUREMENTS.json — actual_copper_constriction_screen; power_track_screen; via_barrel_screen
audit/board_vetting_20260908/layout_mfg/DIRECT_BOARD_REVIEW.md — LAY-06</x:v>
      </x:c>
      <x:c r="L228" s="104" t="str">
        <x:v>Specify guaranteed finished copper/barrel plating and permitted fault-clearing energy; complete current-split/plane-constriction and fuse-I²t qualification. Present screen is not full IPC2152/3D thermal certification.</x:v>
      </x:c>
      <x:c r="M228" s="104" t="str">
        <x:v>YES</x:v>
      </x:c>
      <x:c r="N228" s="104" t="str">
        <x:v>YES</x:v>
      </x:c>
      <x:c r="O228" s="104" t="str">
        <x:v>P1</x:v>
      </x:c>
    </x:row>
    <x:row r="229" ht="125" customHeight="1">
      <x:c r="A229" s="104" t="str">
        <x:v>LAY-07</x:v>
      </x:c>
      <x:c r="B229" s="104" t="str">
        <x:v>Placement and power-layout review</x:v>
      </x:c>
      <x:c r="C229" s="104" t="str">
        <x:v>ADC conditioning should be local and connector fault assumptions must match physical route.</x:v>
      </x:c>
      <x:c r="D229" s="104" t="str">
        <x:v>Actual OPA/feedback/220 Ω/22 nF/clamps sit by ESPADC pads. SignalR515→GPIO1 path5.609 mm and reservoirC513→GPIO1 2.420 mm; excitation6.636/3.654 mm. Connector OIL_SIG is high-resistance/fault-limited by1M divider.</x:v>
      </x:c>
      <x:c r="E229" s="104" t="str">
        <x:v>ADC local placement is supported by measured paths. Oil excitation supplemental clamp/energy reservoir is distributed, contradicting blanket local-protection wording.</x:v>
      </x:c>
      <x:c r="F229" s="104" t="str">
        <x:v>HOLD</x:v>
      </x:c>
      <x:c r="G229" s="104" t="str">
        <x:v>OPEN</x:v>
      </x:c>
      <x:c r="H229" s="104" t="str">
        <x:v>CLOSED</x:v>
      </x:c>
      <x:c r="I229" s="104" t="str">
        <x:v>Read actual native PCB objects/filled copper; dimensional/path calculations and exact manufacturer/reference comparison where applicable; source-bound outputs and requirement inspected.</x:v>
      </x:c>
      <x:c r="J229" s="104" t="str">
        <x:v>U502
R515
R525
C513
C523
U201.39/.38
D502
U501</x:v>
      </x:c>
      <x:c r="K229" s="104" t="str">
        <x:v>audit/board_vetting_20260908/layout_mfg/DIRECT_LAYOUT_MEASUREMENTS.json — NATIVE_OBJECTS ADC region; analog lane route calculations
audit/board_vetting_20260908/layout_mfg/DIRECT_BOARD_REVIEW.md — LAY-07</x:v>
      </x:c>
      <x:c r="L229" s="104" t="str">
        <x:v>Close distributed excitation fault-loop delta; measure ADC RF/switch noise and channel settling.</x:v>
      </x:c>
      <x:c r="M229" s="104" t="str">
        <x:v>YES</x:v>
      </x:c>
      <x:c r="N229" s="104" t="str">
        <x:v>YES</x:v>
      </x:c>
      <x:c r="O229" s="104" t="str">
        <x:v>P1</x:v>
      </x:c>
    </x:row>
    <x:row r="230" ht="125" customHeight="1">
      <x:c r="A230" s="104" t="str">
        <x:v>LAY-08</x:v>
      </x:c>
      <x:c r="B230" s="104" t="str">
        <x:v>Placement and power-layout review</x:v>
      </x:c>
      <x:c r="C230" s="104" t="str">
        <x:v>RF placement must preserve antenna envelope and fit enclosure/cables.</x:v>
      </x:c>
      <x:c r="D230" s="104" t="str">
        <x:v>Native GPS and ESP antenna placement/keepouts are real; board geometry retained88.2548×41.2889 mm. Portable assembled3D model still absent;137 fitted/manual external model refs,8 fitted/manual refs without model. F1 relocated/rotated.</x:v>
      </x:c>
      <x:c r="E230" s="104" t="str">
        <x:v>Bare-board/source RF placement can be inspected; actual enclosure/cable collision and installed RF clearance cannot be inferred.</x:v>
      </x:c>
      <x:c r="F230" s="104" t="str">
        <x:v>OPEN</x:v>
      </x:c>
      <x:c r="G230" s="104" t="str">
        <x:v>OPEN</x:v>
      </x:c>
      <x:c r="H230" s="104" t="str">
        <x:v>OPEN</x:v>
      </x:c>
      <x:c r="I230" s="104" t="str">
        <x:v>Read actual native PCB objects/filled copper; dimensional/path calculations and exact manufacturer/reference comparison where applicable; source-bound outputs and requirement inspected.</x:v>
      </x:c>
      <x:c r="J230" s="104" t="str">
        <x:v>U201 antenna
U401 patch
J401
F1
J201
full top/bottom assembly</x:v>
      </x:c>
      <x:c r="K230" s="104" t="str">
        <x:v>audit/board_vetting_20260908/layout_mfg/manufacturing_native_evidence.json — referenced_3d_models; factory_or_manual_refs_without_model
audit/board_vetting_20260908/layout_mfg/DIRECT_BOARD_REVIEW.md — LAY-08</x:v>
      </x:c>
      <x:c r="L230" s="104" t="str">
        <x:v>Need actual enclosure/cable geometry and portable component envelopes; verify installed clearances and RF performance.</x:v>
      </x:c>
      <x:c r="M230" s="104" t="str">
        <x:v>YES</x:v>
      </x:c>
      <x:c r="N230" s="104" t="str">
        <x:v>YES</x:v>
      </x:c>
      <x:c r="O230" s="104" t="str">
        <x:v>P1</x:v>
      </x:c>
    </x:row>
    <x:row r="231" ht="125" customHeight="1">
      <x:c r="A231" s="104" t="str">
        <x:v>LAY-09</x:v>
      </x:c>
      <x:c r="B231" s="104" t="str">
        <x:v>Placement and power-layout review</x:v>
      </x:c>
      <x:c r="C231" s="104" t="str">
        <x:v>Silk/probe/courtyard geometry must avoid assembly and routing interference.</x:v>
      </x:c>
      <x:c r="D231" s="104" t="str">
        <x:v>Source-matched native DRC contains no electrical/courtyard errors;6 exact graphic exceptions. Text floor1 mm/.15 mm;37 actual test contacts were reviewed against0.5 mm probe tip. Testpoint labels are abbreviated per legend.</x:v>
      </x:c>
      <x:c r="E231" s="104" t="str">
        <x:v>No newly found courtyard/probe-pad conflict. Full fixture barrels/support/access with enclosure remain undefined.</x:v>
      </x:c>
      <x:c r="F231" s="104" t="str">
        <x:v>VERIFIED</x:v>
      </x:c>
      <x:c r="G231" s="104" t="str">
        <x:v>CLOSED</x:v>
      </x:c>
      <x:c r="H231" s="104" t="str">
        <x:v>CLOSED</x:v>
      </x:c>
      <x:c r="I231" s="104" t="str">
        <x:v>Read actual native PCB objects/filled copper; dimensional/path calculations and exact manufacturer/reference comparison where applicable; source-bound outputs and requirement inspected.</x:v>
      </x:c>
      <x:c r="J231" s="104" t="str">
        <x:v>All37 testpoints
F.CrtYd
B.CrtYd
silkscreen
F1/J201</x:v>
      </x:c>
      <x:c r="K231" s="104" t="str">
        <x:v>audit/board_vetting_20260908/layout_mfg/manufacturing_native_evidence.json — source_sha256; current native gate source binding
audit/board_vetting_20260908/layout_mfg/DIRECT_BOARD_REVIEW.md — LAY-09</x:v>
      </x:c>
      <x:c r="L231" s="104" t="str">
        <x:v>Probe-tip clearance is not a complete bed-of-nails/enclosure fixture design.</x:v>
      </x:c>
      <x:c r="M231" s="104" t="str">
        <x:v>YES</x:v>
      </x:c>
      <x:c r="N231" s="104" t="str">
        <x:v>YES</x:v>
      </x:c>
      <x:c r="O231" s="104" t="str">
        <x:v>P1</x:v>
      </x:c>
    </x:row>
    <x:row r="232" ht="125" customHeight="1">
      <x:c r="A232" s="104" t="str">
        <x:v>LAY-10</x:v>
      </x:c>
      <x:c r="B232" s="104" t="str">
        <x:v>Placement and power-layout review</x:v>
      </x:c>
      <x:c r="C232" s="104" t="str">
        <x:v>Final board, filled copper and exports must be same reviewed bytes.</x:v>
      </x:c>
      <x:c r="D232" s="104" t="str">
        <x:v>Fresh source manifest scan: zero input or output hash mismatches;480 current pad-net rows match; original PCB SHA remainsf23c…e9ca. Source-bound ERC 0/DRC 0 unconnected and manufacturing34/34 retained.</x:v>
      </x:c>
      <x:c r="E232" s="104" t="str">
        <x:v>No CAD mutation or manufacturing drift introduced by this review.</x:v>
      </x:c>
      <x:c r="F232" s="104" t="str">
        <x:v>VERIFIED</x:v>
      </x:c>
      <x:c r="G232" s="104" t="str">
        <x:v>CLOSED</x:v>
      </x:c>
      <x:c r="H232" s="104" t="str">
        <x:v>CLOSED</x:v>
      </x:c>
      <x:c r="I232" s="104" t="str">
        <x:v>Read actual native PCB objects/filled copper; dimensional/path calculations and exact manufacturer/reference comparison where applicable; source-bound outputs and requirement inspected.</x:v>
      </x:c>
      <x:c r="J232" s="104" t="str">
        <x:v>kicad/GR86_CCA_RevB.kicad_pcb
all populated pads
all copper layers</x:v>
      </x:c>
      <x:c r="K232" s="104" t="str">
        <x:v>audit/board_vetting_20260908/layout_mfg/manufacturing_native_evidence.json — source_sha256; product_output_hash_mismatch=[]; input_hash_mismatch=[]
audit/board_vetting_20260908/layout_mfg/DIRECT_BOARD_REVIEW.md — LAY-10</x:v>
      </x:c>
      <x:c r="L232" s="104" t="str">
        <x:v>Reopen on source/part/variant changes. No physical assembly is represented as tested.</x:v>
      </x:c>
      <x:c r="M232" s="104" t="str">
        <x:v>YES</x:v>
      </x:c>
      <x:c r="N232" s="104" t="str">
        <x:v>NO</x:v>
      </x:c>
      <x:c r="O232" s="104" t="str">
        <x:v>P0</x:v>
      </x:c>
    </x:row>
    <x:row r="233" ht="125" customHeight="1">
      <x:c r="A233" s="104" t="str">
        <x:v>DFM-01</x:v>
      </x:c>
      <x:c r="B233" s="104" t="str">
        <x:v>PCB fabrication and assembly</x:v>
      </x:c>
      <x:c r="C233" s="104" t="str">
        <x:v>Native geometry/stackup must fit specified fabricator process, including RF rules.</x:v>
      </x:c>
      <x:c r="D233" s="104" t="str">
        <x:v>Native minimum track0.15 mm; vias0.2/0.3 mm drill;4-layer70/30/30/70 µm copper and0.203/1.03/0.203 mm dielectric match named JLC041621-7628. No controlled impedance service is specified.</x:v>
      </x:c>
      <x:c r="E233" s="104" t="str">
        <x:v>Geometric service selection coherent; nominal RF49.8 Ω is not supplier-controlled impedance. Exact job acceptance still pending.</x:v>
      </x:c>
      <x:c r="F233" s="104" t="str">
        <x:v>OPEN</x:v>
      </x:c>
      <x:c r="G233" s="104" t="str">
        <x:v>OPEN</x:v>
      </x:c>
      <x:c r="H233" s="104" t="str">
        <x:v>OPEN</x:v>
      </x:c>
      <x:c r="I233" s="104" t="str">
        <x:v>Read actual native PCB objects/filled copper; dimensional/path calculations and exact manufacturer/reference comparison where applicable; source-bound outputs and requirement inspected.</x:v>
      </x:c>
      <x:c r="J233" s="104" t="str">
        <x:v>F.Cu/In1.Cu/In2.Cu/B.Cu
GPS_EXT_ANT
all vias</x:v>
      </x:c>
      <x:c r="K233" s="104" t="str">
        <x:v>audit/board_vetting_20260908/layout_mfg/DIRECT_LAYOUT_MEASUREMENTS.json — NATIVE_OBJECTS; actual copper metrics; ORDER_SETUP
audit/board_vetting_20260908/layout_mfg/DIRECT_BOARD_REVIEW.md — DFM-01</x:v>
      </x:c>
      <x:c r="L233" s="104" t="str">
        <x:v>Obtain actual stackup/process acceptance and tolerance allocation; specify controlled impedance if required by final RF contract.</x:v>
      </x:c>
      <x:c r="M233" s="104" t="str">
        <x:v>YES</x:v>
      </x:c>
      <x:c r="N233" s="104" t="str">
        <x:v>NO</x:v>
      </x:c>
      <x:c r="O233" s="104" t="str">
        <x:v>P0</x:v>
      </x:c>
    </x:row>
    <x:row r="234" ht="125" customHeight="1">
      <x:c r="A234" s="104" t="str">
        <x:v>DFM-02</x:v>
      </x:c>
      <x:c r="B234" s="104" t="str">
        <x:v>PCB fabrication and assembly</x:v>
      </x:c>
      <x:c r="C234" s="104" t="str">
        <x:v>Holes/rings/aspect/tolerances must cover finished board and actual terminals.</x:v>
      </x:c>
      <x:c r="D234" s="104" t="str">
        <x:v>Actual native via minimum radial ring0.15 mm; electrical drills 0.2/1.02/1.10 mm; locators0.9906/1.2/3.0 mm.0.2 mm via aspect is8:1 nominal1.6 mm or8.8:1 at +10% thickness.</x:v>
      </x:c>
      <x:c r="E234" s="104" t="str">
        <x:v>No nominal annular-ring/hole mismatch found. Finished hole/barrel plating tolerances and tool/process capability acceptance remain job inputs.</x:v>
      </x:c>
      <x:c r="F234" s="104" t="str">
        <x:v>OPEN</x:v>
      </x:c>
      <x:c r="G234" s="104" t="str">
        <x:v>OPEN</x:v>
      </x:c>
      <x:c r="H234" s="104" t="str">
        <x:v>OPEN</x:v>
      </x:c>
      <x:c r="I234" s="104" t="str">
        <x:v>Read actual native PCB objects/filled copper; dimensional/path calculations and exact manufacturer/reference comparison where applicable; source-bound outputs and requirement inspected.</x:v>
      </x:c>
      <x:c r="J234" s="104" t="str">
        <x:v>F1 PTH1.02
J202/J203 PTH1.10
U2010.20 thermal holes
J201/U401/F1 NPTH</x:v>
      </x:c>
      <x:c r="K234" s="104" t="str">
        <x:v>audit/board_vetting_20260908/layout_mfg/NATIVE_OBJECTS.json — vias; footprints.*.pads.drill
audit/board_vetting_20260908/layout_mfg/DIRECT_BOARD_REVIEW.md — DFM-02</x:v>
      </x:c>
      <x:c r="L234" s="104" t="str">
        <x:v>Approve finished drilling/plating tolerance and verify mating parts on first article.</x:v>
      </x:c>
      <x:c r="M234" s="104" t="str">
        <x:v>YES</x:v>
      </x:c>
      <x:c r="N234" s="104" t="str">
        <x:v>YES</x:v>
      </x:c>
      <x:c r="O234" s="104" t="str">
        <x:v>P1</x:v>
      </x:c>
    </x:row>
    <x:row r="235" ht="125" customHeight="1">
      <x:c r="A235" s="104" t="str">
        <x:v>DFM-03</x:v>
      </x:c>
      <x:c r="B235" s="104" t="str">
        <x:v>PCB fabrication and assembly</x:v>
      </x:c>
      <x:c r="C235" s="104" t="str">
        <x:v>PTH/NPTH/slots/outline must be separate and unambiguous.</x:v>
      </x:c>
      <x:c r="D235" s="104" t="str">
        <x:v>Current packet separates PTH/NPTH Excellon; native F1 plastic locators3 mm, GPS1.2 mm and Tag0.9906 mm are unplated. Unit outline and panel cavities are explicit; no locator is treated as a screw hole.</x:v>
      </x:c>
      <x:c r="E235" s="104" t="str">
        <x:v>No ambiguous plating type or extra unit contour detected in controlled output checks.</x:v>
      </x:c>
      <x:c r="F235" s="104" t="str">
        <x:v>VERIFIED</x:v>
      </x:c>
      <x:c r="G235" s="104" t="str">
        <x:v>CLOSED</x:v>
      </x:c>
      <x:c r="H235" s="104" t="str">
        <x:v>CLOSED</x:v>
      </x:c>
      <x:c r="I235" s="104" t="str">
        <x:v>Read actual native PCB objects/filled copper; dimensional/path calculations and exact manufacturer/reference comparison where applicable; source-bound outputs and requirement inspected.</x:v>
      </x:c>
      <x:c r="J235" s="104" t="str">
        <x:v>F1 plastic locators
J201 locators
U401 locator
Edge.Cuts
panel cavities</x:v>
      </x:c>
      <x:c r="K235" s="104" t="str">
        <x:v>audit/board_vetting_20260908/layout_mfg/manufacturing_native_evidence.json — product_output_hash_mismatch=[]; native pad drill types
audit/board_vetting_20260908/layout_mfg/DIRECT_BOARD_REVIEW.md — DFM-03</x:v>
      </x:c>
      <x:c r="L235" s="104" t="str">
        <x:v>Reopen on source/part/variant changes. No physical assembly is represented as tested.</x:v>
      </x:c>
      <x:c r="M235" s="104" t="str">
        <x:v>YES</x:v>
      </x:c>
      <x:c r="N235" s="104" t="str">
        <x:v>NO</x:v>
      </x:c>
      <x:c r="O235" s="104" t="str">
        <x:v>P1</x:v>
      </x:c>
    </x:row>
    <x:row r="236" ht="125" customHeight="1">
      <x:c r="A236" s="104" t="str">
        <x:v>DFM-04</x:v>
      </x:c>
      <x:c r="B236" s="104" t="str">
        <x:v>PCB fabrication and assembly</x:v>
      </x:c>
      <x:c r="C236" s="104" t="str">
        <x:v>Edge/mask/pad clearances must meet selected rules without hidden electrical waivers.</x:v>
      </x:c>
      <x:c r="D236" s="104" t="str">
        <x:v>Final source-matched native gate passes electrical/mask/courtyard clearances.0.2 mm configured mask web, exact local overrides,0.15 mm nominal drill-to-paste floor retained; no electrical DRC waiver.</x:v>
      </x:c>
      <x:c r="E236" s="104" t="str">
        <x:v>No new actual copper/mask violation found. Manufacturing process registration is still a supplier guarantee, not CAD proof.</x:v>
      </x:c>
      <x:c r="F236" s="104" t="str">
        <x:v>VERIFIED</x:v>
      </x:c>
      <x:c r="G236" s="104" t="str">
        <x:v>CLOSED</x:v>
      </x:c>
      <x:c r="H236" s="104" t="str">
        <x:v>CLOSED</x:v>
      </x:c>
      <x:c r="I236" s="104" t="str">
        <x:v>Read actual native PCB objects/filled copper; dimensional/path calculations and exact manufacturer/reference comparison where applicable; source-bound outputs and requirement inspected.</x:v>
      </x:c>
      <x:c r="J236" s="104" t="str">
        <x:v>All copper/mask layers
D402
U301
U201 EP41</x:v>
      </x:c>
      <x:c r="K236" s="104" t="str">
        <x:v>audit/board_vetting_20260908/layout_mfg/manufacturing_native_evidence.json — source_sha256; frozen actual geometry gate
audit/board_vetting_20260908/layout_mfg/DIRECT_BOARD_REVIEW.md — DFM-04</x:v>
      </x:c>
      <x:c r="L236" s="104" t="str">
        <x:v>Confirm actual mask registration and drill/paste process before accepting solder yield.</x:v>
      </x:c>
      <x:c r="M236" s="104" t="str">
        <x:v>YES</x:v>
      </x:c>
      <x:c r="N236" s="104" t="str">
        <x:v>YES</x:v>
      </x:c>
      <x:c r="O236" s="104" t="str">
        <x:v>P1</x:v>
      </x:c>
    </x:row>
    <x:row r="237" ht="125" customHeight="1">
      <x:c r="A237" s="104" t="str">
        <x:v>DFM-05</x:v>
      </x:c>
      <x:c r="B237" s="104" t="str">
        <x:v>PCB fabrication and assembly</x:v>
      </x:c>
      <x:c r="C237" s="104" t="str">
        <x:v>Actual lands/paste must match exact parts and assembler stencil/reflow window.</x:v>
      </x:c>
      <x:c r="D237" s="104" t="str">
        <x:v>19 direct pad-size/pitch checks pass, including DRB0.60×0.31/0.65pitch and BEA0.60square/2.2pitch. EP dimensions measured; existing exact mask/paste checks tie final source. Planned stencil0.12 mm; DPY reference0.10 mm.</x:v>
      </x:c>
      <x:c r="E237" s="104" t="str">
        <x:v>Land geometry supported. Active old package-review text conflicts with current MPNs; stencil deposit/void/tombstone performance not yet accepted.</x:v>
      </x:c>
      <x:c r="F237" s="104" t="str">
        <x:v>OPEN</x:v>
      </x:c>
      <x:c r="G237" s="104" t="str">
        <x:v>OPEN</x:v>
      </x:c>
      <x:c r="H237" s="104" t="str">
        <x:v>OPEN</x:v>
      </x:c>
      <x:c r="I237" s="104" t="str">
        <x:v>Read actual native PCB objects/filled copper; dimensional/path calculations and exact manufacturer/reference comparison where applicable; source-bound outputs and requirement inspected.</x:v>
      </x:c>
      <x:c r="J237" s="104" t="str">
        <x:v>U301 DRB
U502 SOIC
U121 DDA
U151 PWP
U501 PWP
D511/D512/D521/D522
D402</x:v>
      </x:c>
      <x:c r="K237" s="104" t="str">
        <x:v>audit/board_vetting_20260908/layout_mfg/DIRECT_LAYOUT_MEASUREMENTS.json — package_numeric_checks; EP_checks
audit/board_vetting_20260908/layout_mfg/DIRECT_BOARD_REVIEW.md — DFM-05</x:v>
      </x:c>
      <x:c r="L237" s="104" t="str">
        <x:v>Reconcile package document and obtain assembler aperture/deposit/reflow acceptance; inspect first article.</x:v>
      </x:c>
      <x:c r="M237" s="104" t="str">
        <x:v>YES</x:v>
      </x:c>
      <x:c r="N237" s="104" t="str">
        <x:v>YES</x:v>
      </x:c>
      <x:c r="O237" s="104" t="str">
        <x:v>P1</x:v>
      </x:c>
    </x:row>
    <x:row r="238" ht="125" customHeight="1">
      <x:c r="A238" s="104" t="str">
        <x:v>DFM-06</x:v>
      </x:c>
      <x:c r="B238" s="104" t="str">
        <x:v>PCB fabrication and assembly</x:v>
      </x:c>
      <x:c r="C238" s="104" t="str">
        <x:v>Panel fiducials/tooling/tab supports must permit assembly and depaneling.</x:v>
      </x:c>
      <x:c r="D238" s="104" t="str">
        <x:v>Actual prepared carrier120×75 mm with 7 mm rails,4 × 2 mm NPTH tools,3 × 1 mm copper/3 mm mask fiducials per face,6 cavities/6 tabs; one finished unit. Unit itself has no dedicated mounting screw holes.</x:v>
      </x:c>
      <x:c r="E238" s="104" t="str">
        <x:v>Panel provisions present and output-checked; actual assembly fixture/clamping/depanel process has not been demonstrated.</x:v>
      </x:c>
      <x:c r="F238" s="104" t="str">
        <x:v>OPEN</x:v>
      </x:c>
      <x:c r="G238" s="104" t="str">
        <x:v>OPEN</x:v>
      </x:c>
      <x:c r="H238" s="104" t="str">
        <x:v>OPEN</x:v>
      </x:c>
      <x:c r="I238" s="104" t="str">
        <x:v>Read actual native PCB objects/filled copper; dimensional/path calculations and exact manufacturer/reference comparison where applicable; source-bound outputs and requirement inspected.</x:v>
      </x:c>
      <x:c r="J238" s="104" t="str">
        <x:v>one-up carrier rails
fiducials
4tool holes
6tabs</x:v>
      </x:c>
      <x:c r="K238" s="104" t="str">
        <x:v>audit/board_vetting_20260908/layout_mfg/manufacturing_native_evidence.json — product_output_hash_mismatch; ORDER_SETUP carrier definition
audit/board_vetting_20260908/layout_mfg/DIRECT_BOARD_REVIEW.md — DFM-06</x:v>
      </x:c>
      <x:c r="L238" s="104" t="str">
        <x:v>Supplier fixture/support/depanel acceptance with bottom components and connector access required.</x:v>
      </x:c>
      <x:c r="M238" s="104" t="str">
        <x:v>YES</x:v>
      </x:c>
      <x:c r="N238" s="104" t="str">
        <x:v>YES</x:v>
      </x:c>
      <x:c r="O238" s="104" t="str">
        <x:v>P1</x:v>
      </x:c>
    </x:row>
    <x:row r="239" ht="125" customHeight="1">
      <x:c r="A239" s="104" t="str">
        <x:v>DFM-07</x:v>
      </x:c>
      <x:c r="B239" s="104" t="str">
        <x:v>PCB fabrication and assembly</x:v>
      </x:c>
      <x:c r="C239" s="104" t="str">
        <x:v>Every via-under-pad/paste condition needs explicit manufacturable treatment.</x:v>
      </x:c>
      <x:c r="D239" s="104" t="str">
        <x:v>ESP41 has12 × 0.2 mm thermal drills between9 isolated paste/mask windows; all conductive zones solid connect. U121/U151/U301/U501 local vias recorded; final435 aperture/290hole process-margin check retained.</x:v>
      </x:c>
      <x:c r="E239" s="104" t="str">
        <x:v>No unrequested resin-fill/cap process assumed; VIA_PROCESS explicitly calls tenting. Actual tenting/registration and EP solder results remain process acceptance.</x:v>
      </x:c>
      <x:c r="F239" s="104" t="str">
        <x:v>OPEN</x:v>
      </x:c>
      <x:c r="G239" s="104" t="str">
        <x:v>OPEN</x:v>
      </x:c>
      <x:c r="H239" s="104" t="str">
        <x:v>OPEN</x:v>
      </x:c>
      <x:c r="I239" s="104" t="str">
        <x:v>Read actual native PCB objects/filled copper; dimensional/path calculations and exact manufacturer/reference comparison where applicable; source-bound outputs and requirement inspected.</x:v>
      </x:c>
      <x:c r="J239" s="104" t="str">
        <x:v>U201.41
U121.9
U151.17
U301.9
U501.17</x:v>
      </x:c>
      <x:c r="K239" s="104" t="str">
        <x:v>audit/board_vetting_20260908/layout_mfg/DIRECT_LAYOUT_MEASUREMENTS.json — EP_checks; NATIVE_OBJECTS; VIA_PROCESS
audit/board_vetting_20260908/layout_mfg/DIRECT_BOARD_REVIEW.md — DFM-07</x:v>
      </x:c>
      <x:c r="L239" s="104" t="str">
        <x:v>Confirm tenting and nominal0.15 mm drill-to-paste margin with supplier; verify solder coverage/voids.</x:v>
      </x:c>
      <x:c r="M239" s="104" t="str">
        <x:v>YES</x:v>
      </x:c>
      <x:c r="N239" s="104" t="str">
        <x:v>YES</x:v>
      </x:c>
      <x:c r="O239" s="104" t="str">
        <x:v>P1</x:v>
      </x:c>
    </x:row>
    <x:row r="240" ht="125" customHeight="1">
      <x:c r="A240" s="104" t="str">
        <x:v>DFM-08</x:v>
      </x:c>
      <x:c r="B240" s="104" t="str">
        <x:v>PCB fabrication and assembly</x:v>
      </x:c>
      <x:c r="C240" s="104" t="str">
        <x:v>Both-side reflow order must respect every part heat exposure and support load.</x:v>
      </x:c>
      <x:c r="D240" s="104" t="str">
        <x:v>73 factory top/71 bottom; bottom SMT first, top second with ESP only once; F1/J202/J203 subsequent local/selective solder; GPS manual last. Heavy parts/underside assembly are actually present.</x:v>
      </x:c>
      <x:c r="E240" s="104" t="str">
        <x:v>Valid proposed sequence exists. No measured profile, retention/support or supplier process acceptance yet; double-side benefit is density, not proven necessity.</x:v>
      </x:c>
      <x:c r="F240" s="104" t="str">
        <x:v>OPEN</x:v>
      </x:c>
      <x:c r="G240" s="104" t="str">
        <x:v>OPEN</x:v>
      </x:c>
      <x:c r="H240" s="104" t="str">
        <x:v>OPEN</x:v>
      </x:c>
      <x:c r="I240" s="104" t="str">
        <x:v>Read actual native PCB objects/filled copper; dimensional/path calculations and exact manufacturer/reference comparison where applicable; source-bound outputs and requirement inspected.</x:v>
      </x:c>
      <x:c r="J240" s="104" t="str">
        <x:v>all144 factory parts
U201
F1
J202/J203
U401</x:v>
      </x:c>
      <x:c r="K240" s="104" t="str">
        <x:v>audit/board_vetting_20260908/layout_mfg/manufacturing_native_evidence.json — factory_sides; FACTORY_PROCESS
audit/board_vetting_20260908/layout_mfg/DIRECT_BOARD_REVIEW.md — DFM-08</x:v>
      </x:c>
      <x:c r="L240" s="104" t="str">
        <x:v>Accept thermal profile, bottom-part retention/support, selective-solder shielding and depanel operation.</x:v>
      </x:c>
      <x:c r="M240" s="104" t="str">
        <x:v>YES</x:v>
      </x:c>
      <x:c r="N240" s="104" t="str">
        <x:v>YES</x:v>
      </x:c>
      <x:c r="O240" s="104" t="str">
        <x:v>P1</x:v>
      </x:c>
    </x:row>
    <x:row r="241" ht="125" customHeight="1">
      <x:c r="A241" s="104" t="str">
        <x:v>DFM-09</x:v>
      </x:c>
      <x:c r="B241" s="104" t="str">
        <x:v>PCB fabrication and assembly</x:v>
      </x:c>
      <x:c r="C241" s="104" t="str">
        <x:v>Moisture/reflow/storage/cleaning limits must cover the exact selected kit.</x:v>
      </x:c>
      <x:c r="D241" s="104" t="str">
        <x:v>Current process specifies ESP one-reflow/≤250 °C and GPS manual-last, but no complete per-MPN MSL/floor-life/bake/cleaning matrix or quantitative residue acceptance exists.</x:v>
      </x:c>
      <x:c r="E241" s="104" t="str">
        <x:v>Specific manufacturing control gap; not an assertion that current electrical geometry is wrong.</x:v>
      </x:c>
      <x:c r="F241" s="104" t="str">
        <x:v>OPEN</x:v>
      </x:c>
      <x:c r="G241" s="104" t="str">
        <x:v>OPEN</x:v>
      </x:c>
      <x:c r="H241" s="104" t="str">
        <x:v>OPEN</x:v>
      </x:c>
      <x:c r="I241" s="104" t="str">
        <x:v>Read actual native PCB objects/filled copper; dimensional/path calculations and exact manufacturer/reference comparison where applicable; source-bound outputs and requirement inspected.</x:v>
      </x:c>
      <x:c r="J241" s="104" t="str">
        <x:v>all selected factory MPNs
U201
U401
J401
MLCC arrays</x:v>
      </x:c>
      <x:c r="K241" s="104" t="str">
        <x:v>audit/board_vetting_20260908/layout_mfg/manufacturing_native_evidence.json — factory_count; selected component identities
audit/board_vetting_20260908/layout_mfg/DIRECT_BOARD_REVIEW.md — DFM-09</x:v>
      </x:c>
      <x:c r="L241" s="104" t="str">
        <x:v>Complete exact-MPN moisture/storage/cleaning controls and factory traveler; verify applied process.</x:v>
      </x:c>
      <x:c r="M241" s="104" t="str">
        <x:v>YES</x:v>
      </x:c>
      <x:c r="N241" s="104" t="str">
        <x:v>YES</x:v>
      </x:c>
      <x:c r="O241" s="104" t="str">
        <x:v>P1</x:v>
      </x:c>
    </x:row>
    <x:row r="242" ht="125" customHeight="1">
      <x:c r="A242" s="104" t="str">
        <x:v>DFM-10</x:v>
      </x:c>
      <x:c r="B242" s="104" t="str">
        <x:v>PCB fabrication and assembly</x:v>
      </x:c>
      <x:c r="C242" s="104" t="str">
        <x:v>Factory variant must omit DNP/manual/bare features while preserving final fitted GPS requirement.</x:v>
      </x:c>
      <x:c r="D242" s="104" t="str">
        <x:v>Fresh factory BOM/CPL count144 agrees;2 DNP are R301/R306; GPS only manual purchased part;39 bare PCB features. R406/J401/D402 correctly fitted.</x:v>
      </x:c>
      <x:c r="E242" s="104" t="str">
        <x:v>No missing/extra factory designator or unintended populated CAN termination.</x:v>
      </x:c>
      <x:c r="F242" s="104" t="str">
        <x:v>VERIFIED</x:v>
      </x:c>
      <x:c r="G242" s="104" t="str">
        <x:v>CLOSED</x:v>
      </x:c>
      <x:c r="H242" s="104" t="str">
        <x:v>CLOSED</x:v>
      </x:c>
      <x:c r="I242" s="104" t="str">
        <x:v>Read actual native PCB objects/filled copper; dimensional/path calculations and exact manufacturer/reference comparison where applicable; source-bound outputs and requirement inspected.</x:v>
      </x:c>
      <x:c r="J242" s="104" t="str">
        <x:v>R301
R306
SJ301
U401
J401
R406
all factoryrefs</x:v>
      </x:c>
      <x:c r="K242" s="104" t="str">
        <x:v>audit/board_vetting_20260908/layout_mfg/manufacturing_native_evidence.json — factory_count; factory_BOM_mismatch; factory_CPL_mismatch
audit/board_vetting_20260908/layout_mfg/DIRECT_BOARD_REVIEW.md — DFM-10</x:v>
      </x:c>
      <x:c r="L242" s="104" t="str">
        <x:v>Reopen on source/part/variant changes. No physical assembly is represented as tested.</x:v>
      </x:c>
      <x:c r="M242" s="104" t="str">
        <x:v>YES</x:v>
      </x:c>
      <x:c r="N242" s="104" t="str">
        <x:v>NO</x:v>
      </x:c>
      <x:c r="O242" s="104" t="str">
        <x:v>P0</x:v>
      </x:c>
    </x:row>
    <x:row r="243" ht="125" customHeight="1">
      <x:c r="A243" s="104" t="str">
        <x:v>DRW-01</x:v>
      </x:c>
      <x:c r="B243" s="104" t="str">
        <x:v>Drawings, BOM and release outputs</x:v>
      </x:c>
      <x:c r="C243" s="104" t="str">
        <x:v>Identity/hash/revision must connect every current source/output and reject conflicting selection records.</x:v>
      </x:c>
      <x:c r="D243" s="104" t="str">
        <x:v>Source/output hashes currently match; fabrication PDF prints exactf23c PCB hash and dimensions. However active PACKAGE_ACCEPTANCE_REVIEW/PACKAGE_GEOMETRY_CHECK describe superseded U301SOIC/U502MSOP and RF-DNP choices.</x:v>
      </x:c>
      <x:c r="E243" s="104" t="str">
        <x:v>Current manufacturing parity passes, but all active qualification documents are not configuration-consistent.</x:v>
      </x:c>
      <x:c r="F243" s="104" t="str">
        <x:v>HOLD</x:v>
      </x:c>
      <x:c r="G243" s="104" t="str">
        <x:v>OPEN</x:v>
      </x:c>
      <x:c r="H243" s="104" t="str">
        <x:v>CLOSED</x:v>
      </x:c>
      <x:c r="I243" s="104" t="str">
        <x:v>Read actual native PCB objects/filled copper; dimensional/path calculations and exact manufacturer/reference comparison where applicable; source-bound outputs and requirement inspected.</x:v>
      </x:c>
      <x:c r="J243" s="104" t="str">
        <x:v>U301
U502
J401
R406
FABRICATION.pdf
SOURCE_MANIFEST</x:v>
      </x:c>
      <x:c r="K243" s="104" t="str">
        <x:v>audit/board_vetting_20260908/layout_mfg/manufacturing_native_evidence.json — zero source/output hash drift; PACKAGE_ACCEPTANCE_REVIEW stale rows
audit/board_vetting_20260908/layout_mfg/DIRECT_BOARD_REVIEW.md — DRW-01</x:v>
      </x:c>
      <x:c r="L243" s="104" t="str">
        <x:v>Supersede/update active package review and geometry table against exact selected parts without erasing historical evidence.</x:v>
      </x:c>
      <x:c r="M243" s="104" t="str">
        <x:v>YES</x:v>
      </x:c>
      <x:c r="N243" s="104" t="str">
        <x:v>NO</x:v>
      </x:c>
      <x:c r="O243" s="104" t="str">
        <x:v>P0</x:v>
      </x:c>
    </x:row>
    <x:row r="244" ht="125" customHeight="1">
      <x:c r="A244" s="104" t="str">
        <x:v>DRW-02</x:v>
      </x:c>
      <x:c r="B244" s="104" t="str">
        <x:v>Drawings, BOM and release outputs</x:v>
      </x:c>
      <x:c r="C244" s="104" t="str">
        <x:v>Each populated reference must have authorized exact MPN and side/position.</x:v>
      </x:c>
      <x:c r="D244" s="104" t="str">
        <x:v>144 factory plus1 manual GPS exactly covered by selected components and current product BOM; no CPL duplicates/missing/extra. U101/L121 still lack allocated supplier catalogue sourcing identity.</x:v>
      </x:c>
      <x:c r="E244" s="104" t="str">
        <x:v>Exact authorized design MPN and placement coverage pass. Supplier sourcing/allocation is a separate remaining job gate.</x:v>
      </x:c>
      <x:c r="F244" s="104" t="str">
        <x:v>VERIFIED</x:v>
      </x:c>
      <x:c r="G244" s="104" t="str">
        <x:v>CLOSED</x:v>
      </x:c>
      <x:c r="H244" s="104" t="str">
        <x:v>OPEN</x:v>
      </x:c>
      <x:c r="I244" s="104" t="str">
        <x:v>Read actual native PCB objects/filled copper; dimensional/path calculations and exact manufacturer/reference comparison where applicable; source-bound outputs and requirement inspected.</x:v>
      </x:c>
      <x:c r="J244" s="104" t="str">
        <x:v>144factory references
U401
U101
L121</x:v>
      </x:c>
      <x:c r="K244" s="104" t="str">
        <x:v>audit/board_vetting_20260908/layout_mfg/manufacturing_native_evidence.json — factory_BOM_mismatch; factory_CPL_mismatch; CPL_duplicate_refs
audit/board_vetting_20260908/layout_mfg/DIRECT_BOARD_REVIEW.md — DRW-02</x:v>
      </x:c>
      <x:c r="L244" s="104" t="str">
        <x:v>Confirm exact U101/L121 sourcing and complete-kit allocation; no substitution by package alone.</x:v>
      </x:c>
      <x:c r="M244" s="104" t="str">
        <x:v>YES</x:v>
      </x:c>
      <x:c r="N244" s="104" t="str">
        <x:v>NO</x:v>
      </x:c>
      <x:c r="O244" s="104" t="str">
        <x:v>P0</x:v>
      </x:c>
    </x:row>
    <x:row r="245" ht="125" customHeight="1">
      <x:c r="A245" s="104" t="str">
        <x:v>DRW-03</x:v>
      </x:c>
      <x:c r="B245" s="104" t="str">
        <x:v>Drawings, BOM and release outputs</x:v>
      </x:c>
      <x:c r="C245" s="104" t="str">
        <x:v>Supplier placement side/rotation must map to physical pin1 independently.</x:v>
      </x:c>
      <x:c r="D245" s="104" t="str">
        <x:v>Native body rotations and placed pad1 vectors are recorded, manufacturer land checks pass. Bottom coordinates are mirrored in assembly drawing and CPL uses defined board-space convention.</x:v>
      </x:c>
      <x:c r="E245" s="104" t="str">
        <x:v>CAD orientation is vetted; supplier incoming reel orientation/model offsets are not accepted yet.</x:v>
      </x:c>
      <x:c r="F245" s="104" t="str">
        <x:v>OPEN</x:v>
      </x:c>
      <x:c r="G245" s="104" t="str">
        <x:v>OPEN</x:v>
      </x:c>
      <x:c r="H245" s="104" t="str">
        <x:v>OPEN</x:v>
      </x:c>
      <x:c r="I245" s="104" t="str">
        <x:v>Read actual native PCB objects/filled copper; dimensional/path calculations and exact manufacturer/reference comparison where applicable; source-bound outputs and requirement inspected.</x:v>
      </x:c>
      <x:c r="J245" s="104" t="str">
        <x:v>all polarized/IC refs
U301
U501
U502
F1
J401</x:v>
      </x:c>
      <x:c r="K245" s="104" t="str">
        <x:v>audit/board_vetting_20260908/layout_mfg/DIRECT_LAYOUT_MEASUREMENTS.json — package_numeric_checks
audit/board_vetting_20260908/layout_mfg/DIRECT_BOARD_REVIEW.md — DRW-03</x:v>
      </x:c>
      <x:c r="L245" s="104" t="str">
        <x:v>Actual assembler model/reel-to-pad1 overlay and first-article inspection required.</x:v>
      </x:c>
      <x:c r="M245" s="104" t="str">
        <x:v>YES</x:v>
      </x:c>
      <x:c r="N245" s="104" t="str">
        <x:v>YES</x:v>
      </x:c>
      <x:c r="O245" s="104" t="str">
        <x:v>P0</x:v>
      </x:c>
    </x:row>
    <x:row r="246" ht="125" customHeight="1">
      <x:c r="A246" s="104" t="str">
        <x:v>DRW-04</x:v>
      </x:c>
      <x:c r="B246" s="104" t="str">
        <x:v>Drawings, BOM and release outputs</x:v>
      </x:c>
      <x:c r="C246" s="104" t="str">
        <x:v>Controlled fabrication drawing should state full units/material/stack/copper/finish/tolerance/hole requirements.</x:v>
      </x:c>
      <x:c r="D246" s="104" t="str">
        <x:v>Two-page fabrication PDF gives mm,88.2548×41.2889REF, native stack1.636sum/1.6nominal,ENIG and explicit NPTH schedule/hash. General profile±0.20/thickness±10% lives only in ORDER_SETUP; complete drawing-number/revision/tolerance block absent.</x:v>
      </x:c>
      <x:c r="E246" s="104" t="str">
        <x:v>Concrete drawing-release completeness gap; actual geometry is documented but drawing alone is insufficient build authority.</x:v>
      </x:c>
      <x:c r="F246" s="104" t="str">
        <x:v>HOLD</x:v>
      </x:c>
      <x:c r="G246" s="104" t="str">
        <x:v>OPEN</x:v>
      </x:c>
      <x:c r="H246" s="104" t="str">
        <x:v>OPEN</x:v>
      </x:c>
      <x:c r="I246" s="104" t="str">
        <x:v>Read actual native PCB objects/filled copper; dimensional/path calculations and exact manufacturer/reference comparison where applicable; source-bound outputs and requirement inspected.</x:v>
      </x:c>
      <x:c r="J246" s="104" t="str">
        <x:v>FABRICATION.pdf
Edge.Cuts
all NPTH
native stackup</x:v>
      </x:c>
      <x:c r="K246" s="104" t="str">
        <x:v>audit/board_vetting_20260908/layout_mfg/NATIVE_OBJECTS.json — native geometry compared to FABRICATION.pdf text
audit/board_vetting_20260908/layout_mfg/DIRECT_BOARD_REVIEW.md — DRW-04</x:v>
      </x:c>
      <x:c r="L246" s="104" t="str">
        <x:v>Consolidate controlled identity/revision, tolerances and governing hole/process references in drawing set; supplier review.</x:v>
      </x:c>
      <x:c r="M246" s="104" t="str">
        <x:v>YES</x:v>
      </x:c>
      <x:c r="N246" s="104" t="str">
        <x:v>NO</x:v>
      </x:c>
      <x:c r="O246" s="104" t="str">
        <x:v>P1</x:v>
      </x:c>
    </x:row>
    <x:row r="247" ht="125" customHeight="1">
      <x:c r="A247" s="104" t="str">
        <x:v>DRW-05</x:v>
      </x:c>
      <x:c r="B247" s="104" t="str">
        <x:v>Drawings, BOM and release outputs</x:v>
      </x:c>
      <x:c r="C247" s="104" t="str">
        <x:v>Assembly drawings should independently identify polarity/DNP/variant/special processes.</x:v>
      </x:c>
      <x:c r="D247" s="104" t="str">
        <x:v>Current top/mirrored-bottom drawings show pad1/polarity and DNPs; current factory process distinguishes bottom-first/ESPsecond/THT/GPSmanual-last and exact mask/paste.</x:v>
      </x:c>
      <x:c r="E247" s="104" t="str">
        <x:v>Source documentation exists, but no assembler demonstration that the set builds without clarification; stale package document must be removed from active authority.</x:v>
      </x:c>
      <x:c r="F247" s="104" t="str">
        <x:v>OPEN</x:v>
      </x:c>
      <x:c r="G247" s="104" t="str">
        <x:v>OPEN</x:v>
      </x:c>
      <x:c r="H247" s="104" t="str">
        <x:v>OPEN</x:v>
      </x:c>
      <x:c r="I247" s="104" t="str">
        <x:v>Read actual native PCB objects/filled copper; dimensional/path calculations and exact manufacturer/reference comparison where applicable; source-bound outputs and requirement inspected.</x:v>
      </x:c>
      <x:c r="J247" s="104" t="str">
        <x:v>ASSEMBLY_TOP/BOTTOM
R301/R306
U201
U401
F1</x:v>
      </x:c>
      <x:c r="K247" s="104" t="str">
        <x:v>audit/board_vetting_20260908/layout_mfg/manufacturing_native_evidence.json — all output hashes; factory variant parity
audit/board_vetting_20260908/layout_mfg/DIRECT_BOARD_REVIEW.md — DRW-05</x:v>
      </x:c>
      <x:c r="L247" s="104" t="str">
        <x:v>Supplier review/first article with corrected package authority and controlled process traveler.</x:v>
      </x:c>
      <x:c r="M247" s="104" t="str">
        <x:v>YES</x:v>
      </x:c>
      <x:c r="N247" s="104" t="str">
        <x:v>YES</x:v>
      </x:c>
      <x:c r="O247" s="104" t="str">
        <x:v>P1</x:v>
      </x:c>
    </x:row>
    <x:row r="248" ht="125" customHeight="1">
      <x:c r="A248" s="104" t="str">
        <x:v>DRW-06</x:v>
      </x:c>
      <x:c r="B248" s="104" t="str">
        <x:v>Drawings, BOM and release outputs</x:v>
      </x:c>
      <x:c r="C248" s="104" t="str">
        <x:v>Release must include unambiguous mating and programming drawings bound to actual pads.</x:v>
      </x:c>
      <x:c r="D248" s="104" t="str">
        <x:v>F1/programming controlled views present. Actual J2011VTREF,2EN,3GND,4UART_RX,5UART_TX,6BOOT. F1pin4/11NC and moved/rotated placement captured in new harness spec.</x:v>
      </x:c>
      <x:c r="E248" s="104" t="str">
        <x:v>Native pin map agrees; old harness color/view is not accepted as a continuity proof.</x:v>
      </x:c>
      <x:c r="F248" s="104" t="str">
        <x:v>VERIFIED</x:v>
      </x:c>
      <x:c r="G248" s="104" t="str">
        <x:v>CLOSED</x:v>
      </x:c>
      <x:c r="H248" s="104" t="str">
        <x:v>CLOSED</x:v>
      </x:c>
      <x:c r="I248" s="104" t="str">
        <x:v>Read actual native PCB objects/filled copper; dimensional/path calculations and exact manufacturer/reference comparison where applicable; source-bound outputs and requirement inspected.</x:v>
      </x:c>
      <x:c r="J248" s="104" t="str">
        <x:v>F1.1–12
J201.1–6
J202/J203</x:v>
      </x:c>
      <x:c r="K248" s="104" t="str">
        <x:v>audit/board_vetting_20260908/layout_mfg/manufacturing_native_evidence.json — critical_native_pin_maps.F1/J201
audit/board_vetting_20260908/layout_mfg/DIRECT_BOARD_REVIEW.md — DRW-06</x:v>
      </x:c>
      <x:c r="L248" s="104" t="str">
        <x:v>Build/verify keyed harness and custom UART/reset adapter continuity before connection.</x:v>
      </x:c>
      <x:c r="M248" s="104" t="str">
        <x:v>YES</x:v>
      </x:c>
      <x:c r="N248" s="104" t="str">
        <x:v>YES</x:v>
      </x:c>
      <x:c r="O248" s="104" t="str">
        <x:v>P0</x:v>
      </x:c>
    </x:row>
    <x:row r="249" ht="125" customHeight="1">
      <x:c r="A249" s="104" t="str">
        <x:v>DRW-07</x:v>
      </x:c>
      <x:c r="B249" s="104" t="str">
        <x:v>Drawings, BOM and release outputs</x:v>
      </x:c>
      <x:c r="C249" s="104" t="str">
        <x:v>Every visible bare-pad set must have an intentional population/contact purpose.</x:v>
      </x:c>
      <x:c r="D249" s="104" t="str">
        <x:v>186refs partition144 factory+1 manual GPS+2 DNP+39 bare PCB features. Missing3D models explain some empty-looking IC lands; R301/R306 intentionallyempty; Tag/test/openSJ bare by design.</x:v>
      </x:c>
      <x:c r="E249" s="104" t="str">
        <x:v>No unclassified bare functional footprint in native variant. Missing visual models remain a documentation/3D-delivery gap.</x:v>
      </x:c>
      <x:c r="F249" s="104" t="str">
        <x:v>VERIFIED</x:v>
      </x:c>
      <x:c r="G249" s="104" t="str">
        <x:v>CLOSED</x:v>
      </x:c>
      <x:c r="H249" s="104" t="str">
        <x:v>OPEN</x:v>
      </x:c>
      <x:c r="I249" s="104" t="str">
        <x:v>Read actual native PCB objects/filled copper; dimensional/path calculations and exact manufacturer/reference comparison where applicable; source-bound outputs and requirement inspected.</x:v>
      </x:c>
      <x:c r="J249" s="104" t="str">
        <x:v>U401
R301
R306
J201
SJ301
37TP
8refs missingmodel</x:v>
      </x:c>
      <x:c r="K249" s="104" t="str">
        <x:v>audit/board_vetting_20260908/layout_mfg/manufacturing_native_evidence.json — factory_count; factory_or_manual_refs_without_model; native references
audit/board_vetting_20260908/layout_mfg/DIRECT_BOARD_REVIEW.md — DRW-07</x:v>
      </x:c>
      <x:c r="L249" s="104" t="str">
        <x:v>Reopen on source/part/variant changes. No physical assembly is represented as tested.</x:v>
      </x:c>
      <x:c r="M249" s="104" t="str">
        <x:v>YES</x:v>
      </x:c>
      <x:c r="N249" s="104" t="str">
        <x:v>NO</x:v>
      </x:c>
      <x:c r="O249" s="104" t="str">
        <x:v>P1</x:v>
      </x:c>
    </x:row>
    <x:row r="250" ht="125" customHeight="1">
      <x:c r="A250" s="104" t="str">
        <x:v>DRW-08</x:v>
      </x:c>
      <x:c r="B250" s="104" t="str">
        <x:v>Drawings, BOM and release outputs</x:v>
      </x:c>
      <x:c r="C250" s="104" t="str">
        <x:v>Every ERC/DRC exception must be specific and technically bounded.</x:v>
      </x:c>
      <x:c r="D250" s="104" t="str">
        <x:v>Source-bound current ERC 0; nativeDRC has0 unconnected and6 exact graphic-only exceptions recorded by UUID/rule/reason. No electrical clearance/pin error is waived.</x:v>
      </x:c>
      <x:c r="E250" s="104" t="str">
        <x:v>Checks remain valid for unchanged source; broader ERB concerns are separate and cannot be waived by DRC success.</x:v>
      </x:c>
      <x:c r="F250" s="104" t="str">
        <x:v>VERIFIED</x:v>
      </x:c>
      <x:c r="G250" s="104" t="str">
        <x:v>CLOSED</x:v>
      </x:c>
      <x:c r="H250" s="104" t="str">
        <x:v>CLOSED</x:v>
      </x:c>
      <x:c r="I250" s="104" t="str">
        <x:v>Read actual native PCB objects/filled copper; dimensional/path calculations and exact manufacturer/reference comparison where applicable; source-bound outputs and requirement inspected.</x:v>
      </x:c>
      <x:c r="J250" s="104" t="str">
        <x:v>six graphic exception UUIDs
audit/productization/PCB_DRC_WAIVERS.json</x:v>
      </x:c>
      <x:c r="K250" s="104" t="str">
        <x:v>audit/board_vetting_20260908/layout_mfg/manufacturing_native_evidence.json — source_sha256; no source/output hash mismatch
audit/board_vetting_20260908/layout_mfg/DIRECT_BOARD_REVIEW.md — DRW-08</x:v>
      </x:c>
      <x:c r="L250" s="104" t="str">
        <x:v>Reopen on source/part/variant changes. No physical assembly is represented as tested.</x:v>
      </x:c>
      <x:c r="M250" s="104" t="str">
        <x:v>YES</x:v>
      </x:c>
      <x:c r="N250" s="104" t="str">
        <x:v>NO</x:v>
      </x:c>
      <x:c r="O250" s="104" t="str">
        <x:v>P0</x:v>
      </x:c>
    </x:row>
    <x:row r="251" ht="125" customHeight="1">
      <x:c r="A251" s="104" t="str">
        <x:v>DRW-09</x:v>
      </x:c>
      <x:c r="B251" s="104" t="str">
        <x:v>Drawings, BOM and release outputs</x:v>
      </x:c>
      <x:c r="C251" s="104" t="str">
        <x:v>Independent output geometry/parser/view inspection must confirm source parity.</x:v>
      </x:c>
      <x:c r="D251" s="104" t="str">
        <x:v>Current manifest raw-file hashes freshly match; native-BOM-CPL parity rerun. Separate recorded Gerber/drill/raster inspection and independent parser checks bind to exact retainedf23c output, not screen appearance alone.</x:v>
      </x:c>
      <x:c r="E251" s="104" t="str">
        <x:v>No output drift or count/polarity mismatch found; no new copper change requires a new export this turn.</x:v>
      </x:c>
      <x:c r="F251" s="104" t="str">
        <x:v>VERIFIED</x:v>
      </x:c>
      <x:c r="G251" s="104" t="str">
        <x:v>CLOSED</x:v>
      </x:c>
      <x:c r="H251" s="104" t="str">
        <x:v>CLOSED</x:v>
      </x:c>
      <x:c r="I251" s="104" t="str">
        <x:v>Read actual native PCB objects/filled copper; dimensional/path calculations and exact manufacturer/reference comparison where applicable; source-bound outputs and requirement inspected.</x:v>
      </x:c>
      <x:c r="J251" s="104" t="str">
        <x:v>11Gerbers
PTH/NPTH
jobfile
unit/paneloutputs
BOM/CPL</x:v>
      </x:c>
      <x:c r="K251" s="104" t="str">
        <x:v>audit/board_vetting_20260908/layout_mfg/manufacturing_native_evidence.json — product_output_hash_mismatch=[]; all native/BOM/CPL mismatches=[]
audit/board_vetting_20260908/layout_mfg/DIRECT_BOARD_REVIEW.md — DRW-09</x:v>
      </x:c>
      <x:c r="L251" s="104" t="str">
        <x:v>Reopen on source/part/variant changes. No physical assembly is represented as tested.</x:v>
      </x:c>
      <x:c r="M251" s="104" t="str">
        <x:v>YES</x:v>
      </x:c>
      <x:c r="N251" s="104" t="str">
        <x:v>NO</x:v>
      </x:c>
      <x:c r="O251" s="104" t="str">
        <x:v>P0</x:v>
      </x:c>
    </x:row>
    <x:row r="252" ht="125" customHeight="1">
      <x:c r="A252" s="104" t="str">
        <x:v>DRW-10</x:v>
      </x:c>
      <x:c r="B252" s="104" t="str">
        <x:v>Drawings, BOM and release outputs</x:v>
      </x:c>
      <x:c r="C252" s="104" t="str">
        <x:v>Current package must preserve open issues and avoid an obsolete verified label overriding release HOLD.</x:v>
      </x:c>
      <x:c r="D252" s="104" t="str">
        <x:v>RVB-18 engineering HOLD and specific current-board deltas now open README_FIRST, ORDER_SETUP and FACTORY_ASSEMBLY_AND_TEST. Current state/register are bound into the packet; previous records are preserved.</x:v>
      </x:c>
      <x:c r="E252" s="104" t="str">
        <x:v>The newly identified packet-scope wording gap is corrected in review metadata. Native CAD/data verification remains explicitly narrower than product release.</x:v>
      </x:c>
      <x:c r="F252" s="104" t="str">
        <x:v>CORRECTED IN REV B</x:v>
      </x:c>
      <x:c r="G252" s="104" t="str">
        <x:v>CLOSED</x:v>
      </x:c>
      <x:c r="H252" s="104" t="str">
        <x:v>CLOSED</x:v>
      </x:c>
      <x:c r="I252" s="104" t="str">
        <x:v>Read actual native PCB objects/filled copper; dimensional/path calculations and exact manufacturer/reference comparison where applicable; source-bound outputs and requirement inspected.</x:v>
      </x:c>
      <x:c r="J252" s="104" t="str">
        <x:v>manufacturing/product/ORDER_SETUP.md
STATUS
HUMAN_REVIEW_REQUIRED
current ERB delta register</x:v>
      </x:c>
      <x:c r="K252" s="104" t="str">
        <x:v>audit/board_vetting_20260908/layout_mfg/manufacturing_native_evidence.json — current order-facing file bytes
audit/board_vetting_20260908/layout_mfg/DIRECT_BOARD_REVIEW.md — DRW-10
audit/board_vetting_20260908/DOCUMENTATION_CORRECTIONS.json — BVT-MFG-04</x:v>
      </x:c>
      <x:c r="L252" s="104" t="str">
        <x:v>Supplier allocation, engineering fixes and physical acceptance remain open under their own criteria; no order is authorized.</x:v>
      </x:c>
      <x:c r="M252" s="104" t="str">
        <x:v>YES</x:v>
      </x:c>
      <x:c r="N252" s="104" t="str">
        <x:v>NO</x:v>
      </x:c>
      <x:c r="O252" s="104" t="str">
        <x:v>P0</x:v>
      </x:c>
    </x:row>
    <x:row r="253" ht="125" customHeight="1">
      <x:c r="A253" s="104" t="str">
        <x:v>DFT-01</x:v>
      </x:c>
      <x:c r="B253" s="104" t="str">
        <x:v>Test access and bring-up design</x:v>
      </x:c>
      <x:c r="C253" s="104" t="str">
        <x:v>Can power protection, 5 V, 3.3 V, GPS rail and loads be brought up independently without cutting copper? Required evidence: Labeled isolation links/injection points and allowed configurations.</x:v>
      </x:c>
      <x:c r="D253" s="104" t="str">
        <x:v>Actual R109/R128/R151/R153/R401 each bridges distinct named supply nets, allowing omission/removal without cutting copper. Rails have named injection TPs; links are fitted soldered0-ohm parts.</x:v>
      </x:c>
      <x:c r="E253" s="104" t="str">
        <x:v>Staged qualification is supported by prepared assemblies, not tool-free switching. Test pads alone do not isolate drivers.</x:v>
      </x:c>
      <x:c r="F253" s="104" t="str">
        <x:v>VERIFIED</x:v>
      </x:c>
      <x:c r="G253" s="104" t="str">
        <x:v>CLOSED</x:v>
      </x:c>
      <x:c r="H253" s="104" t="str">
        <x:v>CLOSED</x:v>
      </x:c>
      <x:c r="I253" s="104" t="str">
        <x:v>Direct native KiCad pad/body/position/population extraction; exact manufacturer geometry and point-by-point document/fixture contract inspection. Detailed calculations in cited evidence.</x:v>
      </x:c>
      <x:c r="J253" s="104" t="str">
        <x:v>R109top34.2,23
R128top68,38
R151bottom43,11
R153bottom41,21.2
R401top36.5,10.2</x:v>
      </x:c>
      <x:c r="K253" s="104" t="str">
        <x:v>audit/board_vetting_20260908/lanes/mechanics_geometry/MECHANICAL_VETTING_GEOMETRY.json — isolation_links
audit/board_vetting_20260908/lanes/mechanics_geometry/MECHANICAL_VETTING.md — DFT direct source vetting and limitations</x:v>
      </x:c>
      <x:c r="L253" s="104" t="str">
        <x:v>Qualified injection/backfeed procedure and source limits; normal final assembly must restore links.</x:v>
      </x:c>
      <x:c r="M253" s="104" t="str">
        <x:v>YES</x:v>
      </x:c>
      <x:c r="N253" s="104" t="str">
        <x:v>YES</x:v>
      </x:c>
      <x:c r="O253" s="104" t="str">
        <x:v>P0</x:v>
      </x:c>
    </x:row>
    <x:row r="254" ht="125" customHeight="1">
      <x:c r="A254" s="104" t="str">
        <x:v>DFT-02</x:v>
      </x:c>
      <x:c r="B254" s="104" t="str">
        <x:v>Test access and bring-up design</x:v>
      </x:c>
      <x:c r="C254" s="104" t="str">
        <x:v>Are rails, EN, GPIO0, UART, PPS, CANH/L/TXD/RXD and ADC nodes probe-accessible after assembly? Required evidence: Test-point map includes nearby ground contacts and fixture/probe clearances.</x:v>
      </x:c>
      <x:c r="D254" s="104" t="str">
        <x:v>Direct native check found37 exposed1.5 mm TPs on required rails,EN,BOOT,UART,GPS,CAN,ADC and grounds. All clear nominal same-side body bounds for2 mm vertical shank; worst center margin1.6644 mm atTP508.</x:v>
      </x:c>
      <x:c r="E254" s="104" t="str">
        <x:v>No missing or body-covered required TP was found. Full fixture/barrel/enclosure clearance is narrower than this2D claim.</x:v>
      </x:c>
      <x:c r="F254" s="104" t="str">
        <x:v>CALCULATED</x:v>
      </x:c>
      <x:c r="G254" s="104" t="str">
        <x:v>OPEN</x:v>
      </x:c>
      <x:c r="H254" s="104" t="str">
        <x:v>OPEN</x:v>
      </x:c>
      <x:c r="I254" s="104" t="str">
        <x:v>Direct native KiCad pad/body/position/population extraction; exact manufacturer geometry and point-by-point document/fixture contract inspection. Detailed calculations in cited evidence.</x:v>
      </x:c>
      <x:c r="J254" s="104" t="str">
        <x:v>TP101-TP510
 actualouterfaces/coordinates inCSV</x:v>
      </x:c>
      <x:c r="K254"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4" s="104" t="str">
        <x:v>Measure actual probe/fixture seating and access after assembly/enclosure.</x:v>
      </x:c>
      <x:c r="M254" s="104" t="str">
        <x:v>YES</x:v>
      </x:c>
      <x:c r="N254" s="104" t="str">
        <x:v>YES</x:v>
      </x:c>
      <x:c r="O254" s="104" t="str">
        <x:v>P1</x:v>
      </x:c>
    </x:row>
    <x:row r="255" ht="125" customHeight="1">
      <x:c r="A255" s="104" t="str">
        <x:v>DFT-03</x:v>
      </x:c>
      <x:c r="B255" s="104" t="str">
        <x:v>Test access and bring-up design</x:v>
      </x:c>
      <x:c r="C255" s="104" t="str">
        <x:v>Are probe connections short enough not to manufacture apparent ringing or noise? Required evidence: Defined ground-spring/differential/RF measurement setups and bandwidth limits.</x:v>
      </x:c>
      <x:c r="D255" s="104" t="str">
        <x:v>Nearest same-side ground-pad centers can be7.53 mm fromTP121/TP301 and6.27 mm fromTP506. Existing node-specific metrology plan requires local cap grounds, ground springs and differential/RF techniques.</x:v>
      </x:c>
      <x:c r="E255" s="104" t="str">
        <x:v>Named ground test points do not automatically provide short high-frequency returns. Geometry now identifies where local access or differential probes are required.</x:v>
      </x:c>
      <x:c r="F255" s="104" t="str">
        <x:v>CALCULATED</x:v>
      </x:c>
      <x:c r="G255" s="104" t="str">
        <x:v>OPEN</x:v>
      </x:c>
      <x:c r="H255" s="104" t="str">
        <x:v>OPEN</x:v>
      </x:c>
      <x:c r="I255" s="104" t="str">
        <x:v>Direct native KiCad pad/body/position/population extraction; exact manufacturer geometry and point-by-point document/fixture contract inspection. Detailed calculations in cited evidence.</x:v>
      </x:c>
      <x:c r="J255" s="104" t="str">
        <x:v>TP121/TP301/TP506
 nearestGNDpads
 metrologyaddendum</x:v>
      </x:c>
      <x:c r="K255"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5" s="104" t="str">
        <x:v>Exact probes/fixtures, loop dimensions, loading and captured waveform integrity.</x:v>
      </x:c>
      <x:c r="M255" s="104" t="str">
        <x:v>YES</x:v>
      </x:c>
      <x:c r="N255" s="104" t="str">
        <x:v>YES</x:v>
      </x:c>
      <x:c r="O255" s="104" t="str">
        <x:v>P1</x:v>
      </x:c>
    </x:row>
    <x:row r="256" ht="125" customHeight="1">
      <x:c r="A256" s="104" t="str">
        <x:v>DFT-04</x:v>
      </x:c>
      <x:c r="B256" s="104" t="str">
        <x:v>Test access and bring-up design</x:v>
      </x:c>
      <x:c r="C256" s="104" t="str">
        <x:v>Is the initial power-on procedure current-limited with stop thresholds for each stage? Required evidence: Approved sequence specifies voltage, current limit, expected consumption and abort conditions.</x:v>
      </x:c>
      <x:c r="D256" s="104" t="str">
        <x:v>Current addendum specifies numerical source current/voltage limits, stage isolation,100 ms supervision intent and thermal investigation thresholds. These stages map to the actual R109/R128/R151/R153/R401 links and TPs.</x:v>
      </x:c>
      <x:c r="E256" s="104" t="str">
        <x:v>Source-level staged plan is coherent with PCB isolation; source energy/fast-trip and known-good current distributions are not physically qualified.</x:v>
      </x:c>
      <x:c r="F256" s="104" t="str">
        <x:v>VERIFIED</x:v>
      </x:c>
      <x:c r="G256" s="104" t="str">
        <x:v>OPEN</x:v>
      </x:c>
      <x:c r="H256" s="104" t="str">
        <x:v>OPEN</x:v>
      </x:c>
      <x:c r="I256" s="104" t="str">
        <x:v>Direct native KiCad pad/body/position/population extraction; exact manufacturer geometry and point-by-point document/fixture contract inspection. Detailed calculations in cited evidence.</x:v>
      </x:c>
      <x:c r="J256" s="104" t="str">
        <x:v>Actualpowerisolationlinks andTP101/102/121/122/151/203/404</x:v>
      </x:c>
      <x:c r="K256" s="104" t="str">
        <x:v>audit/board_vetting_20260908/lanes/mechanics_geometry/MECHANICAL_VETTING_GEOMETRY.json — BRINGUP_METROLOGY_ADDENDUM.md
audit/board_vetting_20260908/lanes/mechanics_geometry/MECHANICAL_VETTING.md — DFT direct source vetting and limitations
audit/erb_20260907/BRINGUP_METROLOGY_ADDENDUM.md — Complete current instruction</x:v>
      </x:c>
      <x:c r="L256" s="104" t="str">
        <x:v>Qualify actual supplies/load fixtures and replace provisional idle-current windows with measured evidence.</x:v>
      </x:c>
      <x:c r="M256" s="104" t="str">
        <x:v>YES</x:v>
      </x:c>
      <x:c r="N256" s="104" t="str">
        <x:v>YES</x:v>
      </x:c>
      <x:c r="O256" s="104" t="str">
        <x:v>P0</x:v>
      </x:c>
    </x:row>
    <x:row r="257" ht="125" customHeight="1">
      <x:c r="A257" s="104" t="str">
        <x:v>DFT-05</x:v>
      </x:c>
      <x:c r="B257" s="104" t="str">
        <x:v>Test access and bring-up design</x:v>
      </x:c>
      <x:c r="C257" s="104" t="str">
        <x:v>Does a fixture verify all harness pins and critical supply shorts before power is applied? Required evidence: Reproducible continuity/isolation test with known-good reference.</x:v>
      </x:c>
      <x:c r="D257" s="104" t="str">
        <x:v>Physical F1 cavity map and all adjacent fault cases are now explicit; the work instruction requires continuity/isolation before power. No assembled fixture or known-good reference harness is included.</x:v>
      </x:c>
      <x:c r="E257" s="104" t="str">
        <x:v>A script or drawing does not measure wiring. Mirroring/power-bus faults remain a protected fixture acceptance gate.</x:v>
      </x:c>
      <x:c r="F257" s="104" t="str">
        <x:v>OPEN</x:v>
      </x:c>
      <x:c r="G257" s="104" t="str">
        <x:v>OPEN</x:v>
      </x:c>
      <x:c r="H257" s="104" t="str">
        <x:v>OPEN</x:v>
      </x:c>
      <x:c r="I257" s="104" t="str">
        <x:v>Direct native KiCad pad/body/position/population extraction; exact manufacturer geometry and point-by-point document/fixture contract inspection. Detailed calculations in cited evidence.</x:v>
      </x:c>
      <x:c r="J257" s="104" t="str">
        <x:v>F1allcontacts
 F101inputside
 CANH/CANL</x:v>
      </x:c>
      <x:c r="K257" s="104" t="str">
        <x:v>audit/board_vetting_20260908/lanes/mechanics_geometry/MECHANICAL_VETTING_GEOMETRY.json — F1_FAULT_MATRIX.csv
audit/board_vetting_20260908/lanes/mechanics_geometry/MECHANICAL_VETTING.md — DFT direct source vetting and limitations
audit/board_vetting_20260908/lanes/mechanics_geometry/F1_FAULT_MATRIX.csv — Full object-level table/drawing</x:v>
      </x:c>
      <x:c r="L257" s="104" t="str">
        <x:v>Build the fixture and capture all 12cavity continuity/isolation results against controlled reference.</x:v>
      </x:c>
      <x:c r="M257" s="104" t="str">
        <x:v>YES</x:v>
      </x:c>
      <x:c r="N257" s="104" t="str">
        <x:v>YES</x:v>
      </x:c>
      <x:c r="O257" s="104" t="str">
        <x:v>P1</x:v>
      </x:c>
    </x:row>
    <x:row r="258" ht="125" customHeight="1">
      <x:c r="A258" s="104" t="str">
        <x:v>DFT-06</x:v>
      </x:c>
      <x:c r="B258" s="104" t="str">
        <x:v>Test access and bring-up design</x:v>
      </x:c>
      <x:c r="C258" s="104" t="str">
        <x:v>Are noisy or sensitive test points designed without excessive signal stubs or exposed fault hazards? Required evidence: Measurement access versus loading/safety trade recorded.</x:v>
      </x:c>
      <x:c r="D258" s="104" t="str">
        <x:v>1.5 mm contacts trade accessible area for loading; nearest different-net exposed pad margin is0.7625 mm atTP403. No SW-node probe pad is added. TP509 is private RTN and is accessible besideTP507.</x:v>
      </x:c>
      <x:c r="E258" s="104" t="str">
        <x:v>No nominal body collision found, but broad tips/ground clips can bridge or defeat private RTN isolation. Stub/loading and waveform requirements remain signal-specific.</x:v>
      </x:c>
      <x:c r="F258" s="104" t="str">
        <x:v>CALCULATED</x:v>
      </x:c>
      <x:c r="G258" s="104" t="str">
        <x:v>OPEN</x:v>
      </x:c>
      <x:c r="H258" s="104" t="str">
        <x:v>OPEN</x:v>
      </x:c>
      <x:c r="I258" s="104" t="str">
        <x:v>Direct native KiCad pad/body/position/population extraction; exact manufacturer geometry and point-by-point document/fixture contract inspection. Detailed calculations in cited evidence.</x:v>
      </x:c>
      <x:c r="J258" s="104" t="str">
        <x:v>TP403/U401.12
 TP507/TP509
 no largeSWtestpad</x:v>
      </x:c>
      <x:c r="K258"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58" s="104" t="str">
        <x:v>Characterized probe loading/return, safe private RTN fixture and RF/analog loading disposition.</x:v>
      </x:c>
      <x:c r="M258" s="104" t="str">
        <x:v>YES</x:v>
      </x:c>
      <x:c r="N258" s="104" t="str">
        <x:v>YES</x:v>
      </x:c>
      <x:c r="O258" s="104" t="str">
        <x:v>P1</x:v>
      </x:c>
    </x:row>
    <x:row r="259" ht="125" customHeight="1">
      <x:c r="A259" s="104" t="str">
        <x:v>DFT-07</x:v>
      </x:c>
      <x:c r="B259" s="104" t="str">
        <x:v>Test access and bring-up design</x:v>
      </x:c>
      <x:c r="C259" s="104" t="str">
        <x:v>Are test-mode jumpers and normal-use defaults obvious and recoverable? Required evidence: Labeling and final-configuration checklist prevent bench termination or supply links being left incorrectly.</x:v>
      </x:c>
      <x:c r="D259" s="104" t="str">
        <x:v>Actual R301 TX is DNP; R306 termination is DNP and SJ301 open. Native silkscreen says BENCH ONLY/120R OPEN; EN/BOOT headers default unshorted; factory restoration checklist exists.</x:v>
      </x:c>
      <x:c r="E259" s="104" t="str">
        <x:v>Normal population defaults are correct and identifiable. No unauthorized header population change was made.</x:v>
      </x:c>
      <x:c r="F259" s="104" t="str">
        <x:v>VERIFIED</x:v>
      </x:c>
      <x:c r="G259" s="104" t="str">
        <x:v>CLOSED</x:v>
      </x:c>
      <x:c r="H259" s="104" t="str">
        <x:v>CLOSED</x:v>
      </x:c>
      <x:c r="I259" s="104" t="str">
        <x:v>Direct native KiCad pad/body/position/population extraction; exact manufacturer geometry and point-by-point document/fixture contract inspection. Detailed calculations in cited evidence.</x:v>
      </x:c>
      <x:c r="J259" s="104" t="str">
        <x:v>R301/R306/SJ301 B.Cu
 J202/J203 F.Cu</x:v>
      </x:c>
      <x:c r="K259" s="104" t="str">
        <x:v>audit/board_vetting_20260908/lanes/mechanics_geometry/MECHANICAL_VETTING_GEOMETRY.json — isolation_links
audit/board_vetting_20260908/lanes/mechanics_geometry/MECHANICAL_VETTING.md — DFT direct source vetting and limitations</x:v>
      </x:c>
      <x:c r="L259" s="104" t="str">
        <x:v>Post-assembly inspection/readback must confirm restored links, no boot short and no bench termination.</x:v>
      </x:c>
      <x:c r="M259" s="104" t="str">
        <x:v>YES</x:v>
      </x:c>
      <x:c r="N259" s="104" t="str">
        <x:v>YES</x:v>
      </x:c>
      <x:c r="O259" s="104" t="str">
        <x:v>P1</x:v>
      </x:c>
    </x:row>
    <x:row r="260" ht="125" customHeight="1">
      <x:c r="A260" s="104" t="str">
        <x:v>DFT-08</x:v>
      </x:c>
      <x:c r="B260" s="104" t="str">
        <x:v>Test access and bring-up design</x:v>
      </x:c>
      <x:c r="C260" s="104" t="str">
        <x:v>Can ADC connector-side, GPS antenna-side and CAN physical-layer behavior be isolated from firmware? Required evidence: Independent instrument/fixture tests distinguish circuit failure from parsing or transport failure.</x:v>
      </x:c>
      <x:c r="D260" s="104" t="str">
        <x:v>Connector-side oil padsTP501/505, filtered/ADC TPs502/503/506, raw GPS TX/PPS pads401/403 andRFsocketJ401, CAN H/L andlogic TPs301-304 exist at actual nets; removablelinks separate selected paths.</x:v>
      </x:c>
      <x:c r="E260" s="104" t="str">
        <x:v>Hardware access supports distinguishing physical paths from parsing/transport; it is not physical evidence of successful signals.</x:v>
      </x:c>
      <x:c r="F260" s="104" t="str">
        <x:v>VERIFIED</x:v>
      </x:c>
      <x:c r="G260" s="104" t="str">
        <x:v>OPEN</x:v>
      </x:c>
      <x:c r="H260" s="104" t="str">
        <x:v>OPEN</x:v>
      </x:c>
      <x:c r="I260" s="104" t="str">
        <x:v>Direct native KiCad pad/body/position/population extraction; exact manufacturer geometry and point-by-point document/fixture contract inspection. Detailed calculations in cited evidence.</x:v>
      </x:c>
      <x:c r="J260" s="104" t="str">
        <x:v>F1
TP301-305
TP401-405
TP501-510
J401/R406</x:v>
      </x:c>
      <x:c r="K260" s="104" t="str">
        <x:v>audit/board_vetting_20260908/lanes/mechanics_geometry/MECHANICAL_VETTING_GEOMETRY.json — TEST_POINT_ACCESS.csv
audit/board_vetting_20260908/lanes/mechanics_geometry/MECHANICAL_VETTING.md — DFT direct source vetting and limitations
audit/board_vetting_20260908/lanes/mechanics_geometry/TEST_POINT_ACCESS.csv — Full object-level table/drawing</x:v>
      </x:c>
      <x:c r="L260" s="104" t="str">
        <x:v>Independent instruments/reference CAN nodes, isolatedRFfixture and real sensor/accessory tests.</x:v>
      </x:c>
      <x:c r="M260" s="104" t="str">
        <x:v>YES</x:v>
      </x:c>
      <x:c r="N260" s="104" t="str">
        <x:v>YES</x:v>
      </x:c>
      <x:c r="O260" s="104" t="str">
        <x:v>P1</x:v>
      </x:c>
    </x:row>
    <x:row r="261" ht="125" customHeight="1">
      <x:c r="A261" s="104" t="str">
        <x:v>DFT-09</x:v>
      </x:c>
      <x:c r="B261" s="104" t="str">
        <x:v>Test access and bring-up design</x:v>
      </x:c>
      <x:c r="C261" s="104" t="str">
        <x:v>Is factory or repeated bench acceptance possible without relying on manual interpretation of LEDs? Required evidence: Automated/recorded measurements with numerical limits and per-unit identification.</x:v>
      </x:c>
      <x:c r="D261" s="104" t="str">
        <x:v>Factory station software and numerical commissioning plan exist; actual test pads support voltage/UART/calibration connections and firmware is board-identity-bound. No assembled test fixture, calibrated metrology or unit acceptance measurements exist.</x:v>
      </x:c>
      <x:c r="E261" s="104" t="str">
        <x:v>Automation path exists, but acceptance is not proven by LED states or simulated records.</x:v>
      </x:c>
      <x:c r="F261" s="104" t="str">
        <x:v>OPEN</x:v>
      </x:c>
      <x:c r="G261" s="104" t="str">
        <x:v>OPEN</x:v>
      </x:c>
      <x:c r="H261" s="104" t="str">
        <x:v>OPEN</x:v>
      </x:c>
      <x:c r="I261" s="104" t="str">
        <x:v>Direct native KiCad pad/body/position/population extraction; exact manufacturer geometry and point-by-point document/fixture contract inspection. Detailed calculations in cited evidence.</x:v>
      </x:c>
      <x:c r="J261" s="104" t="str">
        <x:v>J201UART/VTREF/controls
TPpower/ADC
factory_station</x:v>
      </x:c>
      <x:c r="K261" s="104" t="str">
        <x:v>audit/board_vetting_20260908/lanes/mechanics_geometry/MECHANICAL_VETTING_GEOMETRY.json — FACTORY_COMMISSIONING.md
audit/board_vetting_20260908/lanes/mechanics_geometry/MECHANICAL_VETTING.md — DFT direct source vetting and limitations
tools/productization/factory_station/FACTORY_COMMISSIONING.md — Commissioning and final state acceptance</x:v>
      </x:c>
      <x:c r="L261" s="104" t="str">
        <x:v>Qualify fixture/instruments, per-unit limits and traceable actual records.</x:v>
      </x:c>
      <x:c r="M261" s="104" t="str">
        <x:v>YES</x:v>
      </x:c>
      <x:c r="N261" s="104" t="str">
        <x:v>YES</x:v>
      </x:c>
      <x:c r="O261" s="104" t="str">
        <x:v>P1</x:v>
      </x:c>
    </x:row>
    <x:row r="262" ht="125" customHeight="1">
      <x:c r="A262" s="104" t="str">
        <x:v>DFT-10</x:v>
      </x:c>
      <x:c r="B262" s="104" t="str">
        <x:v>Test access and bring-up design</x:v>
      </x:c>
      <x:c r="C262" s="104" t="str">
        <x:v>Does final test include restoring normal firmware/configuration and checking vehicle-safe defaults? Required evidence: Post-test configuration readback and sign-off.</x:v>
      </x:c>
      <x:c r="D262" s="104" t="str">
        <x:v>Final checklist requires released firmware/calibration identity, no test injection, normal powerlinks, R301/R306 absent, SJ301 open and EN/BOOT unshorted. These states match actual selected BOM/native pads.</x:v>
      </x:c>
      <x:c r="E262" s="104" t="str">
        <x:v>Source default contract passes; physical configuration readback/signoff remains pending.</x:v>
      </x:c>
      <x:c r="F262" s="104" t="str">
        <x:v>VERIFIED</x:v>
      </x:c>
      <x:c r="G262" s="104" t="str">
        <x:v>OPEN</x:v>
      </x:c>
      <x:c r="H262" s="104" t="str">
        <x:v>OPEN</x:v>
      </x:c>
      <x:c r="I262" s="104" t="str">
        <x:v>Direct native KiCad pad/body/position/population extraction; exact manufacturer geometry and point-by-point document/fixture contract inspection. Detailed calculations in cited evidence.</x:v>
      </x:c>
      <x:c r="J262" s="104" t="str">
        <x:v>R109/R128/R151/R153/R401
R301/R306/SJ301
J201/J202/J203</x:v>
      </x:c>
      <x:c r="K262" s="104" t="str">
        <x:v>audit/board_vetting_20260908/lanes/mechanics_geometry/MECHANICAL_VETTING_GEOMETRY.json — FACTORY_COMMISSIONING.md
audit/board_vetting_20260908/lanes/mechanics_geometry/MECHANICAL_VETTING.md — DFT direct source vetting and limitations
tools/productization/factory_station/FACTORY_COMMISSIONING.md — Commissioning and final state acceptance</x:v>
      </x:c>
      <x:c r="L262" s="104" t="str">
        <x:v>Actual final-state inspection and stored per-unit programming/calibration/vehicle-safe evidence.</x:v>
      </x:c>
      <x:c r="M262" s="104" t="str">
        <x:v>YES</x:v>
      </x:c>
      <x:c r="N262" s="104" t="str">
        <x:v>YES</x:v>
      </x:c>
      <x:c r="O262" s="104" t="str">
        <x:v>P0</x:v>
      </x:c>
    </x:row>
    <x:row r="263" ht="125" customHeight="1">
      <x:c r="A263" s="104" t="str">
        <x:v>VNV-01</x:v>
      </x:c>
      <x:c r="B263" s="104" t="str">
        <x:v>Verification evidence and acceptance</x:v>
      </x:c>
      <x:c r="C263" s="104" t="str">
        <x:v>Traceability matrix assigns analysis, inspection, demonstration or test with a defined acceptance gate.</x:v>
      </x:c>
      <x:c r="D263" s="104" t="str">
        <x:v>Every supplied review question now has an expected/observed/delta record, but several numerical product requirements and physical test owners remain undefined.</x:v>
      </x:c>
      <x:c r="E263" s="104" t="str">
        <x:v>Question coverage is established; a complete numerical requirement-to-test matrix is not.</x:v>
      </x:c>
      <x:c r="F263" s="104" t="str">
        <x:v>OPEN</x:v>
      </x:c>
      <x:c r="G263" s="104" t="str">
        <x:v>OPEN</x:v>
      </x:c>
      <x:c r="H263" s="104" t="str">
        <x:v>OPEN</x:v>
      </x:c>
      <x:c r="I263" s="104" t="str">
        <x:v>Direct inspection of named current source, configuration/requirements and source-bound evidence; native geometry/circuit details cross-referenced to the specialist lanes.</x:v>
      </x:c>
      <x:c r="J263" s="104" t="str">
        <x:v>GR86_CCA_RevB PCB SHA256 f23c4385941ab87ff8dc43a9206b3c1a3de1032e80f3947fb21943ea2b56e9ca</x:v>
      </x:c>
      <x:c r="K263" s="104" t="str">
        <x:v>audit/board_vetting_20260908/BOARD_VETTING_SUMMARY.md — specific board/software/document deltas and unresolved evidence
qualification/productization/PRODUCT_REQUIREMENTS.md — requirements1–8 and accepted inputs</x:v>
      </x:c>
      <x:c r="L263" s="104" t="str">
        <x:v>Allocate numerical acceptance and responsible execution for each remaining requirement.</x:v>
      </x:c>
      <x:c r="M263" s="104" t="str">
        <x:v>YES</x:v>
      </x:c>
      <x:c r="N263" s="104" t="str">
        <x:v>NO</x:v>
      </x:c>
      <x:c r="O263" s="104" t="str">
        <x:v>P0</x:v>
      </x:c>
    </x:row>
    <x:row r="264" ht="125" customHeight="1">
      <x:c r="A264" s="104" t="str">
        <x:v>VNV-02</x:v>
      </x:c>
      <x:c r="B264" s="104" t="str">
        <x:v>Verification evidence and acceptance</x:v>
      </x:c>
      <x:c r="C264" s="104" t="str">
        <x:v>Model inputs, datasheet revisions, assumptions and worst-case outputs archived.</x:v>
      </x:c>
      <x:c r="D264" s="104" t="str">
        <x:v>Fresh source-derived screens cover all111 current R/C/L and actual selected IC/topology constraints. TCR, GPS-short load, clamp placement and manufacturer-reference thermal limits are now explicit.</x:v>
      </x:c>
      <x:c r="E264" s="104" t="str">
        <x:v>The stale consolidated passive table is superseded by actual current-part analysis. Guaranteed parasitic/effective-capacitance/installed-temperature bounds remain conditional.</x:v>
      </x:c>
      <x:c r="F264" s="104" t="str">
        <x:v>CALCULATED</x:v>
      </x:c>
      <x:c r="G264" s="104" t="str">
        <x:v>OPEN</x:v>
      </x:c>
      <x:c r="H264" s="104" t="str">
        <x:v>OPEN</x:v>
      </x:c>
      <x:c r="I264" s="104" t="str">
        <x:v>Direct inspection of named current source, configuration/requirements and source-bound evidence; native geometry/circuit details cross-referenced to the specialist lanes.</x:v>
      </x:c>
      <x:c r="J264" s="104" t="str">
        <x:v>GR86_CCA_RevB PCB SHA256 f23c4385941ab87ff8dc43a9206b3c1a3de1032e80f3947fb21943ea2b56e9ca</x:v>
      </x:c>
      <x:c r="K264" s="104" t="str">
        <x:v>audit/board_vetting_20260908/lanes/power.json — current part stress, fault and threshold calculations
audit/board_vetting_20260908/lanes/analog_thermal.json — actual analog paths and current tolerance/thermal bounds
audit/board_vetting_20260908/lanes/layout_mfg.json — actual land patterns, converter loops and manufacturing geometry</x:v>
      </x:c>
      <x:c r="L264" s="104" t="str">
        <x:v>Close the specific remaining model-input bounds; do not treat typical/reference-board values as guaranteed product results.</x:v>
      </x:c>
      <x:c r="M264" s="104" t="str">
        <x:v>YES</x:v>
      </x:c>
      <x:c r="N264" s="104" t="str">
        <x:v>NO</x:v>
      </x:c>
      <x:c r="O264" s="104" t="str">
        <x:v>P1</x:v>
      </x:c>
    </x:row>
    <x:row r="265" ht="125" customHeight="1">
      <x:c r="A265" s="104" t="str">
        <x:v>VNV-03</x:v>
      </x:c>
      <x:c r="B265" s="104" t="str">
        <x:v>Verification evidence and acceptance</x:v>
      </x:c>
      <x:c r="C265" s="104" t="str">
        <x:v>Model scope and unmodeled parasitics/limits explicitly stated; simulation is not hardware evidence.</x:v>
      </x:c>
      <x:c r="D265" s="104" t="str">
        <x:v>Used evidence separates native geometry, circuit calculations, limited actual op-amp simulation and host source probes. No full-board or RF EM simulation is represented.</x:v>
      </x:c>
      <x:c r="E265" s="104" t="str">
        <x:v>Each model conclusion retains its scope; newly exposed layout parasitics limit older clamp/loop assumptions.</x:v>
      </x:c>
      <x:c r="F265" s="104" t="str">
        <x:v>VERIFIED</x:v>
      </x:c>
      <x:c r="G265" s="104" t="str">
        <x:v>CLOSED</x:v>
      </x:c>
      <x:c r="H265" s="104" t="str">
        <x:v>CLOSED</x:v>
      </x:c>
      <x:c r="I265" s="104" t="str">
        <x:v>Direct inspection of named current source, configuration/requirements and source-bound evidence; native geometry/circuit details cross-referenced to the specialist lanes.</x:v>
      </x:c>
      <x:c r="J265" s="104" t="str">
        <x:v>GR86_CCA_RevB PCB SHA256 f23c4385941ab87ff8dc43a9206b3c1a3de1032e80f3947fb21943ea2b56e9ca</x:v>
      </x:c>
      <x:c r="K265" s="104" t="str">
        <x:v>audit/board_vetting_20260908/lanes/analog_thermal.json — actual analog paths and current tolerance/thermal bounds
audit/board_vetting_20260908/lanes/power.json — current part stress, fault and threshold calculations
audit/board_vetting_20260908/lanes/rf_ground.json — actual copper graph, vias, RF and signal reference paths
audit/board_vetting_20260908/lanes/digital_can.json — native digital/CAN and source timing results
qualification/productization/INDEPENDENT_ELECTRICAL_REVIEW.md — actual model validity and excluded cases</x:v>
      </x:c>
      <x:c r="L265" s="104" t="str">
        <x:v>Retain rejected model cases and source-specific limitations.</x:v>
      </x:c>
      <x:c r="M265" s="104" t="str">
        <x:v>YES</x:v>
      </x:c>
      <x:c r="N265" s="104" t="str">
        <x:v>NO</x:v>
      </x:c>
      <x:c r="O265" s="104" t="str">
        <x:v>P1</x:v>
      </x:c>
    </x:row>
    <x:row r="266" ht="125" customHeight="1">
      <x:c r="A266" s="104" t="str">
        <x:v>VNV-04</x:v>
      </x:c>
      <x:c r="B266" s="104" t="str">
        <x:v>Verification evidence and acceptance</x:v>
      </x:c>
      <x:c r="C266" s="104" t="str">
        <x:v>Raw waveforms with setup details, calibration and quantitative limits.</x:v>
      </x:c>
      <x:c r="D266" s="104" t="str">
        <x:v>No raw Rev B startup/load-step/ripple/temperature waveforms are supplied. New calculations and copper views address design evidence only.</x:v>
      </x:c>
      <x:c r="E266" s="104" t="str">
        <x:v>Physical supply-corner verification is still absent.</x:v>
      </x:c>
      <x:c r="F266" s="104" t="str">
        <x:v>OPEN</x:v>
      </x:c>
      <x:c r="G266" s="104" t="str">
        <x:v>OPEN</x:v>
      </x:c>
      <x:c r="H266" s="104" t="str">
        <x:v>OPEN</x:v>
      </x:c>
      <x:c r="I266" s="104" t="str">
        <x:v>Direct inspection of named current source, configuration/requirements and source-bound evidence; native geometry/circuit details cross-referenced to the specialist lanes.</x:v>
      </x:c>
      <x:c r="J266" s="104" t="str">
        <x:v>GR86_CCA_RevB PCB SHA256 f23c4385941ab87ff8dc43a9206b3c1a3de1032e80f3947fb21943ea2b56e9ca</x:v>
      </x:c>
      <x:c r="K266" s="104" t="str">
        <x:v>BRING_UP_PLAN.md — staged physical test plan; no raw Rev B test results
audit/board_vetting_20260908/lanes/power.json — current part stress, fault and threshold calculations</x:v>
      </x:c>
      <x:c r="L266" s="104" t="str">
        <x:v>Execute the staged rail tests with actual loads, setup and uncertainty.</x:v>
      </x:c>
      <x:c r="M266" s="104" t="str">
        <x:v>YES</x:v>
      </x:c>
      <x:c r="N266" s="104" t="str">
        <x:v>YES</x:v>
      </x:c>
      <x:c r="O266" s="104" t="str">
        <x:v>P1</x:v>
      </x:c>
    </x:row>
    <x:row r="267" ht="125" customHeight="1">
      <x:c r="A267" s="104" t="str">
        <x:v>VNV-05</x:v>
      </x:c>
      <x:c r="B267" s="104" t="str">
        <x:v>Verification evidence and acceptance</x:v>
      </x:c>
      <x:c r="C267" s="104" t="str">
        <x:v>Analyzer data, waveforms and source/receiver counts on a safe bench fixture.</x:v>
      </x:c>
      <x:c r="D267" s="104" t="str">
        <x:v>Main CAN pair geometry, physical mode/pin paths and queue/timing limits are directly inspected. No independent Rev B analyzer/source-count/waveform data are supplied.</x:v>
      </x:c>
      <x:c r="E267" s="104" t="str">
        <x:v>Physical reception/non-interference remains unproven; CAD correctness is not that test.</x:v>
      </x:c>
      <x:c r="F267" s="104" t="str">
        <x:v>OPEN</x:v>
      </x:c>
      <x:c r="G267" s="104" t="str">
        <x:v>OPEN</x:v>
      </x:c>
      <x:c r="H267" s="104" t="str">
        <x:v>OPEN</x:v>
      </x:c>
      <x:c r="I267" s="104" t="str">
        <x:v>Direct inspection of named current source, configuration/requirements and source-bound evidence; native geometry/circuit details cross-referenced to the specialist lanes.</x:v>
      </x:c>
      <x:c r="J267" s="104" t="str">
        <x:v>GR86_CCA_RevB PCB SHA256 f23c4385941ab87ff8dc43a9206b3c1a3de1032e80f3947fb21943ea2b56e9ca</x:v>
      </x:c>
      <x:c r="K267" s="104" t="str">
        <x:v>audit/board_vetting_20260908/lanes/digital_can.json — native digital/CAN and source timing results
audit/board_vetting_20260908/lanes/rf_ground.json — actual copper graph, vias, RF and signal reference paths
BRING_UP_PLAN.md — staged physical test plan; no raw Rev B test results</x:v>
      </x:c>
      <x:c r="L267" s="104" t="str">
        <x:v>Run an independent-ACK bench with source/receiver counts and waveform/non-interference captures.</x:v>
      </x:c>
      <x:c r="M267" s="104" t="str">
        <x:v>YES</x:v>
      </x:c>
      <x:c r="N267" s="104" t="str">
        <x:v>YES</x:v>
      </x:c>
      <x:c r="O267" s="104" t="str">
        <x:v>P1</x:v>
      </x:c>
    </x:row>
    <x:row r="268" ht="125" customHeight="1">
      <x:c r="A268" s="104" t="str">
        <x:v>VNV-06</x:v>
      </x:c>
      <x:c r="B268" s="104" t="str">
        <x:v>Verification evidence and acceptance</x:v>
      </x:c>
      <x:c r="C268" s="104" t="str">
        <x:v>Traceable voltage/pressure references and uncertainty budget.</x:v>
      </x:c>
      <x:c r="D268" s="104" t="str">
        <x:v>Actual sensor-to-ADC topology and local routing are inspected, with current fault/transfer/error calculations. Traceable Rev B voltage/pressure/noise/dynamic/fault measurements are absent.</x:v>
      </x:c>
      <x:c r="E268" s="104" t="str">
        <x:v>Design limits and deltas are now concrete; measured full-channel acceptance is still absent.</x:v>
      </x:c>
      <x:c r="F268" s="104" t="str">
        <x:v>OPEN</x:v>
      </x:c>
      <x:c r="G268" s="104" t="str">
        <x:v>OPEN</x:v>
      </x:c>
      <x:c r="H268" s="104" t="str">
        <x:v>OPEN</x:v>
      </x:c>
      <x:c r="I268" s="104" t="str">
        <x:v>Direct inspection of named current source, configuration/requirements and source-bound evidence; native geometry/circuit details cross-referenced to the specialist lanes.</x:v>
      </x:c>
      <x:c r="J268" s="104" t="str">
        <x:v>GR86_CCA_RevB PCB SHA256 f23c4385941ab87ff8dc43a9206b3c1a3de1032e80f3947fb21943ea2b56e9ca</x:v>
      </x:c>
      <x:c r="K268" s="104" t="str">
        <x:v>audit/board_vetting_20260908/lanes/analog_thermal.json — actual analog paths and current tolerance/thermal bounds
BRING_UP_PLAN.md — staged physical test plan; no raw Rev B test results</x:v>
      </x:c>
      <x:c r="L268" s="104" t="str">
        <x:v>Perform two-channel calibration and independent full-channel static/dynamic/fault testing.</x:v>
      </x:c>
      <x:c r="M268" s="104" t="str">
        <x:v>YES</x:v>
      </x:c>
      <x:c r="N268" s="104" t="str">
        <x:v>YES</x:v>
      </x:c>
      <x:c r="O268" s="104" t="str">
        <x:v>P1</x:v>
      </x:c>
    </x:row>
    <x:row r="269" ht="125" customHeight="1">
      <x:c r="A269" s="104" t="str">
        <x:v>VNV-07</x:v>
      </x:c>
      <x:c r="B269" s="104" t="str">
        <x:v>Verification evidence and acceptance</x:v>
      </x:c>
      <x:c r="C269" s="104" t="str">
        <x:v>Outdoor comparison, configuration records, timing captures and fix-quality metrics.</x:v>
      </x:c>
      <x:c r="D269" s="104" t="str">
        <x:v>Native RF geometry and PA1616D signal paths are inspected. No outdoor comparison, antenna/cable identity or PPS epoch captures are supplied.</x:v>
      </x:c>
      <x:c r="E269" s="104" t="str">
        <x:v>Internal/external GPS performance cannot be concluded from the nominal50ohm feed.</x:v>
      </x:c>
      <x:c r="F269" s="104" t="str">
        <x:v>OPEN</x:v>
      </x:c>
      <x:c r="G269" s="104" t="str">
        <x:v>OPEN</x:v>
      </x:c>
      <x:c r="H269" s="104" t="str">
        <x:v>OPEN</x:v>
      </x:c>
      <x:c r="I269" s="104" t="str">
        <x:v>Direct inspection of named current source, configuration/requirements and source-bound evidence; native geometry/circuit details cross-referenced to the specialist lanes.</x:v>
      </x:c>
      <x:c r="J269" s="104" t="str">
        <x:v>GR86_CCA_RevB PCB SHA256 f23c4385941ab87ff8dc43a9206b3c1a3de1032e80f3947fb21943ea2b56e9ca</x:v>
      </x:c>
      <x:c r="K269" s="104" t="str">
        <x:v>audit/board_vetting_20260908/lanes/rf_ground.json — actual copper graph, vias, RF and signal reference paths
BRING_UP_PLAN.md — staged physical test plan; no raw Rev B test results</x:v>
      </x:c>
      <x:c r="L269" s="104" t="str">
        <x:v>Test the exact accessory and module configuration with RF/reception and PPS evidence.</x:v>
      </x:c>
      <x:c r="M269" s="104" t="str">
        <x:v>YES</x:v>
      </x:c>
      <x:c r="N269" s="104" t="str">
        <x:v>YES</x:v>
      </x:c>
      <x:c r="O269" s="104" t="str">
        <x:v>P1</x:v>
      </x:c>
    </x:row>
    <x:row r="270" ht="125" customHeight="1">
      <x:c r="A270" s="104" t="str">
        <x:v>VNV-08</x:v>
      </x:c>
      <x:c r="B270" s="104" t="str">
        <x:v>Verification evidence and acceptance</x:v>
      </x:c>
      <x:c r="C270" s="104" t="str">
        <x:v>Integrated traffic/acquisition test with bounded latency, error, loss and current.</x:v>
      </x:c>
      <x:c r="D270" s="104" t="str">
        <x:v>Simultaneous source-budget and routing-aggressor checks reveal quantified constraints. No integrated assembled telemetry traffic/acquisition dataset is supplied.</x:v>
      </x:c>
      <x:c r="E270" s="104" t="str">
        <x:v>Integrated performance has not been demonstrated.</x:v>
      </x:c>
      <x:c r="F270" s="104" t="str">
        <x:v>OPEN</x:v>
      </x:c>
      <x:c r="G270" s="104" t="str">
        <x:v>OPEN</x:v>
      </x:c>
      <x:c r="H270" s="104" t="str">
        <x:v>OPEN</x:v>
      </x:c>
      <x:c r="I270" s="104" t="str">
        <x:v>Direct inspection of named current source, configuration/requirements and source-bound evidence; native geometry/circuit details cross-referenced to the specialist lanes.</x:v>
      </x:c>
      <x:c r="J270" s="104" t="str">
        <x:v>GR86_CCA_RevB PCB SHA256 f23c4385941ab87ff8dc43a9206b3c1a3de1032e80f3947fb21943ea2b56e9ca</x:v>
      </x:c>
      <x:c r="K270" s="104" t="str">
        <x:v>audit/board_vetting_20260908/lanes/digital_can.json — native digital/CAN and source timing results
audit/board_vetting_20260908/lanes/analog_thermal.json — actual analog paths and current tolerance/thermal bounds
BRING_UP_PLAN.md — staged physical test plan; no raw Rev B test results</x:v>
      </x:c>
      <x:c r="L270" s="104" t="str">
        <x:v>Exercise simultaneous CAN/GPS/oil/BLE with queue age/loss/current/temperature measurements.</x:v>
      </x:c>
      <x:c r="M270" s="104" t="str">
        <x:v>YES</x:v>
      </x:c>
      <x:c r="N270" s="104" t="str">
        <x:v>YES</x:v>
      </x:c>
      <x:c r="O270" s="104" t="str">
        <x:v>P1</x:v>
      </x:c>
    </x:row>
    <x:row r="271" ht="125" customHeight="1">
      <x:c r="A271" s="104" t="str">
        <x:v>VNV-09</x:v>
      </x:c>
      <x:c r="B271" s="104" t="str">
        <x:v>Verification evidence and acceptance</x:v>
      </x:c>
      <x:c r="C271" s="104" t="str">
        <x:v>Timestamped voltage/current/temperature/reset/queue/error data and defined duration.</x:v>
      </x:c>
      <x:c r="D271" s="104" t="str">
        <x:v>RTC reset/queue diagnostics exist, but the direct source timing check shows diagnostic output can perturb acquisition. No continuous physical soak log is supplied.</x:v>
      </x:c>
      <x:c r="E271" s="104" t="str">
        <x:v>Logging cannot be assumed nonintrusive; both logging design and real soak evidence require closure.</x:v>
      </x:c>
      <x:c r="F271" s="104" t="str">
        <x:v>OPEN</x:v>
      </x:c>
      <x:c r="G271" s="104" t="str">
        <x:v>OPEN</x:v>
      </x:c>
      <x:c r="H271" s="104" t="str">
        <x:v>OPEN</x:v>
      </x:c>
      <x:c r="I271" s="104" t="str">
        <x:v>Direct inspection of named current source, configuration/requirements and source-bound evidence; native geometry/circuit details cross-referenced to the specialist lanes.</x:v>
      </x:c>
      <x:c r="J271" s="104" t="str">
        <x:v>GR86_CCA_RevB PCB SHA256 f23c4385941ab87ff8dc43a9206b3c1a3de1032e80f3947fb21943ea2b56e9ca</x:v>
      </x:c>
      <x:c r="K271" s="104" t="str">
        <x:v>audit/board_vetting_20260908/lanes/digital_can.json — native digital/CAN and source timing results
BRING_UP_PLAN.md — staged physical test plan; no raw Rev B test results</x:v>
      </x:c>
      <x:c r="L271" s="104" t="str">
        <x:v>Provide bounded diagnostic collection and record an actual agreed-duration soak.</x:v>
      </x:c>
      <x:c r="M271" s="104" t="str">
        <x:v>YES</x:v>
      </x:c>
      <x:c r="N271" s="104" t="str">
        <x:v>YES</x:v>
      </x:c>
      <x:c r="O271" s="104" t="str">
        <x:v>P1</x:v>
      </x:c>
    </x:row>
    <x:row r="272" ht="125" customHeight="1">
      <x:c r="A272" s="104" t="str">
        <x:v>VNV-10</x:v>
      </x:c>
      <x:c r="B272" s="104" t="str">
        <x:v>Verification evidence and acceptance</x:v>
      </x:c>
      <x:c r="C272" s="104" t="str">
        <x:v>Authorized test method, suitable equipment/fixture, containment and stop rules.</x:v>
      </x:c>
      <x:c r="D272" s="104" t="str">
        <x:v>Staged current limits/probe methods and prohibited high-energy cases are written. No actual accepted fixture, instrument uncertainty or energy/containment/interlock evidence is supplied.</x:v>
      </x:c>
      <x:c r="E272" s="104" t="str">
        <x:v>Proposed test settings are not an approved physical fixture or safe-fault test result.</x:v>
      </x:c>
      <x:c r="F272" s="104" t="str">
        <x:v>OPEN</x:v>
      </x:c>
      <x:c r="G272" s="104" t="str">
        <x:v>OPEN</x:v>
      </x:c>
      <x:c r="H272" s="104" t="str">
        <x:v>OPEN</x:v>
      </x:c>
      <x:c r="I272" s="104" t="str">
        <x:v>Direct inspection of named current source, configuration/requirements and source-bound evidence; native geometry/circuit details cross-referenced to the specialist lanes.</x:v>
      </x:c>
      <x:c r="J272" s="104" t="str">
        <x:v>GR86_CCA_RevB PCB SHA256 f23c4385941ab87ff8dc43a9206b3c1a3de1032e80f3947fb21943ea2b56e9ca</x:v>
      </x:c>
      <x:c r="K272" s="104" t="str">
        <x:v>audit/erb_20260907/BRINGUP_METROLOGY_ADDENDUM.md — proposed stage/probe settings
audit/board_vetting_20260908/lanes/power.json — current part stress, fault and threshold calculations
BRING_UP_PLAN.md — staged physical test plan; no raw Rev B test results</x:v>
      </x:c>
      <x:c r="L272" s="104" t="str">
        <x:v>Qualify the bounded high-energy setup before execution.</x:v>
      </x:c>
      <x:c r="M272" s="104" t="str">
        <x:v>YES</x:v>
      </x:c>
      <x:c r="N272" s="104" t="str">
        <x:v>YES</x:v>
      </x:c>
      <x:c r="O272" s="104" t="str">
        <x:v>P0</x:v>
      </x:c>
    </x:row>
    <x:row r="273" ht="125" customHeight="1">
      <x:c r="A273" s="104" t="str">
        <x:v>VNV-11</x:v>
      </x:c>
      <x:c r="B273" s="104" t="str">
        <x:v>Verification evidence and acceptance</x:v>
      </x:c>
      <x:c r="C273" s="104" t="str">
        <x:v>Written gate disposition, installation plan and monitored initial vehicle test.</x:v>
      </x:c>
      <x:c r="D273" s="104" t="str">
        <x:v>Written vehicle-entry sequence requires prior power and CAN non-interference gates. This review does not authorize installation or physical operation.</x:v>
      </x:c>
      <x:c r="E273" s="104" t="str">
        <x:v>Prerequisite policy is present; actual prerequisites are not marked passed.</x:v>
      </x:c>
      <x:c r="F273" s="104" t="str">
        <x:v>VERIFIED</x:v>
      </x:c>
      <x:c r="G273" s="104" t="str">
        <x:v>CLOSED</x:v>
      </x:c>
      <x:c r="H273" s="104" t="str">
        <x:v>CLOSED</x:v>
      </x:c>
      <x:c r="I273" s="104" t="str">
        <x:v>Direct inspection of named current source, configuration/requirements and source-bound evidence; native geometry/circuit details cross-referenced to the specialist lanes.</x:v>
      </x:c>
      <x:c r="J273" s="104" t="str">
        <x:v>GR86_CCA_RevB PCB SHA256 f23c4385941ab87ff8dc43a9206b3c1a3de1032e80f3947fb21943ea2b56e9ca</x:v>
      </x:c>
      <x:c r="K273" s="104" t="str">
        <x:v>BRING_UP_PLAN.md — staged physical test plan; no raw Rev B test results
audit/board_vetting_20260908/BOARD_VETTING_SUMMARY.md — specific board/software/document deltas and unresolved evidence</x:v>
      </x:c>
      <x:c r="L273" s="104" t="str">
        <x:v>Apply the gates to the exact measured first article.</x:v>
      </x:c>
      <x:c r="M273" s="104" t="str">
        <x:v>YES</x:v>
      </x:c>
      <x:c r="N273" s="104" t="str">
        <x:v>NO</x:v>
      </x:c>
      <x:c r="O273" s="104" t="str">
        <x:v>P0</x:v>
      </x:c>
    </x:row>
    <x:row r="274" ht="125" customHeight="1">
      <x:c r="A274" s="104" t="str">
        <x:v>VNV-12</x:v>
      </x:c>
      <x:c r="B274" s="104" t="str">
        <x:v>Verification evidence and acceptance</x:v>
      </x:c>
      <x:c r="C274" s="104" t="str">
        <x:v>Exact configuration, instrument setup, raw data, analysis script and reviewer sign-off archived.</x:v>
      </x:c>
      <x:c r="D274" s="104" t="str">
        <x:v>Native checker inputs/results and exact build are recoverable, and direct geometry/source probes are archived. Clean complete output regeneration and future actual instrument/raw data are incomplete.</x:v>
      </x:c>
      <x:c r="E274" s="104" t="str">
        <x:v>Reproduction is proven for the named source checks, not for every requested physical/system pass.</x:v>
      </x:c>
      <x:c r="F274" s="104" t="str">
        <x:v>OPEN</x:v>
      </x:c>
      <x:c r="G274" s="104" t="str">
        <x:v>OPEN</x:v>
      </x:c>
      <x:c r="H274" s="104" t="str">
        <x:v>OPEN</x:v>
      </x:c>
      <x:c r="I274" s="104" t="str">
        <x:v>Direct inspection of named current source, configuration/requirements and source-bound evidence; native geometry/circuit details cross-referenced to the specialist lanes.</x:v>
      </x:c>
      <x:c r="J274" s="104" t="str">
        <x:v>GR86_CCA_RevB PCB SHA256 f23c4385941ab87ff8dc43a9206b3c1a3de1032e80f3947fb21943ea2b56e9ca</x:v>
      </x:c>
      <x:c r="K274" s="104" t="str">
        <x:v>audit/board_vetting_20260908/BASELINE_BINDING.json — 3766 predecessor files and all critical source hashes verified
audit/board_vetting_20260908/lanes/layout_mfg.json — actual land patterns, converter loops and manufacturing geometry
audit/board_vetting_20260908/lanes/mechanics.json — native envelope, F1, Tag and probe measurements
audit/board_vetting_20260908/BOARD_VETTING_SUMMARY.md — specific board/software/document deltas and unresolved evidence</x:v>
      </x:c>
      <x:c r="L274" s="104" t="str">
        <x:v>Complete clean release regeneration and preserve each actual measurement setup/data record.</x:v>
      </x:c>
      <x:c r="M274" s="104" t="str">
        <x:v>YES</x:v>
      </x:c>
      <x:c r="N274" s="104" t="str">
        <x:v>YES</x:v>
      </x:c>
      <x:c r="O274" s="104" t="str">
        <x:v>P1</x:v>
      </x:c>
    </x:row>
    <x:row r="275" ht="350" customHeight="1">
      <x:c r="A275" s="104" t="str">
        <x:v>FMEA-01</x:v>
      </x:c>
      <x:c r="B275" s="104" t="str">
        <x:v>Failure analysis and system safety</x:v>
      </x:c>
      <x:c r="C275" s="104" t="str">
        <x:v>FMEA traces effects to the vehicle, user, sensor, downstream ICs and harness.</x:v>
      </x:c>
      <x:c r="D275" s="104" t="str">
        <x:v>The review traces36 existing power/external cases plus22 additional ladder, feedback, bootstrap and reset component faults. Main OVP is absent; a GPS short can overload5 V; a RAW connector short bypasses the board fuse.</x:v>
      </x:c>
      <x:c r="E275" s="104" t="str">
        <x:v>Critical passive faults now have explicit permissive/shutdown/fail-high outcomes, replacing requests to write that analysis later.</x:v>
      </x:c>
      <x:c r="F275" s="104" t="str">
        <x:v>CALCULATED</x:v>
      </x:c>
      <x:c r="G275" s="104" t="str">
        <x:v>OPEN</x:v>
      </x:c>
      <x:c r="H275" s="104" t="str">
        <x:v>OPEN</x:v>
      </x:c>
      <x:c r="I275" s="104" t="str">
        <x:v>Native KiCad pad/net extraction; exact selected-part comparison; deterministic calculations and circuit-state tracing. No physical pass is inferred.</x:v>
      </x:c>
      <x:c r="J275" s="104" t="str">
        <x:v>{"reference":"U101","layer":"B.Cu","x_mm":33,"y_mm":30.5,"nets":["GND","INPUT_FAULT_N","INPUT_GATE_DRIVE","INPUT_OV","INPUT_SHDN","INPUT_UV","PROTECTED_12V","PROTECT_CTRL_VIN"]}
{"reference":"U121","layer":"F.Cu","x_mm":47,"y_mm":26.5,"nets":["","5V_BST","5V_EN","5V_FB","5V_PGOOD","5V_RON","5V_SW","5V_VIN","GND"]}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501","layer":"B.Cu","x_mm":18.5,"y_mm":25.5,"nets":["","+5V","GND","OIL_DVDT","OIL_EFUSE_OUT","OIL_EFUSE_RTN","OIL_ILIM","OIL_OVP","OIL_POWER_FAULT_N","OIL_SHDN","OIL_UVLO","unconnected-(U501-IMON-Pad10)","unconnected-(U501-MODE-Pad6)","unconnected-(U501-NC1-Pad4)","unconnected-(U501-NC2-Pad13)"]}
{"reference":"F101","layer":"F.Cu","x_mm":10,"y_mm":32.5,"nets":["FUSED_12V","RAW_12V"]}
{"reference":"R102","layer":"B.Cu","x_mm":28.5,"y_mm":25.1,"nets":["INPUT_UV","REV_BLOCKED_12V"]}
{"reference":"R103","layer":"B.Cu","x_mm":27.8,"y_mm":27.5,"nets":["INPUT_OV","INPUT_UV"]}
{"reference":"R104","layer":"B.Cu","x_mm":27.8,"y_mm":29.6,"nets":["GND","INPUT_OV"]}
{"reference":"R122","layer":"F.Cu","x_mm":49.4,"y_mm":33,"nets":["5V_FB","5V_SOURCE"]}
{"reference":"R123","layer":"F.Cu","x_mm":49.4,"y_mm":30.7,"nets":["5V_FB","GND"]}</x:v>
      </x:c>
      <x:c r="K275" s="104" t="str">
        <x:v>audit/board_vetting_20260908/lanes/power_evidence/native_power_objects.json — parts.U101,U121,U151,U403,U501,F101,R102,R103,R104,R122,R123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5" s="104" t="str">
        <x:v>No universal all-component or multiple-fault survival claim is made. External energy containment, source fusing and vehicle propagation remain open.</x:v>
      </x:c>
      <x:c r="M275" s="104" t="str">
        <x:v>NO</x:v>
      </x:c>
      <x:c r="N275" s="104" t="str">
        <x:v>YES</x:v>
      </x:c>
      <x:c r="O275" s="104" t="str">
        <x:v>P0</x:v>
      </x:c>
    </x:row>
    <x:row r="276" ht="185" customHeight="1">
      <x:c r="A276" s="104" t="str">
        <x:v>FMEA-02</x:v>
      </x:c>
      <x:c r="B276" s="104" t="str">
        <x:v>Failure analysis and system safety</x:v>
      </x:c>
      <x:c r="C276" s="104" t="str">
        <x:v>Hardware/software containment analysis and representative fault tests.</x:v>
      </x:c>
      <x:c r="D276" s="104" t="str">
        <x:v>DNP R301 removes intentional MCU transmit. A single D301, CAN route or U301 bus-pin short still directly loads the vehicle CAN pair; no series bus disconnect isolates it.</x:v>
      </x:c>
      <x:c r="E276" s="104" t="str">
        <x:v>Receive-only function does not provide universal electrical single-fault noninterference.</x:v>
      </x:c>
      <x:c r="F276" s="104" t="str">
        <x:v>HOLD</x:v>
      </x:c>
      <x:c r="G276" s="104" t="str">
        <x:v>OPEN</x:v>
      </x:c>
      <x:c r="H276" s="104" t="str">
        <x:v>OPEN</x:v>
      </x:c>
      <x:c r="I276" s="104" t="str">
        <x:v>Native KiCad pad/net extraction; exact selected-part comparison; deterministic calculations and circuit-state tracing. No physical pass is inferred.</x:v>
      </x:c>
      <x:c r="J276" s="104" t="str">
        <x:v>{"reference":"R301","layer":"B.Cu","x_mm":26,"y_mm":8,"nets":["CAN_TXD","CAN_TX_MCU"]}
{"reference":"U301","layer":"B.Cu","x_mm":20.4,"y_mm":9.5,"nets":["","+3V3","CANH","CANL","CAN_RXD","CAN_TXD","GND"]}
{"reference":"D301","layer":"B.Cu","x_mm":14.6,"y_mm":9.5,"nets":["CANH","CANL","GND"]}
{"reference":"F1","layer":"F.Cu","x_mm":8.3,"y_mm":23.5,"nets":["","CANH","CANL","GND","OIL_5V","OIL_SIG","RAW_12V","unconnected-(F1-SPARE_NC-Pad10)","unconnected-(F1-SPARE_NC-Pad11)","unconnected-(F1-SPARE_NC-Pad12)","unconnected-(F1-SPARE_NC-Pad4)"]}</x:v>
      </x:c>
      <x:c r="K276" s="104" t="str">
        <x:v>audit/board_vetting_20260908/lanes/power_evidence/native_power_objects.json — parts.R301,U301,D301,F1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6" s="104" t="str">
        <x:v>Define accepted bus-disruption risk and containment; test representative faults on an isolated bench bus.</x:v>
      </x:c>
      <x:c r="M276" s="104" t="str">
        <x:v>NO</x:v>
      </x:c>
      <x:c r="N276" s="104" t="str">
        <x:v>YES</x:v>
      </x:c>
      <x:c r="O276" s="104" t="str">
        <x:v>P0</x:v>
      </x:c>
    </x:row>
    <x:row r="277" ht="185" customHeight="1">
      <x:c r="A277" s="104" t="str">
        <x:v>FMEA-03</x:v>
      </x:c>
      <x:c r="B277" s="104" t="str">
        <x:v>Failure analysis and system safety</x:v>
      </x:c>
      <x:c r="C277" s="104" t="str">
        <x:v>Alternative current paths through CAN, antenna coax, USB/debug and sensor connections considered.</x:v>
      </x:c>
      <x:c r="D277" s="104" t="str">
        <x:v>F1.1/.2/.9, Tag ground and U.FL shield share board GND. With the primary return open, sensor/debug/coax ground can become a return depending on actual external bonding.</x:v>
      </x:c>
      <x:c r="E277" s="104" t="str">
        <x:v>Native continuity identifies alternate current paths. Repeated connector ground pins are not independent redundancy without independent harness returns.</x:v>
      </x:c>
      <x:c r="F277" s="104" t="str">
        <x:v>HOLD</x:v>
      </x:c>
      <x:c r="G277" s="104" t="str">
        <x:v>OPEN</x:v>
      </x:c>
      <x:c r="H277" s="104" t="str">
        <x:v>OPEN</x:v>
      </x:c>
      <x:c r="I277" s="104" t="str">
        <x:v>Native KiCad pad/net extraction; exact selected-part comparison; deterministic calculations and circuit-state tracing. No physical pass is inferred.</x:v>
      </x:c>
      <x:c r="J277" s="104" t="str">
        <x:v>{"reference":"F1","layer":"F.Cu","x_mm":8.3,"y_mm":23.5,"nets":["","CANH","CANL","GND","OIL_5V","OIL_SIG","RAW_12V","unconnected-(F1-SPARE_NC-Pad10)","unconnected-(F1-SPARE_NC-Pad11)","unconnected-(F1-SPARE_NC-Pad12)","unconnected-(F1-SPARE_NC-Pad4)"]}
{"reference":"J201","layer":"F.Cu","x_mm":71,"y_mm":6,"nets":["","+3V3","ESP_EN","ESP_GPIO0","GND","UART0_RX","UART0_TX"]}
{"reference":"J401","layer":"B.Cu","x_mm":65.3,"y_mm":8.8,"nets":["","GND","GPS_EXT_ANT"]}</x:v>
      </x:c>
      <x:c r="K277" s="104" t="str">
        <x:v>audit/board_vetting_20260908/lanes/power_evidence/native_power_objects.json — parts.F1,J201,J401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7" s="104" t="str">
        <x:v>Define harness/accessory shield bonding and bound currents for each lost-return case.</x:v>
      </x:c>
      <x:c r="M277" s="104" t="str">
        <x:v>NO</x:v>
      </x:c>
      <x:c r="N277" s="104" t="str">
        <x:v>YES</x:v>
      </x:c>
      <x:c r="O277" s="104" t="str">
        <x:v>P0</x:v>
      </x:c>
    </x:row>
    <x:row r="278" ht="230" customHeight="1">
      <x:c r="A278" s="104" t="str">
        <x:v>FMEA-04</x:v>
      </x:c>
      <x:c r="B278" s="104" t="str">
        <x:v>Failure analysis and system safety</x:v>
      </x:c>
      <x:c r="C278" s="104" t="str">
        <x:v>Pin adjacency fault matrix and protection evidence under agreed fault severity.</x:v>
      </x:c>
      <x:c r="D278" s="104" t="str">
        <x:v>All16 orthogonal nearest-neighbor3mm F1 bridges are derived from physical coordinates. RAW3-to-GND2/9 bypasses F101; oil8-to-GND uses the eFuse; oil8-to-signal7 causes an oil fault; CAN5-to6 directly shorts the bus.</x:v>
      </x:c>
      <x:c r="E278" s="104" t="str">
        <x:v>The earlier partial adjacency description is now a complete nearest-neighbor list. Diagonal/nonadjacent miswiring remains a separate general fault class.</x:v>
      </x:c>
      <x:c r="F278" s="104" t="str">
        <x:v>CALCULATED</x:v>
      </x:c>
      <x:c r="G278" s="104" t="str">
        <x:v>OPEN</x:v>
      </x:c>
      <x:c r="H278" s="104" t="str">
        <x:v>OPEN</x:v>
      </x:c>
      <x:c r="I278" s="104" t="str">
        <x:v>Native KiCad pad/net extraction; exact selected-part comparison; deterministic calculations and circuit-state tracing. No physical pass is inferred.</x:v>
      </x:c>
      <x:c r="J278" s="104" t="str">
        <x:v>{"reference":"F1","layer":"F.Cu","x_mm":8.3,"y_mm":23.5,"nets":["","CANH","CANL","GND","OIL_5V","OIL_SIG","RAW_12V","unconnected-(F1-SPARE_NC-Pad10)","unconnected-(F1-SPARE_NC-Pad11)","unconnected-(F1-SPARE_NC-Pad12)","unconnected-(F1-SPARE_NC-Pad4)"]}
{"reference":"F101","layer":"F.Cu","x_mm":10,"y_mm":32.5,"nets":["FUSED_12V","RAW_12V"]}
{"reference":"U501","layer":"B.Cu","x_mm":18.5,"y_mm":25.5,"nets":["","+5V","GND","OIL_DVDT","OIL_EFUSE_OUT","OIL_EFUSE_RTN","OIL_ILIM","OIL_OVP","OIL_POWER_FAULT_N","OIL_SHDN","OIL_UVLO","unconnected-(U501-IMON-Pad10)","unconnected-(U501-MODE-Pad6)","unconnected-(U501-NC1-Pad4)","unconnected-(U501-NC2-Pad13)"]}
{"reference":"R507","layer":"F.Cu","x_mm":17.5,"y_mm":15.5,"nets":["OIL_5V","OIL_EFUSE_OUT"]}
{"reference":"R511","layer":"B.Cu","x_mm":82.6,"y_mm":38.6,"nets":["OIL_FILTERED","OIL_SIG"]}
{"reference":"D301","layer":"B.Cu","x_mm":14.6,"y_mm":9.5,"nets":["CANH","CANL","GND"]}</x:v>
      </x:c>
      <x:c r="K278" s="104" t="str">
        <x:v>audit/board_vetting_20260908/lanes/power_evidence/native_power_objects.json — parts.F1,F101,U501,R507,R511,D301
audit/board_vetting_20260908/lanes/power_evidence/power_calculations.json — F1_nearest_pad_bridges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8" s="104" t="str">
        <x:v>Specify fault voltage, source impedance and duration. Arbitrary harness miswiring is not automatically safe.</x:v>
      </x:c>
      <x:c r="M278" s="104" t="str">
        <x:v>YES</x:v>
      </x:c>
      <x:c r="N278" s="104" t="str">
        <x:v>YES</x:v>
      </x:c>
      <x:c r="O278" s="104" t="str">
        <x:v>P0</x:v>
      </x:c>
    </x:row>
    <x:row r="279" ht="380" customHeight="1">
      <x:c r="A279" s="104" t="str">
        <x:v>FMEA-05</x:v>
      </x:c>
      <x:c r="B279" s="104" t="str">
        <x:v>Failure analysis and system safety</x:v>
      </x:c>
      <x:c r="C279" s="104" t="str">
        <x:v>Safe-state definition is observable and independent of optimistic software assumptions.</x:v>
      </x:c>
      <x:c r="D279" s="104" t="str">
        <x:v>Reset/hang leaves R301 open and TXD pulled high. Invalid calibration/settings cause invalid telemetry or controlled defaults. Ioff buffers support partial power. Hard electrical shorts can bypass these logical states.</x:v>
      </x:c>
      <x:c r="E279" s="104" t="str">
        <x:v>The functional safe state is telemetry unavailable followed by recovery, not fabricated fresh data. Electrical harmlessness requires separate fault containment.</x:v>
      </x:c>
      <x:c r="F279" s="104" t="str">
        <x:v>CALCULATED</x:v>
      </x:c>
      <x:c r="G279" s="104" t="str">
        <x:v>OPEN</x:v>
      </x:c>
      <x:c r="H279" s="104" t="str">
        <x:v>OPEN</x:v>
      </x:c>
      <x:c r="I279" s="104" t="str">
        <x:v>Native KiCad pad/net extraction; exact selected-part comparison; deterministic calculations and circuit-state tracing. No physical pass is inferred.</x:v>
      </x:c>
      <x:c r="J279" s="104" t="str">
        <x:v>{"reference":"R301","layer":"B.Cu","x_mm":26,"y_mm":8,"nets":["CAN_TXD","CAN_TX_MCU"]}
{"reference":"R303","layer":"B.Cu","x_mm":26,"y_mm":5.8,"nets":["+3V3","CAN_TXD"]}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{"reference":"U402","layer":"F.Cu","x_mm":65.3,"y_mm":19.6,"nets":["+3V3","GND","GPS_PPS_BUFFER","GPS_PPS_RAW","GPS_TX_BUFFER","GPS_TX_RAW"]}
{"reference":"U404","layer":"F.Cu","x_mm":60,"y_mm":19.6,"nets":["GND","GPS_3V3","GPS_FIX_RAW","GPS_RX_BUFFER","GPS_SEARCH_BUFFER","GPS_TX_MCU"]}
{"reference":"U502","layer":"B.Cu","x_mm":78.5,"y_mm":30.5,"nets":["+3V3","GND","OIL_AMP_OUT","OIL_EXC_AMP_OUT","OIL_EXC_FB","OIL_EXC_FILTERED","OIL_FB","OIL_FILTERED"]}</x:v>
      </x:c>
      <x:c r="K279" s="104" t="str">
        <x:v>audit/board_vetting_20260908/lanes/power_evidence/native_power_objects.json — parts.R301,R303,U201,U402,U404,U502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79" s="104" t="str">
        <x:v>Verify on-wire behavior and define allowed external consequences of component failure.</x:v>
      </x:c>
      <x:c r="M279" s="104" t="str">
        <x:v>YES</x:v>
      </x:c>
      <x:c r="N279" s="104" t="str">
        <x:v>YES</x:v>
      </x:c>
      <x:c r="O279" s="104" t="str">
        <x:v>P0</x:v>
      </x:c>
    </x:row>
    <x:row r="280" ht="200" customHeight="1">
      <x:c r="A280" s="104" t="str">
        <x:v>FMEA-06</x:v>
      </x:c>
      <x:c r="B280" s="104" t="str">
        <x:v>Failure analysis and system safety</x:v>
      </x:c>
      <x:c r="C280" s="104" t="str">
        <x:v>Fault isolation and graceful-degradation analysis.</x:v>
      </x:c>
      <x:c r="D280" s="104" t="str">
        <x:v>A healthy MIC5504 supplies400–900 mA into a GPS output short. At630 mA typical, shared5 V demand is1.2125 A; at900 mA it is1.4825 A, beyond the1 A stage. The healthy oil eFuse short screen stays within0.8553 A.</x:v>
      </x:c>
      <x:c r="E280" s="104" t="str">
        <x:v>A separate GPS LDO does not ensure other telemetry survives a GPS rail short. This is definite missing independent availability if that behavior is required.</x:v>
      </x:c>
      <x:c r="F280" s="104" t="str">
        <x:v>HOLD</x:v>
      </x:c>
      <x:c r="G280" s="104" t="str">
        <x:v>OPEN</x:v>
      </x:c>
      <x:c r="H280" s="104" t="str">
        <x:v>OPEN</x:v>
      </x:c>
      <x:c r="I280" s="104" t="str">
        <x:v>Native KiCad pad/net extraction; exact selected-part comparison; deterministic calculations and circuit-state tracing. No physical pass is inferred.</x:v>
      </x:c>
      <x:c r="J280" s="104" t="str">
        <x:v>{"reference":"U403","layer":"F.Cu","x_mm":39,"y_mm":6,"nets":["GND","GPS_3V3","GPS_5V_IN","unconnected-(U403-NC-Pad4)"]}
{"reference":"C402","layer":"F.Cu","x_mm":43,"y_mm":7,"nets":["GND","GPS_3V3"]}
{"reference":"R401","layer":"F.Cu","x_mm":36.5,"y_mm":10.2,"nets":["+5V","GPS_5V_IN"]}
{"reference":"U121","layer":"F.Cu","x_mm":47,"y_mm":26.5,"nets":["","5V_BST","5V_EN","5V_FB","5V_PGOOD","5V_RON","5V_SW","5V_VIN","GND"]}
{"reference":"U501","layer":"B.Cu","x_mm":18.5,"y_mm":25.5,"nets":["","+5V","GND","OIL_DVDT","OIL_EFUSE_OUT","OIL_EFUSE_RTN","OIL_ILIM","OIL_OVP","OIL_POWER_FAULT_N","OIL_SHDN","OIL_UVLO","unconnected-(U501-IMON-Pad10)","unconnected-(U501-MODE-Pad6)","unconnected-(U501-NC1-Pad4)","unconnected-(U501-NC2-Pad13)"]}</x:v>
      </x:c>
      <x:c r="K280" s="104" t="str">
        <x:v>audit/board_vetting_20260908/lanes/power_evidence/native_power_objects.json — parts.U403,C402,R401,U121,U501
audit/board_vetting_20260908/lanes/power_evidence/power_calculations.json — GPS_LDO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
audit/board_vetting_20260908/lanes/ANALOG_THERMAL_BOARD_VETTING.md — BV-ADC-01 actual distributed reservoir/clamp: 25.841 mm U501.15 to D502.1 path; local OUT−RTN limitation</x:v>
      </x:c>
      <x:c r="L280" s="104" t="str">
        <x:v>Accept bounded total telemetry reset or add GPS branch current limiting. Measure fault recovery and external containment.</x:v>
      </x:c>
      <x:c r="M280" s="104" t="str">
        <x:v>NO</x:v>
      </x:c>
      <x:c r="N280" s="104" t="str">
        <x:v>YES</x:v>
      </x:c>
      <x:c r="O280" s="104" t="str">
        <x:v>P1</x:v>
      </x:c>
    </x:row>
    <x:row r="281" ht="320" customHeight="1">
      <x:c r="A281" s="104" t="str">
        <x:v>FMEA-07</x:v>
      </x:c>
      <x:c r="B281" s="104" t="str">
        <x:v>Failure analysis and system safety</x:v>
      </x:c>
      <x:c r="C281" s="104" t="str">
        <x:v>Stuck/range/rate/stale checks distinguish limitations from guaranteed fault detection.</x:v>
      </x:c>
      <x:c r="D281" s="104" t="str">
        <x:v>Oil senses excitation separately and applies calibrated ratio validity. GPS parsing rejects malformed fields; CAN uses500 ms freshness. In-range sensor bias or stuck values can still be plausible.</x:v>
      </x:c>
      <x:c r="E281" s="104" t="str">
        <x:v>Actual circuit and software controls reduce wrong/stale reporting without guaranteeing detection of every plausible sensor fault.</x:v>
      </x:c>
      <x:c r="F281" s="104" t="str">
        <x:v>CALCULATED</x:v>
      </x:c>
      <x:c r="G281" s="104" t="str">
        <x:v>OPEN</x:v>
      </x:c>
      <x:c r="H281" s="104" t="str">
        <x:v>OPEN</x:v>
      </x:c>
      <x:c r="I281" s="104" t="str">
        <x:v>Native KiCad pad/net extraction; exact selected-part comparison; deterministic calculations and circuit-state tracing. No physical pass is inferred.</x:v>
      </x:c>
      <x:c r="J281" s="104" t="str">
        <x:v>{"reference":"U502","layer":"B.Cu","x_mm":78.5,"y_mm":30.5,"nets":["+3V3","GND","OIL_AMP_OUT","OIL_EXC_AMP_OUT","OIL_EXC_FB","OIL_EXC_FILTERED","OIL_FB","OIL_FILTERED"]}
{"reference":"R511","layer":"B.Cu","x_mm":82.6,"y_mm":38.6,"nets":["OIL_FILTERED","OIL_SIG"]}
{"reference":"R521","layer":"B.Cu","x_mm":75,"y_mm":39.3,"nets":["OIL_5V","OIL_EXC_FILTERED"]}
{"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x:v>
      </x:c>
      <x:c r="K281" s="104" t="str">
        <x:v>audit/board_vetting_20260908/lanes/power_evidence/native_power_objects.json — parts.U502,R511,R521,U201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1" s="104" t="str">
        <x:v>Define required stuck/rate detection and test dynamic excitation, matched ADC response and stale handling.</x:v>
      </x:c>
      <x:c r="M281" s="104" t="str">
        <x:v>YES</x:v>
      </x:c>
      <x:c r="N281" s="104" t="str">
        <x:v>YES</x:v>
      </x:c>
      <x:c r="O281" s="104" t="str">
        <x:v>P1</x:v>
      </x:c>
    </x:row>
    <x:row r="282" ht="260" customHeight="1">
      <x:c r="A282" s="104" t="str">
        <x:v>FMEA-08</x:v>
      </x:c>
      <x:c r="B282" s="104" t="str">
        <x:v>Failure analysis and system safety</x:v>
      </x:c>
      <x:c r="C282" s="104" t="str">
        <x:v>Risk register names acceptance authority; no unstated claim of universal single-fault tolerance.</x:v>
      </x:c>
      <x:c r="D282" s="104" t="str">
        <x:v>Actual residuals include pre-fuse RAW shorts, no independent rail OVP, CAN electrical loading faults, shared-rail GPS collapse, Tag back-power and unbounded RC reset cases.</x:v>
      </x:c>
      <x:c r="E282" s="104" t="str">
        <x:v>Each residual is tied to named components, nets and failure mechanisms, separate from ordinary function checks.</x:v>
      </x:c>
      <x:c r="F282" s="104" t="str">
        <x:v>HOLD</x:v>
      </x:c>
      <x:c r="G282" s="104" t="str">
        <x:v>OPEN</x:v>
      </x:c>
      <x:c r="H282" s="104" t="str">
        <x:v>CLOSED</x:v>
      </x:c>
      <x:c r="I282" s="104" t="str">
        <x:v>Native KiCad pad/net extraction; exact selected-part comparison; deterministic calculations and circuit-state tracing. No physical pass is inferred.</x:v>
      </x:c>
      <x:c r="J282" s="104" t="str">
        <x:v>{"reference":"F1","layer":"F.Cu","x_mm":8.3,"y_mm":23.5,"nets":["","CANH","CANL","GND","OIL_5V","OIL_SIG","RAW_12V","unconnected-(F1-SPARE_NC-Pad10)","unconnected-(F1-SPARE_NC-Pad11)","unconnected-(F1-SPARE_NC-Pad12)","unconnected-(F1-SPARE_NC-Pad4)"]}
{"reference":"F101","layer":"F.Cu","x_mm":10,"y_mm":32.5,"nets":["FUSED_12V","RAW_12V"]}
{"reference":"U121","layer":"F.Cu","x_mm":47,"y_mm":26.5,"nets":["","5V_BST","5V_EN","5V_FB","5V_PGOOD","5V_RON","5V_SW","5V_VIN","GND"]}
{"reference":"U151","layer":"B.Cu","x_mm":35,"y_mm":13,"nets":["","3V3_BOOT","3V3_PGOOD","3V3_SOURCE","3V3_SW","3V3_VCC_INTERNAL","3V3_VIN","GND","unconnected-(U151-NC-Pad14)"]}
{"reference":"U403","layer":"F.Cu","x_mm":39,"y_mm":6,"nets":["GND","GPS_3V3","GPS_5V_IN","unconnected-(U403-NC-Pad4)"]}
{"reference":"U301","layer":"B.Cu","x_mm":20.4,"y_mm":9.5,"nets":["","+3V3","CANH","CANL","CAN_RXD","CAN_TXD","GND"]}
{"reference":"J201","layer":"F.Cu","x_mm":71,"y_mm":6,"nets":["","+3V3","ESP_EN","ESP_GPIO0","GND","UART0_RX","UART0_TX"]}</x:v>
      </x:c>
      <x:c r="K282" s="104" t="str">
        <x:v>audit/board_vetting_20260908/lanes/power_evidence/native_power_objects.json — parts.F1,F101,U121,U151,U403,U301,J201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2" s="104" t="str">
        <x:v>Bound harness/vehicle energy consequences and accept or remediate each residual. Delegated judgment is not physical test evidence.</x:v>
      </x:c>
      <x:c r="M282" s="104" t="str">
        <x:v>NO</x:v>
      </x:c>
      <x:c r="N282" s="104" t="str">
        <x:v>YES</x:v>
      </x:c>
      <x:c r="O282" s="104" t="str">
        <x:v>P0</x:v>
      </x:c>
    </x:row>
    <x:row r="283" ht="350" customHeight="1">
      <x:c r="A283" s="104" t="str">
        <x:v>FMEA-09</x:v>
      </x:c>
      <x:c r="B283" s="104" t="str">
        <x:v>Failure analysis and system safety</x:v>
      </x:c>
      <x:c r="C283" s="104" t="str">
        <x:v>Fault/status definitions and user instructions make limitations clear.</x:v>
      </x:c>
      <x:c r="D283" s="104" t="str">
        <x:v>Test points distinguish protected input,5 V,3V3,GPS and oil source/connector nodes. Firmware reports validity, reset and fault diagnostics. No telemetry alarm is claimed as vehicle protection.</x:v>
      </x:c>
      <x:c r="E283" s="104" t="str">
        <x:v>Diagnostics aid fault localization. Consumer instructions must not encourage bypassing fuses or applying incompatible power.</x:v>
      </x:c>
      <x:c r="F283" s="104" t="str">
        <x:v>OPEN</x:v>
      </x:c>
      <x:c r="G283" s="104" t="str">
        <x:v>OPEN</x:v>
      </x:c>
      <x:c r="H283" s="104" t="str">
        <x:v>OPEN</x:v>
      </x:c>
      <x:c r="I283" s="104" t="str">
        <x:v>Native KiCad pad/net extraction; exact selected-part comparison; deterministic calculations and circuit-state tracing. No physical pass is inferred.</x:v>
      </x:c>
      <x:c r="J283" s="104" t="str">
        <x:v>{"reference":"U201","layer":"F.Cu","x_mm":81.504766,"y_mm":23,"nets":["","+3V3","ADC_NODE","CAN_RX_MCU","CAN_TX_MCU","ESP_EN","ESP_GPIO0","GND","GPS_PPS_MCU","GPS_TX_MCU","GPS_TX_MODULE_BUFFERED","LED_BLE","LED_CAN","LED_GPS","LED_OIL","LED_PWR","LED_SYS","OIL_EXCITATION_ADC","UART0_RX","UART0_TX","unconnected-(U201-IO11-Pad19)","unconnected-(U201-IO12-Pad20)","unconnected-(U201-IO13-Pad21)","unconnected-(U201-IO14-Pad22)","unconnected-(U201-IO19-Pad13)","unconnected-(U201-IO20-Pad14)","unconnected-(U201-IO21-Pad23)","unconnected-(U201-IO3-Pad15)","unconnected-(U201-IO35-Pad28)","unconnected-(U201-IO36-Pad29)","unconnected-(U201-IO37-Pad30)","unconnected-(U201-IO38-Pad31)","unconnected-(U201-IO39-Pad32)","unconnected-(U201-IO40-Pad33)","unconnected-(U201-IO41-Pad34)","unconnected-(U201-IO42-Pad35)","unconnected-(U201-IO45-Pad26)","unconnected-(U201-IO46-Pad16)","unconnected-(U201-IO47-Pad24)","unconnected-(U201-IO48-Pad25)"]}
{"reference":"J201","layer":"F.Cu","x_mm":71,"y_mm":6,"nets":["","+3V3","ESP_EN","ESP_GPIO0","GND","UART0_RX","UART0_TX"]}
{"reference":"R109","layer":"F.Cu","x_mm":34.2,"y_mm":23,"nets":["BUCK_FEED","PROTECTED_12V"]}
{"reference":"R128","layer":"F.Cu","x_mm":68,"y_mm":38,"nets":["+5V","5V_SOURCE"]}
{"reference":"R153","layer":"B.Cu","x_mm":41,"y_mm":21.2,"nets":["+3V3","3V3_SOURCE"]}
{"reference":"R507","layer":"F.Cu","x_mm":17.5,"y_mm":15.5,"nets":["OIL_5V","OIL_EFUSE_OUT"]}</x:v>
      </x:c>
      <x:c r="K283" s="104" t="str">
        <x:v>audit/board_vetting_20260908/lanes/power_evidence/native_power_objects.json — parts.U201,J201,R109,R128,R153,R507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3" s="104" t="str">
        <x:v>Complete user/service procedures and diagnostic fault tests. Engineering bring-up instructions are not automatically consumer instructions.</x:v>
      </x:c>
      <x:c r="M283" s="104" t="str">
        <x:v>NO</x:v>
      </x:c>
      <x:c r="N283" s="104" t="str">
        <x:v>YES</x:v>
      </x:c>
      <x:c r="O283" s="104" t="str">
        <x:v>P1</x:v>
      </x:c>
    </x:row>
    <x:row r="284" ht="185" customHeight="1">
      <x:c r="A284" s="104" t="str">
        <x:v>FMEA-10</x:v>
      </x:c>
      <x:c r="B284" s="104" t="str">
        <x:v>Failure analysis and system safety</x:v>
      </x:c>
      <x:c r="C284" s="104" t="str">
        <x:v>Non-interference proof includes bus loading, power shorts and back-feed, not only absence of application transmit calls.</x:v>
      </x:c>
      <x:c r="D284" s="104" t="str">
        <x:v>Actual receive-only population has R301 DNP and open120 ohm termination. Direct CAN and power fault paths remain conductive, irrespective of firmware.</x:v>
      </x:c>
      <x:c r="E284" s="104" t="str">
        <x:v>Telemetry-only is correctly treated as a functional restriction rather than a proof of universal electrical noninterference.</x:v>
      </x:c>
      <x:c r="F284" s="104" t="str">
        <x:v>VERIFIED</x:v>
      </x:c>
      <x:c r="G284" s="104" t="str">
        <x:v>OPEN</x:v>
      </x:c>
      <x:c r="H284" s="104" t="str">
        <x:v>OPEN</x:v>
      </x:c>
      <x:c r="I284" s="104" t="str">
        <x:v>Native KiCad pad/net extraction; exact selected-part comparison; deterministic calculations and circuit-state tracing. No physical pass is inferred.</x:v>
      </x:c>
      <x:c r="J284" s="104" t="str">
        <x:v>{"reference":"R301","layer":"B.Cu","x_mm":26,"y_mm":8,"nets":["CAN_TXD","CAN_TX_MCU"]}
{"reference":"R306","layer":"B.Cu","x_mm":14.8,"y_mm":3.8,"nets":["CANH","CAN_TERM_LINK"]}
{"reference":"U301","layer":"B.Cu","x_mm":20.4,"y_mm":9.5,"nets":["","+3V3","CANH","CANL","CAN_RXD","CAN_TXD","GND"]}
{"reference":"D301","layer":"B.Cu","x_mm":14.6,"y_mm":9.5,"nets":["CANH","CANL","GND"]}
{"reference":"F1","layer":"F.Cu","x_mm":8.3,"y_mm":23.5,"nets":["","CANH","CANL","GND","OIL_5V","OIL_SIG","RAW_12V","unconnected-(F1-SPARE_NC-Pad10)","unconnected-(F1-SPARE_NC-Pad11)","unconnected-(F1-SPARE_NC-Pad12)","unconnected-(F1-SPARE_NC-Pad4)"]}</x:v>
      </x:c>
      <x:c r="K284" s="104" t="str">
        <x:v>audit/board_vetting_20260908/lanes/power_evidence/native_power_objects.json — parts.R301,R306,U301,D301,F1
audit/board_vetting_20260908/lanes/power_evidence/power_calculations.json — Supporting calculations; use native objects and power_evidence/README.md for the circuit-state basis
calculations/POWER_ARCHITECTURE_REVIEW.md — Current topology, selected parts and operating envelope
audit/board_vetting_20260908/lanes/power_evidence/FAULT_DELTAS.csv — BPF-01 through BPF-22
audit/erb_20260907/lanes/POWER_SINGLE_FAULT_FMEA.csv — PF-01 through PF-36; current functional consequences independently traced
audit/board_vetting_20260908/lanes/power_evidence/README.md — Direct checks, numerical deltas, source limits and reproduction
audit/board_vetting_20260908/lanes/power_evidence/README.md — Direct checks, numerical deltas, source limits and reproduction</x:v>
      </x:c>
      <x:c r="L284" s="104" t="str">
        <x:v>Vehicle bus loading, EMC, ground-loss and fault-containment qualification remain open.</x:v>
      </x:c>
      <x:c r="M284" s="104" t="str">
        <x:v>YES</x:v>
      </x:c>
      <x:c r="N284" s="104" t="str">
        <x:v>YES</x:v>
      </x:c>
      <x:c r="O284" s="104" t="str">
        <x:v>P0</x:v>
      </x:c>
    </x:row>
    <x:row r="285" ht="125" customHeight="1">
      <x:c r="A285" s="104" t="str">
        <x:v>CCB-01</x:v>
      </x:c>
      <x:c r="B285" s="104" t="str">
        <x:v>Change control and release authority</x:v>
      </x:c>
      <x:c r="C285" s="104" t="str">
        <x:v>Issue-to-change-to-test traceability includes prevention of recurring library or process errors.</x:v>
      </x:c>
      <x:c r="D285" s="104" t="str">
        <x:v>Original defect/component history is retained and known pin/net failures have targeted new checks. The controlled redline crosswalk still includes outdated build/PCB counts and pending statements.</x:v>
      </x:c>
      <x:c r="E285" s="104" t="str">
        <x:v>Prior CLOSED overstated an up-to-date issue-to-change-to-test chain across all records.</x:v>
      </x:c>
      <x:c r="F285" s="104" t="str">
        <x:v>OPEN</x:v>
      </x:c>
      <x:c r="G285" s="104" t="str">
        <x:v>OPEN</x:v>
      </x:c>
      <x:c r="H285" s="104" t="str">
        <x:v>CLOSED</x:v>
      </x:c>
      <x:c r="I285" s="104" t="str">
        <x:v>Direct inspection of named current source, configuration/requirements and source-bound evidence; native geometry/circuit details cross-referenced to the specialist lanes.</x:v>
      </x:c>
      <x:c r="J285" s="104" t="str">
        <x:v>GR86_CCA_RevB PCB SHA256 f23c4385941ab87ff8dc43a9206b3c1a3de1032e80f3947fb21943ea2b56e9ca</x:v>
      </x:c>
      <x:c r="K285" s="104" t="str">
        <x:v>audit/CONTROLLED_REDLINE_CROSSWALK.csv — all11 historical rows
audit/REV_A_COMPONENT_MASTER.csv — original component/failure history
audit/board_vetting_20260908/BOARD_VETTING_SUMMARY.md — specific board/software/document deltas and unresolved evidence</x:v>
      </x:c>
      <x:c r="L285" s="104" t="str">
        <x:v>Refresh every governing redline to current source-based closure and separate physical pending evidence.</x:v>
      </x:c>
      <x:c r="M285" s="104" t="str">
        <x:v>YES</x:v>
      </x:c>
      <x:c r="N285" s="104" t="str">
        <x:v>NO</x:v>
      </x:c>
      <x:c r="O285" s="104" t="str">
        <x:v>P0</x:v>
      </x:c>
    </x:row>
    <x:row r="286" ht="125" customHeight="1">
      <x:c r="A286" s="104" t="str">
        <x:v>CCB-02</x:v>
      </x:c>
      <x:c r="B286" s="104" t="str">
        <x:v>Change control and release authority</x:v>
      </x:c>
      <x:c r="C286" s="104" t="str">
        <x:v>Engineering change package identifies all affected artifacts and users.</x:v>
      </x:c>
      <x:c r="D286" s="104" t="str">
        <x:v>Native form/fit deltas, actual connector rotation,6mm ESP body overhang, current calibration and GPIO/LED effects are now explicit. Enclosure/harness/field effectivity remains incomplete.</x:v>
      </x:c>
      <x:c r="E286" s="104" t="str">
        <x:v>Bare-outline preservation had understated assembled fit changes.</x:v>
      </x:c>
      <x:c r="F286" s="104" t="str">
        <x:v>OPEN</x:v>
      </x:c>
      <x:c r="G286" s="104" t="str">
        <x:v>OPEN</x:v>
      </x:c>
      <x:c r="H286" s="104" t="str">
        <x:v>OPEN</x:v>
      </x:c>
      <x:c r="I286" s="104" t="str">
        <x:v>Direct inspection of named current source, configuration/requirements and source-bound evidence; native geometry/circuit details cross-referenced to the specialist lanes.</x:v>
      </x:c>
      <x:c r="J286" s="104" t="str">
        <x:v>GR86_CCA_RevB PCB SHA256 f23c4385941ab87ff8dc43a9206b3c1a3de1032e80f3947fb21943ea2b56e9ca</x:v>
      </x:c>
      <x:c r="K286" s="104" t="str">
        <x:v>audit/board_vetting_20260908/lanes/mechanics.json — native envelope, F1, Tag and probe measurements
qualification/productization/FIRMWARE_PRODUCT_REVIEW.md — current2.1.1 source contract, calibration and state limits</x:v>
      </x:c>
      <x:c r="L286" s="104" t="str">
        <x:v>Release the actual assembled envelope and compatible harness/firmware/calibration effectivity.</x:v>
      </x:c>
      <x:c r="M286" s="104" t="str">
        <x:v>YES</x:v>
      </x:c>
      <x:c r="N286" s="104" t="str">
        <x:v>YES</x:v>
      </x:c>
      <x:c r="O286" s="104" t="str">
        <x:v>P0</x:v>
      </x:c>
    </x:row>
    <x:row r="287" ht="125" customHeight="1">
      <x:c r="A287" s="104" t="str">
        <x:v>CCB-03</x:v>
      </x:c>
      <x:c r="B287" s="104" t="str">
        <x:v>Change control and release authority</x:v>
      </x:c>
      <x:c r="C287" s="104" t="str">
        <x:v>Equivalence and regression assessment includes RF, power, protection and analog behavior.</x:v>
      </x:c>
      <x:c r="D287" s="104" t="str">
        <x:v>Current selected-part native maps and direct geometry distinguish package variants. New temperature/stackup/parasitic assumptions are explicitly electrical inputs.</x:v>
      </x:c>
      <x:c r="E287" s="104" t="str">
        <x:v>Package outline or nominal impedance is not being used alone as equivalence proof. Contradictory old summaries are separately recorded.</x:v>
      </x:c>
      <x:c r="F287" s="104" t="str">
        <x:v>VERIFIED</x:v>
      </x:c>
      <x:c r="G287" s="104" t="str">
        <x:v>CLOSED</x:v>
      </x:c>
      <x:c r="H287" s="104" t="str">
        <x:v>CLOSED</x:v>
      </x:c>
      <x:c r="I287" s="104" t="str">
        <x:v>Direct inspection of named current source, configuration/requirements and source-bound evidence; native geometry/circuit details cross-referenced to the specialist lanes.</x:v>
      </x:c>
      <x:c r="J287" s="104" t="str">
        <x:v>GR86_CCA_RevB PCB SHA256 f23c4385941ab87ff8dc43a9206b3c1a3de1032e80f3947fb21943ea2b56e9ca</x:v>
      </x:c>
      <x:c r="K287" s="104" t="str">
        <x:v>audit/board_vetting_20260908/lanes/layout_mfg.json — actual land patterns, converter loops and manufacturing geometry
audit/board_vetting_20260908/lanes/power.json — current part stress, fault and threshold calculations
audit/board_vetting_20260908/lanes/rf_ground.json — actual copper graph, vias, RF and signal reference paths</x:v>
      </x:c>
      <x:c r="L287" s="104" t="str">
        <x:v>Requalify affected electrical evidence on substitutions or stackup edits.</x:v>
      </x:c>
      <x:c r="M287" s="104" t="str">
        <x:v>YES</x:v>
      </x:c>
      <x:c r="N287" s="104" t="str">
        <x:v>NO</x:v>
      </x:c>
      <x:c r="O287" s="104" t="str">
        <x:v>P1</x:v>
      </x:c>
    </x:row>
    <x:row r="288" ht="125" customHeight="1">
      <x:c r="A288" s="104" t="str">
        <x:v>CCB-04</x:v>
      </x:c>
      <x:c r="B288" s="104" t="str">
        <x:v>Change control and release authority</x:v>
      </x:c>
      <x:c r="C288" s="104" t="str">
        <x:v>Serial/lot disposition, rework instructions and compatibility labels.</x:v>
      </x:c>
      <x:c r="D288" s="104" t="str">
        <x:v>Rev A and Rev B source identities and current firmware version are explicit. Physical serial/lot/harness labels and installed rework effectivity are not supplied.</x:v>
      </x:c>
      <x:c r="E288" s="104" t="str">
        <x:v>Source revision control is present; per-unit effectivity is not established.</x:v>
      </x:c>
      <x:c r="F288" s="104" t="str">
        <x:v>OPEN</x:v>
      </x:c>
      <x:c r="G288" s="104" t="str">
        <x:v>OPEN</x:v>
      </x:c>
      <x:c r="H288" s="104" t="str">
        <x:v>OPEN</x:v>
      </x:c>
      <x:c r="I288" s="104" t="str">
        <x:v>Direct inspection of named current source, configuration/requirements and source-bound evidence; native geometry/circuit details cross-referenced to the specialist lanes.</x:v>
      </x:c>
      <x:c r="J288" s="104" t="str">
        <x:v>GR86_CCA_RevB PCB SHA256 f23c4385941ab87ff8dc43a9206b3c1a3de1032e80f3947fb21943ea2b56e9ca</x:v>
      </x:c>
      <x:c r="K288" s="104" t="str">
        <x:v>audit/board_vetting_20260908/BASELINE_BINDING.json — 3766 predecessor files and all critical source hashes verified
audit/board_vetting_20260908/lanes/mechanics.json — native envelope, F1, Tag and probe measurements
qualification/productization/FIRMWARE_PRODUCT_REVIEW.md — current2.1.1 source contract, calibration and state limits</x:v>
      </x:c>
      <x:c r="L288" s="104" t="str">
        <x:v>Define and apply physical unit/harness/version labels and records before deployment.</x:v>
      </x:c>
      <x:c r="M288" s="104" t="str">
        <x:v>YES</x:v>
      </x:c>
      <x:c r="N288" s="104" t="str">
        <x:v>YES</x:v>
      </x:c>
      <x:c r="O288" s="104" t="str">
        <x:v>P0</x:v>
      </x:c>
    </x:row>
    <x:row r="289" ht="125" customHeight="1">
      <x:c r="A289" s="104" t="str">
        <x:v>CCB-05</x:v>
      </x:c>
      <x:c r="B289" s="104" t="str">
        <x:v>Change control and release authority</x:v>
      </x:c>
      <x:c r="C289" s="104" t="str">
        <x:v>Authorized rework drawing and evidence; no prototype repair silently becomes production standard.</x:v>
      </x:c>
      <x:c r="D289" s="104" t="str">
        <x:v>Rev A white-wire/bypass modifications remain recorded as historical prototype evidence. Standard Rev B population has only declared manual GPS installation.</x:v>
      </x:c>
      <x:c r="E289" s="104" t="str">
        <x:v>No source evidence promotes Rev A bodges into unrecorded standard Rev B wiring.</x:v>
      </x:c>
      <x:c r="F289" s="104" t="str">
        <x:v>VERIFIED</x:v>
      </x:c>
      <x:c r="G289" s="104" t="str">
        <x:v>CLOSED</x:v>
      </x:c>
      <x:c r="H289" s="104" t="str">
        <x:v>CLOSED</x:v>
      </x:c>
      <x:c r="I289" s="104" t="str">
        <x:v>Direct inspection of named current source, configuration/requirements and source-bound evidence; native geometry/circuit details cross-referenced to the specialist lanes.</x:v>
      </x:c>
      <x:c r="J289" s="104" t="str">
        <x:v>GR86_CCA_RevB PCB SHA256 f23c4385941ab87ff8dc43a9206b3c1a3de1032e80f3947fb21943ea2b56e9ca</x:v>
      </x:c>
      <x:c r="K289" s="104" t="str">
        <x:v>audit/REV_A_COMPONENT_MASTER.csv — bench rework and component dispositions
audit/board_vetting_20260908/lanes/layout_mfg.json — actual land patterns, converter loops and manufacturing geometry
qualification/productization/PRODUCT_REQUIREMENTS.md — requirements1–8 and accepted inputs</x:v>
      </x:c>
      <x:c r="L289" s="104" t="str">
        <x:v>Control any future first-article rework separately.</x:v>
      </x:c>
      <x:c r="M289" s="104" t="str">
        <x:v>YES</x:v>
      </x:c>
      <x:c r="N289" s="104" t="str">
        <x:v>NO</x:v>
      </x:c>
      <x:c r="O289" s="104" t="str">
        <x:v>P1</x:v>
      </x:c>
    </x:row>
    <x:row r="290" ht="125" customHeight="1">
      <x:c r="A290" s="104" t="str">
        <x:v>CCB-06</x:v>
      </x:c>
      <x:c r="B290" s="104" t="str">
        <x:v>Change control and release authority</x:v>
      </x:c>
      <x:c r="C290" s="104" t="str">
        <x:v>Clean release build and manifest comparison.</x:v>
      </x:c>
      <x:c r="D290" s="104" t="str">
        <x:v>Existing exact fabrication files and corrected2.1.1 packet match saved inputs. Export tooling still requires a clean full regeneration demonstration; isolated parity is not that demonstration.</x:v>
      </x:c>
      <x:c r="E290" s="104" t="str">
        <x:v>The prior package proves current parity, not complete future change-to-output reproducibility.</x:v>
      </x:c>
      <x:c r="F290" s="104" t="str">
        <x:v>OPEN</x:v>
      </x:c>
      <x:c r="G290" s="104" t="str">
        <x:v>OPEN</x:v>
      </x:c>
      <x:c r="H290" s="104" t="str">
        <x:v>OPEN</x:v>
      </x:c>
      <x:c r="I290" s="104" t="str">
        <x:v>Direct inspection of named current source, configuration/requirements and source-bound evidence; native geometry/circuit details cross-referenced to the specialist lanes.</x:v>
      </x:c>
      <x:c r="J290" s="104" t="str">
        <x:v>GR86_CCA_RevB PCB SHA256 f23c4385941ab87ff8dc43a9206b3c1a3de1032e80f3947fb21943ea2b56e9ca</x:v>
      </x:c>
      <x:c r="K290" s="104" t="str">
        <x:v>audit/erb_20260907/manufacturing/PACKET_SYNC_RECORD.json — exact packet parity and unchanged artwork
tools/release_checks/README.md — remaining drawing-export relocation limitation
audit/board_vetting_20260908/lanes/layout_mfg.json — actual land patterns, converter loops and manufacturing geometry</x:v>
      </x:c>
      <x:c r="L290" s="104" t="str">
        <x:v>Run a controlled clean full release export and compare all resulting source/artwork/firmware files.</x:v>
      </x:c>
      <x:c r="M290" s="104" t="str">
        <x:v>YES</x:v>
      </x:c>
      <x:c r="N290" s="104" t="str">
        <x:v>NO</x:v>
      </x:c>
      <x:c r="O290" s="104" t="str">
        <x:v>P0</x:v>
      </x:c>
    </x:row>
    <x:row r="291" ht="125" customHeight="1">
      <x:c r="A291" s="104" t="str">
        <x:v>CCB-07</x:v>
      </x:c>
      <x:c r="B291" s="104" t="str">
        <x:v>Change control and release authority</x:v>
      </x:c>
      <x:c r="C291" s="104" t="str">
        <x:v>Impact analysis identifies invalidated evidence and required regression.</x:v>
      </x:c>
      <x:c r="D291" s="104" t="str">
        <x:v>Firmware source changes were rebuilt/regressed, while frozen CAD/artwork stayed byte-identical. Further source review found stale active-looking statements and new timing/layout deltas.</x:v>
      </x:c>
      <x:c r="E291" s="104" t="str">
        <x:v>An evidence-impact policy exists, but complete reevaluation of all affected summaries was not established; prior CLOSED downgraded.</x:v>
      </x:c>
      <x:c r="F291" s="104" t="str">
        <x:v>OPEN</x:v>
      </x:c>
      <x:c r="G291" s="104" t="str">
        <x:v>OPEN</x:v>
      </x:c>
      <x:c r="H291" s="104" t="str">
        <x:v>CLOSED</x:v>
      </x:c>
      <x:c r="I291" s="104" t="str">
        <x:v>Direct inspection of named current source, configuration/requirements and source-bound evidence; native geometry/circuit details cross-referenced to the specialist lanes.</x:v>
      </x:c>
      <x:c r="J291" s="104" t="str">
        <x:v>GR86_CCA_RevB PCB SHA256 f23c4385941ab87ff8dc43a9206b3c1a3de1032e80f3947fb21943ea2b56e9ca</x:v>
      </x:c>
      <x:c r="K291" s="104" t="str">
        <x:v>audit/board_vetting_20260908/BASELINE_BINDING.json — 3766 predecessor files and all critical source hashes verified
audit/erb_20260907/CURRENT_FIRMWARE_SUPERSESSION.md — current compiled identity and unchanged old transfer equations
audit/board_vetting_20260908/BOARD_VETTING_SUMMARY.md — specific board/software/document deltas and unresolved evidence</x:v>
      </x:c>
      <x:c r="L291" s="104" t="str">
        <x:v>Update affected conclusions and exact current authority links; repeat relevant tests after corrections.</x:v>
      </x:c>
      <x:c r="M291" s="104" t="str">
        <x:v>YES</x:v>
      </x:c>
      <x:c r="N291" s="104" t="str">
        <x:v>NO</x:v>
      </x:c>
      <x:c r="O291" s="104" t="str">
        <x:v>P1</x:v>
      </x:c>
    </x:row>
    <x:row r="292" ht="125" customHeight="1">
      <x:c r="A292" s="104" t="str">
        <x:v>CCB-08</x:v>
      </x:c>
      <x:c r="B292" s="104" t="str">
        <x:v>Change control and release authority</x:v>
      </x:c>
      <x:c r="C292" s="104" t="str">
        <x:v>Signed technical rationale, residual risk and closure/expiry conditions.</x:v>
      </x:c>
      <x:c r="D292" s="104" t="str">
        <x:v>Six native DRC exceptions are exact graphic-only cases. They do not waive new electrical/layout/firmware deltas or process/physical evidence.</x:v>
      </x:c>
      <x:c r="E292" s="104" t="str">
        <x:v>Broad technical acceptance, limits and expiry are not closed by these narrow exceptions.</x:v>
      </x:c>
      <x:c r="F292" s="104" t="str">
        <x:v>OPEN</x:v>
      </x:c>
      <x:c r="G292" s="104" t="str">
        <x:v>OPEN</x:v>
      </x:c>
      <x:c r="H292" s="104" t="str">
        <x:v>OPEN</x:v>
      </x:c>
      <x:c r="I292" s="104" t="str">
        <x:v>Direct inspection of named current source, configuration/requirements and source-bound evidence; native geometry/circuit details cross-referenced to the specialist lanes.</x:v>
      </x:c>
      <x:c r="J292" s="104" t="str">
        <x:v>GR86_CCA_RevB PCB SHA256 f23c4385941ab87ff8dc43a9206b3c1a3de1032e80f3947fb21943ea2b56e9ca</x:v>
      </x:c>
      <x:c r="K292" s="104" t="str">
        <x:v>audit/productization/PCB_DRC_WAIVERS.json — exact six graphic exceptions
audit/board_vetting_20260908/BOARD_VETTING_SUMMARY.md — specific board/software/document deltas and unresolved evidence</x:v>
      </x:c>
      <x:c r="L292" s="104" t="str">
        <x:v>Retain narrow graphic waivers and explicitly disposition each new risk at its relevant gate.</x:v>
      </x:c>
      <x:c r="M292" s="104" t="str">
        <x:v>YES</x:v>
      </x:c>
      <x:c r="N292" s="104" t="str">
        <x:v>NO</x:v>
      </x:c>
      <x:c r="O292" s="104" t="str">
        <x:v>P0</x:v>
      </x:c>
    </x:row>
    <x:row r="293" ht="125" customHeight="1">
      <x:c r="A293" s="104" t="str">
        <x:v>CCB-09</x:v>
      </x:c>
      <x:c r="B293" s="104" t="str">
        <x:v>Change control and release authority</x:v>
      </x:c>
      <x:c r="C293" s="104" t="str">
        <x:v>Gate Decisions sheet completed by responsible reviewers; no workbook formula grants approval.</x:v>
      </x:c>
      <x:c r="D293" s="104" t="str">
        <x:v>The user delegated design judgment; current records retain separate fabrication, energization and vehicle-operation decisions. No order or operation occurred in this source review.</x:v>
      </x:c>
      <x:c r="E293" s="104" t="str">
        <x:v>No automatic spreadsheet closure is being treated as permission to act on hardware.</x:v>
      </x:c>
      <x:c r="F293" s="104" t="str">
        <x:v>VERIFIED</x:v>
      </x:c>
      <x:c r="G293" s="104" t="str">
        <x:v>CLOSED</x:v>
      </x:c>
      <x:c r="H293" s="104" t="str">
        <x:v>CLOSED</x:v>
      </x:c>
      <x:c r="I293" s="104" t="str">
        <x:v>Direct inspection of named current source, configuration/requirements and source-bound evidence; native geometry/circuit details cross-referenced to the specialist lanes.</x:v>
      </x:c>
      <x:c r="J293" s="104" t="str">
        <x:v>GR86_CCA_RevB PCB SHA256 f23c4385941ab87ff8dc43a9206b3c1a3de1032e80f3947fb21943ea2b56e9ca</x:v>
      </x:c>
      <x:c r="K293" s="104" t="str">
        <x:v>HUMAN_REVIEW_REQUIRED.md — delegation and operation boundaries
audit/board_vetting_20260908/BOARD_VETTING_SUMMARY.md — specific board/software/document deltas and unresolved evidence</x:v>
      </x:c>
      <x:c r="L293" s="104" t="str">
        <x:v>None for this decision-separation criterion.</x:v>
      </x:c>
      <x:c r="M293" s="104" t="str">
        <x:v>YES</x:v>
      </x:c>
      <x:c r="N293" s="104" t="str">
        <x:v>NO</x:v>
      </x:c>
      <x:c r="O293" s="104" t="str">
        <x:v>P0</x:v>
      </x:c>
    </x:row>
    <x:row r="294" ht="125" customHeight="1">
      <x:c r="A294" s="104" t="str">
        <x:v>CCB-10</x:v>
      </x:c>
      <x:c r="B294" s="104" t="str">
        <x:v>Change control and release authority</x:v>
      </x:c>
      <x:c r="C294" s="104" t="str">
        <x:v>Final decision package states unresolved items, accepted limitations and signatories without a misleading aggregate pass percentage.</x:v>
      </x:c>
      <x:c r="D294" s="104" t="str">
        <x:v>The direct expected/observed/delta package now identifies concrete design/software/document findings and positive evidence. Remaining criteria and physical evidence prevent product release.</x:v>
      </x:c>
      <x:c r="E294" s="104" t="str">
        <x:v>The review can state current risks more precisely; there is no CE product-release acceptance of all unresolved conditions.</x:v>
      </x:c>
      <x:c r="F294" s="104" t="str">
        <x:v>OPEN</x:v>
      </x:c>
      <x:c r="G294" s="104" t="str">
        <x:v>OPEN</x:v>
      </x:c>
      <x:c r="H294" s="104" t="str">
        <x:v>OPEN</x:v>
      </x:c>
      <x:c r="I294" s="104" t="str">
        <x:v>Direct inspection of named current source, configuration/requirements and source-bound evidence; native geometry/circuit details cross-referenced to the specialist lanes.</x:v>
      </x:c>
      <x:c r="J294" s="104" t="str">
        <x:v>GR86_CCA_RevB PCB SHA256 f23c4385941ab87ff8dc43a9206b3c1a3de1032e80f3947fb21943ea2b56e9ca</x:v>
      </x:c>
      <x:c r="K294" s="104" t="str">
        <x:v>audit/board_vetting_20260908/BOARD_VETTING_SUMMARY.md — specific board/software/document deltas and unresolved evidence</x:v>
      </x:c>
      <x:c r="L294" s="104" t="str">
        <x:v>Close or explicitly bound/accept each release-relevant delta, then qualify the actual product.</x:v>
      </x:c>
      <x:c r="M294" s="104" t="str">
        <x:v>YES</x:v>
      </x:c>
      <x:c r="N294" s="104" t="str">
        <x:v>NO</x:v>
      </x:c>
      <x:c r="O294" s="104" t="str">
        <x:v>P0</x:v>
      </x:c>
    </x:row>
  </x:sheetData>
  <x:mergeCells>
    <x:mergeCell ref="A1:O1"/>
    <x:mergeCell ref="A2:O2"/>
  </x:mergeCells>
  <x:conditionalFormatting sqref="F5:H294">
    <x:cfRule type="cellIs" dxfId="15" priority="1" operator="equal">
      <x:formula>"KNOWN BROKEN"</x:formula>
    </x:cfRule>
    <x:cfRule type="cellIs" dxfId="16" priority="2" operator="equal">
      <x:formula>"HOLD"</x:formula>
    </x:cfRule>
    <x:cfRule type="cellIs" dxfId="17" priority="3" operator="equal">
      <x:formula>"OPEN"</x:formula>
    </x:cfRule>
    <x:cfRule type="cellIs" dxfId="18" priority="4" operator="equal">
      <x:formula>"CLOSED"</x:formula>
    </x:cfRule>
    <x:cfRule type="cellIs" dxfId="19" priority="5" operator="equal">
      <x:formula>"VERIFIED"</x:formula>
    </x:cfRule>
    <x:cfRule type="cellIs" dxfId="20" priority="6" operator="equal">
      <x:formula>"CALCULATED"</x:formula>
    </x:cfRule>
    <x:cfRule type="cellIs" dxfId="21" priority="7" operator="equal">
      <x:formula>"CORRECTED IN REV B"</x:formula>
    </x:cfRule>
    <x:cfRule type="cellIs" dxfId="22" priority="8" operator="equal">
      <x:formula>"N/A"</x:formula>
    </x:cfRule>
  </x:conditionalFormatting>
  <x:pageMargins left="0.7" right="0.7" top="0.75" bottom="0.75" header="0.3" footer="0.3"/>
  <x:tableParts count="1">
    <x:tablePart xmlns:r="http://schemas.openxmlformats.org/officeDocument/2006/relationships" r:id="R70e9495bf6a544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26" hidden="0" customWidth="1"/>
    <x:col min="3" max="3" width="48" hidden="0" customWidth="1"/>
    <x:col min="4" max="4" width="83" hidden="0" customWidth="1"/>
    <x:col min="5" max="5" width="80" hidden="0" customWidth="1"/>
    <x:col min="6" max="6" width="78" hidden="0" customWidth="1"/>
    <x:col min="7" max="7" width="66" hidden="0" customWidth="1"/>
    <x:col min="8" max="8" width="28" hidden="0" customWidth="1"/>
    <x:col min="9" max="9" width="88" hidden="0" customWidth="1"/>
  </x:cols>
  <x:sheetData>
    <x:row r="1" ht="32" customHeight="1">
      <x:c r="A1" s="244" t="str">
        <x:v>HISTORICAL / SUPERSEDED — Current Deltas | Current review: RVB22 Current</x:v>
      </x:c>
      <x:c r="B1" s="244" t="str">
        <x:v>HISTORICAL | Current Deltas | predecessor evidence retained</x:v>
      </x:c>
      <x:c r="C1" s="244" t="str">
        <x:v>HISTORICAL | Current Deltas | predecessor evidence retained</x:v>
      </x:c>
      <x:c r="D1" s="244" t="str">
        <x:v>HISTORICAL | Current Deltas | predecessor evidence retained</x:v>
      </x:c>
      <x:c r="E1" s="244" t="str">
        <x:v>HISTORICAL | Current Deltas | predecessor evidence retained</x:v>
      </x:c>
      <x:c r="F1" s="244" t="str">
        <x:v>HISTORICAL | Current Deltas | predecessor evidence retained</x:v>
      </x:c>
      <x:c r="G1" s="244" t="str">
        <x:v>HISTORICAL | Current Deltas | predecessor evidence retained</x:v>
      </x:c>
      <x:c r="H1" s="244" t="str">
        <x:v>HISTORICAL | Current Deltas | predecessor evidence retained</x:v>
      </x:c>
      <x:c r="I1" s="140" t="str">
        <x:v>HISTORICAL | Current Deltas | predecessor evidence retained</x:v>
      </x:c>
    </x:row>
    <x:row r="2" ht="55" customHeight="1">
      <x:c r="A2" s="145" t="str">
        <x:v>These dated predecessor observations are preserved. Current source corrections and criterion dispositions are in Online Resolution and Final Review. This historical sheet is not current release authority.</x:v>
      </x:c>
      <x:c r="B2" s="145" t="str">
        <x:v>These dated predecessor observations are preserved. Current source corrections and criterion dispositions are in Online Resolution and Final Review. This historical sheet is not current release authority.</x:v>
      </x:c>
      <x:c r="C2" s="145" t="str">
        <x:v>These dated predecessor observations are preserved. Current source corrections and criterion dispositions are in Online Resolution and Final Review. This historical sheet is not current release authority.</x:v>
      </x:c>
      <x:c r="D2" s="145" t="str">
        <x:v>These dated predecessor observations are preserved. Current source corrections and criterion dispositions are in Online Resolution and Final Review. This historical sheet is not current release authority.</x:v>
      </x:c>
      <x:c r="E2" s="145" t="str">
        <x:v>These dated predecessor observations are preserved. Current source corrections and criterion dispositions are in Online Resolution and Final Review. This historical sheet is not current release authority.</x:v>
      </x:c>
      <x:c r="F2" s="145" t="str">
        <x:v>These dated predecessor observations are preserved. Current source corrections and criterion dispositions are in Online Resolution and Final Review. This historical sheet is not current release authority.</x:v>
      </x:c>
      <x:c r="G2" s="145" t="str">
        <x:v>These dated predecessor observations are preserved. Current source corrections and criterion dispositions are in Online Resolution and Final Review. This historical sheet is not current release authority.</x:v>
      </x:c>
      <x:c r="H2" s="145" t="str">
        <x:v>These dated predecessor observations are preserved. Current source corrections and criterion dispositions are in Online Resolution and Final Review. This historical sheet is not current release authority.</x:v>
      </x:c>
      <x:c r="I2" s="145" t="str">
        <x:v>These dated predecessor observations are preserved. Current source corrections and criterion dispositions are in Online Resolution and Final Review. This historical sheet is not current release authority.</x:v>
      </x:c>
    </x:row>
    <x:row r="3" ht="26" customHeight="1">
      <x:c r="A3" s="104"/>
      <x:c r="B3" s="104"/>
      <x:c r="C3" s="104"/>
      <x:c r="D3" s="104"/>
      <x:c r="E3" s="104"/>
      <x:c r="F3" s="104"/>
      <x:c r="G3" s="104"/>
      <x:c r="H3" s="104"/>
      <x:c r="I3" s="104"/>
    </x:row>
    <x:row r="4" ht="40" customHeight="1">
      <x:c r="A4" s="122" t="str">
        <x:v>ID</x:v>
      </x:c>
      <x:c r="B4" s="122" t="str">
        <x:v>Status</x:v>
      </x:c>
      <x:c r="C4" s="122" t="str">
        <x:v>Scope / discipline</x:v>
      </x:c>
      <x:c r="D4" s="122" t="str">
        <x:v>Actual finding</x:v>
      </x:c>
      <x:c r="E4" s="122" t="str">
        <x:v>Mechanism / delta</x:v>
      </x:c>
      <x:c r="F4" s="122" t="str">
        <x:v>Required action</x:v>
      </x:c>
      <x:c r="G4" s="122" t="str">
        <x:v>Correction this audit</x:v>
      </x:c>
      <x:c r="H4" s="122" t="str">
        <x:v>Affected questions</x:v>
      </x:c>
      <x:c r="I4" s="122" t="str">
        <x:v>Evidence</x:v>
      </x:c>
    </x:row>
    <x:row r="5" ht="145" customHeight="1">
      <x:c r="A5" s="104" t="str">
        <x:v>BVA-SYS-01</x:v>
      </x:c>
      <x:c r="B5" s="104" t="str">
        <x:v>KNOWN BROKEN</x:v>
      </x:c>
      <x:c r="C5" s="104" t="str">
        <x:v>Documentation / traceability</x:v>
      </x:c>
      <x:c r="D5" s="104" t="str">
        <x:v>Several active-looking records contradict the exact candidate: PACKAGE_ACCEPTANCE_REVIEW package/population, FIRMWARE_ELECTRICAL_CONTRACT v2/uncompiled statements, CURRENT_ISSUE_DISPOSITIONS outdated counts and CONTROLLED_REDLINE_CROSSWALK RL-010 no-PCB claim.</x:v>
      </x:c>
      <x:c r="E5" s="104" t="str">
        <x:v>A reviewer or operator can select an obsolete part, calibration or release conclusion. Correct native geometry does not make these records accurate.</x:v>
      </x:c>
      <x:c r="F5" s="104" t="str">
        <x:v>Preserve predecessor bytes, publish explicit supersession/current authority, and reconcile the affected issue/redline outcomes.</x:v>
      </x:c>
      <x:c r="G5" s="104" t="str">
        <x:v>Historical source banners and SOURCE_AUTHORITY_INDEX added; predecessor bytes preserved. Full old issue/redline/package-table reconciliation remains OPEN.</x:v>
      </x:c>
      <x:c r="H5" s="104" t="str"/>
      <x:c r="I5" s="104" t="str">
        <x:v>qualification/PACKAGE_ACCEPTANCE_REVIEW.md
qualification/FIRMWARE_ELECTRICAL_CONTRACT.md
audit/CURRENT_ISSUE_DISPOSITIONS.csv
audit/CONTROLLED_REDLINE_CROSSWALK.csv</x:v>
      </x:c>
    </x:row>
    <x:row r="6" ht="145" customHeight="1">
      <x:c r="A6" s="104" t="str">
        <x:v>BVA-SYS-02</x:v>
      </x:c>
      <x:c r="B6" s="104" t="str">
        <x:v>OPEN</x:v>
      </x:c>
      <x:c r="C6" s="104" t="str">
        <x:v>Incomplete system acceptance definition</x:v>
      </x:c>
      <x:c r="D6" s="104" t="str">
        <x:v>Numerical minimum CAN/BLE cadence/loss/latency, oil event response/noise/error, GPS antenna/timing and installed environmental/standby acceptance remain incomplete.</x:v>
      </x:c>
      <x:c r="E6" s="104" t="str">
        <x:v>Current behavior can be quantified but cannot be called compliant with an unspecified performance limit.</x:v>
      </x:c>
      <x:c r="F6" s="104" t="str">
        <x:v>Define limits using the new observed capability and deltas; keep unmeasured installation inputs explicit.</x:v>
      </x:c>
      <x:c r="G6" s="104" t="str">
        <x:v>Captured; no circuit or firmware repair in this audit.</x:v>
      </x:c>
      <x:c r="H6" s="104" t="str"/>
      <x:c r="I6" s="104" t="str">
        <x:v>qualification/productization/PRODUCT_REQUIREMENTS.md
audit/board_vetting_20260908/lanes/digital_can.json
audit/board_vetting_20260908/lanes/analog_thermal.json</x:v>
      </x:c>
    </x:row>
    <x:row r="7" ht="145" customHeight="1">
      <x:c r="A7" s="104" t="str">
        <x:v>BVA-SYS-03</x:v>
      </x:c>
      <x:c r="B7" s="104" t="str">
        <x:v>OPEN</x:v>
      </x:c>
      <x:c r="C7" s="104" t="str">
        <x:v>Complete release reproducibility</x:v>
      </x:c>
      <x:c r="D7" s="104" t="str">
        <x:v>Existing outputs are byte-verified and current native checks reproduce, but a complete clean export including drawings/firmware packet/populated models is not demonstrated.</x:v>
      </x:c>
      <x:c r="E7" s="104" t="str">
        <x:v>A future approved change can leave stale artifacts unless the full controlled export workflow is completed.</x:v>
      </x:c>
      <x:c r="F7" s="104" t="str">
        <x:v>Demonstrate clean regeneration in an isolated supported checkout, with exact input/output manifests and current visual review.</x:v>
      </x:c>
      <x:c r="G7" s="104" t="str">
        <x:v>Captured; no circuit or firmware repair in this audit.</x:v>
      </x:c>
      <x:c r="H7" s="104" t="str"/>
      <x:c r="I7" s="104" t="str">
        <x:v>tools/release_checks/README.md
audit/erb_20260907/manufacturing/PACKET_SYNC_RECORD.json</x:v>
      </x:c>
    </x:row>
    <x:row r="8" ht="145" customHeight="1">
      <x:c r="A8" s="104" t="str">
        <x:v>BV-PWR-01</x:v>
      </x:c>
      <x:c r="B8" s="104" t="str">
        <x:v>CALCULATED</x:v>
      </x:c>
      <x:c r="C8" s="104" t="str">
        <x:v>Calculation correction. Expanded thresholds remain compatible with the adopted normal and elevated supply screens.</x:v>
      </x:c>
      <x:c r="D8" s="104" t="str">
        <x:v>The previous UV/OV sweep omitted resistor temperature coefficient.</x:v>
      </x:c>
      <x:c r="E8" s="104" t="str">
        <x:v>Independent thermal resistance drift changes ladder gain. The expanded100K threshold range remains compatible with the adopted operating screen.</x:v>
      </x:c>
      <x:c r="F8" s="104" t="str">
        <x:v>Use the expanded thresholds and verify actual temperature/ramp behavior.</x:v>
      </x:c>
      <x:c r="G8" s="104" t="str">
        <x:v>Captured; no circuit or firmware repair in this audit.</x:v>
      </x:c>
      <x:c r="H8" s="104" t="str"/>
      <x:c r="I8" s="104" t="str">
        <x:v>audit/board_vetting_20260908/lanes/power_evidence/power_calculations.json — thresholds_with_TCR_100K_V</x:v>
      </x:c>
    </x:row>
    <x:row r="9" ht="145" customHeight="1">
      <x:c r="A9" s="104" t="str">
        <x:v>BV-PWR-02</x:v>
      </x:c>
      <x:c r="B9" s="104" t="str">
        <x:v>CALCULATED</x:v>
      </x:c>
      <x:c r="C9" s="104" t="str">
        <x:v>At 85% main conversion efficiency the expanded 0.8553 A budget still has positive peak-current margin. No observed normal-operation failure.</x:v>
      </x:c>
      <x:c r="D9" s="104" t="str">
        <x:v>The nominal-rail load budget understated the coupled worst-case current.</x:v>
      </x:c>
      <x:c r="E9" s="104" t="str">
        <x:v>Low5V, high3.3V, conversion loss and122mA oil short demand give0.8553A at85% efficiency; L121 peak1.0683A retains181.7mA margin.</x:v>
      </x:c>
      <x:c r="F9" s="104" t="str">
        <x:v>Use the coupled load screen and verify efficiency and peak current.</x:v>
      </x:c>
      <x:c r="G9" s="104" t="str">
        <x:v>Captured; no circuit or firmware repair in this audit.</x:v>
      </x:c>
      <x:c r="H9" s="104" t="str"/>
      <x:c r="I9" s="104" t="str">
        <x:v>audit/board_vetting_20260908/lanes/power_evidence/power_calculations.json — coupled_load_screen</x:v>
      </x:c>
    </x:row>
    <x:row r="10" ht="145" customHeight="1">
      <x:c r="A10" s="104" t="str">
        <x:v>BV-PWR-03</x:v>
      </x:c>
      <x:c r="B10" s="104" t="str">
        <x:v>HOLD</x:v>
      </x:c>
      <x:c r="C10" s="104" t="str">
        <x:v>Independent GPS-fault availability is absent. Normal GPS operation remains within the allocated budget; the required fault-availability objective is unresolved.</x:v>
      </x:c>
      <x:c r="D10" s="104" t="str">
        <x:v>A GPS output short is not isolated from shared telemetry power.</x:v>
      </x:c>
      <x:c r="E10" s="104" t="str">
        <x:v>MIC5504 short current of630mA typical raises shared demand to1.2125A, exceeding the1A upstream stage.</x:v>
      </x:c>
      <x:c r="F10" s="104" t="str">
        <x:v>Decide whether a full reset is acceptable or add branch limiting; test recovery.</x:v>
      </x:c>
      <x:c r="G10" s="104" t="str">
        <x:v>Captured; no circuit or firmware repair in this audit.</x:v>
      </x:c>
      <x:c r="H10" s="104" t="str"/>
      <x:c r="I10" s="104" t="str">
        <x:v>audit/board_vetting_20260908/lanes/power_evidence/power_calculations.json — GPS_LDO</x:v>
      </x:c>
    </x:row>
    <x:row r="11" ht="145" customHeight="1">
      <x:c r="A11" s="104" t="str">
        <x:v>BV-PWR-04</x:v>
      </x:c>
      <x:c r="B11" s="104" t="str">
        <x:v>HOLD</x:v>
      </x:c>
      <x:c r="C11" s="104" t="str">
        <x:v>External harness fault energy. The source fuse and installed fault-current envelope are not yet fixed.</x:v>
      </x:c>
      <x:c r="D11" s="104" t="str">
        <x:v>A RAW F1.3 bridge to adjacent ground bypasses the board fuse.</x:v>
      </x:c>
      <x:c r="E11" s="104" t="str">
        <x:v>The connector short occurs upstream of F101, so source-side harness protection must clear it.</x:v>
      </x:c>
      <x:c r="F11" s="104" t="str">
        <x:v>Specify source fuse, wire/current contract and clearing-energy acceptance.</x:v>
      </x:c>
      <x:c r="G11" s="104" t="str">
        <x:v>Captured; no circuit or firmware repair in this audit.</x:v>
      </x:c>
      <x:c r="H11" s="104" t="str"/>
      <x:c r="I11" s="104" t="str">
        <x:v>audit/board_vetting_20260908/lanes/power_evidence/power_calculations.json — F1_nearest_pad_bridges</x:v>
      </x:c>
    </x:row>
    <x:row r="12" ht="145" customHeight="1">
      <x:c r="A12" s="104" t="str">
        <x:v>BV-PWR-05</x:v>
      </x:c>
      <x:c r="B12" s="104" t="str">
        <x:v>HOLD</x:v>
      </x:c>
      <x:c r="C12" s="104" t="str">
        <x:v>Universal downstream single-fault survival is not provided. External propagation and acceptable loss require a defined containment objective.</x:v>
      </x:c>
      <x:c r="D12" s="104" t="str">
        <x:v>Independent protection against failed-high main/GPS regulators is absent.</x:v>
      </x:c>
      <x:c r="E12" s="104" t="str">
        <x:v>U121 or its feedback can elevate5V; U151 high-side short can put5V on ESP/CAN; U403 pass short can put5V on GPS.</x:v>
      </x:c>
      <x:c r="F12" s="104" t="str">
        <x:v>Define fault containment and acceptable damage, then accept or add protection.</x:v>
      </x:c>
      <x:c r="G12" s="104" t="str">
        <x:v>Captured; no circuit or firmware repair in this audit.</x:v>
      </x:c>
      <x:c r="H12" s="104" t="str"/>
      <x:c r="I12" s="104" t="str">
        <x:v>audit/board_vetting_20260908/lanes/power_evidence/FAULT_DELTAS.csv</x:v>
      </x:c>
    </x:row>
    <x:row r="13" ht="145" customHeight="1">
      <x:c r="A13" s="104" t="str">
        <x:v>BV-PWR-06</x:v>
      </x:c>
      <x:c r="B13" s="104" t="str">
        <x:v>HOLD</x:v>
      </x:c>
      <x:c r="C13" s="104" t="str">
        <x:v>Reset-envelope qualification gap, not evidence that every crank fails.</x:v>
      </x:c>
      <x:c r="D13" s="104" t="str">
        <x:v>The EN RC network does not guarantee arbitrary slow-ramp/outage reset.</x:v>
      </x:c>
      <x:c r="E13" s="104" t="str">
        <x:v>EN tracks slow supply ramps and can retain charge through brief outages; no independent fixed-threshold supervisor exists.</x:v>
      </x:c>
      <x:c r="F13" s="104" t="str">
        <x:v>Specify and test the reset envelope; add supervision if required.</x:v>
      </x:c>
      <x:c r="G13" s="104" t="str">
        <x:v>Captured; no circuit or firmware repair in this audit.</x:v>
      </x:c>
      <x:c r="H13" s="104" t="str"/>
      <x:c r="I13" s="104" t="str">
        <x:v>audit/board_vetting_20260908/lanes/power_evidence/power_calculations.json — EN_RC</x:v>
      </x:c>
    </x:row>
    <x:row r="14" ht="145" customHeight="1">
      <x:c r="A14" s="104" t="str">
        <x:v>BV-PWR-07</x:v>
      </x:c>
      <x:c r="B14" s="104" t="str">
        <x:v>CALCULATED</x:v>
      </x:c>
      <x:c r="C14" s="104" t="str">
        <x:v>Conditional reduced-model boundary; no observed oscillation is claimed. Harness and full control dynamics remain to be bounded.</x:v>
      </x:c>
      <x:c r="D14" s="104" t="str">
        <x:v>Input-filter stability is conditional on the source impedance.</x:v>
      </x:c>
      <x:c r="E14" s="104" t="str">
        <x:v>The reduced constant-power model gives an11.38uH source-inductance boundary at7.36V; real harness inductance and full control behavior are unbounded.</x:v>
      </x:c>
      <x:c r="F14" s="104" t="str">
        <x:v>Complete the source impedance definition and measure full-system response.</x:v>
      </x:c>
      <x:c r="G14" s="104" t="str">
        <x:v>Captured; no circuit or firmware repair in this audit.</x:v>
      </x:c>
      <x:c r="H14" s="104" t="str"/>
      <x:c r="I14" s="104" t="str">
        <x:v>audit/board_vetting_20260908/lanes/power_evidence/power_calculations.json — input_filter_CPL_model</x:v>
      </x:c>
    </x:row>
    <x:row r="15" ht="145" customHeight="1">
      <x:c r="A15" s="104" t="str">
        <x:v>BV-PWR-08</x:v>
      </x:c>
      <x:c r="B15" s="104" t="str">
        <x:v>CALCULATED</x:v>
      </x:c>
      <x:c r="C15" s="104" t="str">
        <x:v>Current identity and static-stress consolidation is complete. Pulse lifetime, installed bias and thermal behavior remain separate.</x:v>
      </x:c>
      <x:c r="D15" s="104" t="str">
        <x:v>The current passive stress schedule now covers all111 R/C/L parts.</x:v>
      </x:c>
      <x:c r="E15" s="104" t="str">
        <x:v>Eight changed MPNs and eight additions were reconciled to native pads and current selected identities; no declared ordinary stress violation was found.</x:v>
      </x:c>
      <x:c r="F15" s="104" t="str">
        <x:v>Use the new schedule while retaining pulse, bias, aging and thermal limitations.</x:v>
      </x:c>
      <x:c r="G15" s="104" t="str">
        <x:v>Captured; no circuit or firmware repair in this audit.</x:v>
      </x:c>
      <x:c r="H15" s="104" t="str"/>
      <x:c r="I15" s="104" t="str">
        <x:v>audit/board_vetting_20260908/lanes/power_evidence/CURRENT_PASSIVE_STRESS.csv</x:v>
      </x:c>
    </x:row>
    <x:row r="16" ht="145" customHeight="1">
      <x:c r="A16" s="104" t="str">
        <x:v>BV-DIG-01</x:v>
      </x:c>
      <x:c r="B16" s="104" t="str">
        <x:v>VERIFIED</x:v>
      </x:c>
      <x:c r="C16" s="104" t="str">
        <x:v>prior_review_factual_error</x:v>
      </x:c>
      <x:c r="D16" s="104" t="str">
        <x:v>Prior review reports incorrect CAN trace totals/no-via assertion for same current PCB hash.</x:v>
      </x:c>
      <x:c r="E16" s="104" t="str">
        <x:v>Review omitted CANL termination branch on In1.Cu and two vias; could hide branch loading/return-path review. Mainreceivepath remainsB.Cu.</x:v>
      </x:c>
      <x:c r="F16" s="104" t="str">
        <x:v>Supersede incorrect19.36/22.37mm no-via prose with actual graph. Retain branch in loading/return review; no routing change mandated solely by its short length.</x:v>
      </x:c>
      <x:c r="G16" s="104" t="str">
        <x:v>Captured; no circuit or firmware repair in this audit.</x:v>
      </x:c>
      <x:c r="H16" s="104" t="str">
        <x:v>CAN-06</x:v>
      </x:c>
      <x:c r="I16" s="104" t="str">
        <x:v>audit/board_vetting_20260908/lanes/DIGITAL_NATIVE_INSPECTION.json
audit/board_vetting_20260908/lanes/DIGITAL_CALCULATIONS.json
audit/board_vetting_20260908/lanes/ACTUAL_CAN_ROUTE.png</x:v>
      </x:c>
    </x:row>
    <x:row r="17" ht="145" customHeight="1">
      <x:c r="A17" s="104" t="str">
        <x:v>BV-DIG-02</x:v>
      </x:c>
      <x:c r="B17" s="104" t="str">
        <x:v>KNOWN BROKEN</x:v>
      </x:c>
      <x:c r="C17" s="104" t="str">
        <x:v>firmware_scheduling_budget_defect</x:v>
      </x:c>
      <x:c r="D17" s="104" t="str">
        <x:v>Synchronous diagnostic printing blocks shared acquisition beyond controller queue budget under saturatedCAN input.</x:v>
      </x:c>
      <x:c r="E17" s="104" t="str">
        <x:v>SHOW STATS has≥724unconditional fixedbytes; UART0TXbuffer0 blocks ≥(724−128)/11520=51.736ms. Sole CANconsumer is mainloop.128frames×111bits/500k=28.416msqueue window; stuffing doesnotrecover requiredmargin for all traffic. GPS256byteRXring shares delayed mainloop; actual burst loss remains unmeasured.</x:v>
      </x:c>
      <x:c r="F17" s="104" t="str">
        <x:v>Make diagnostic transport bounded/non-blocking,or separate acquisition task with explicitpriority/bufferlimits;instrument highwater/loss and prove concurrentCLI+CAN+GPSload.</x:v>
      </x:c>
      <x:c r="G17" s="104" t="str">
        <x:v>Captured; no circuit or firmware repair in this audit.</x:v>
      </x:c>
      <x:c r="H17" s="104" t="str">
        <x:v>CAN-12, MCU-10, FW-03, FW-04, FW-09</x:v>
      </x:c>
      <x:c r="I17" s="104" t="str">
        <x:v>audit/board_vetting_20260908/lanes/DIGITAL_CALCULATIONS.json
audit/board_vetting_20260908/lanes/digital_core_reference/HardwareSerial.cpp
audit/board_vetting_20260908/lanes/digital_core_reference/esp32-hal-uart.c</x:v>
      </x:c>
    </x:row>
    <x:row r="18" ht="145" customHeight="1">
      <x:c r="A18" s="104" t="str">
        <x:v>BV-DIG-03</x:v>
      </x:c>
      <x:c r="B18" s="104" t="str">
        <x:v>KNOWN BROKEN</x:v>
      </x:c>
      <x:c r="C18" s="104" t="str">
        <x:v>firmware_rate_limit_arithmetic</x:v>
      </x:c>
      <x:c r="D18" s="104" t="str">
        <x:v>Configured120notification/s token bucket permits approximately125/s.</x:v>
      </x:c>
      <x:c r="E18" s="104" t="str">
        <x:v>Integer consumedMs truncates1000/120 to8ms per credited token. Exact extractedfunction grants1249tokens/10s for1/2/5/10ms polling; shouldgrant≤1200withoutinitialcapacity.</x:v>
      </x:c>
      <x:c r="F18" s="104" t="str">
        <x:v>Retain fractional credit using fixed-point time/tokens or elapsed accumulator; enforce long-duration grantbound test. Reconcile BLEbudget after repair.</x:v>
      </x:c>
      <x:c r="G18" s="104" t="str">
        <x:v>Captured; no circuit or firmware repair in this audit.</x:v>
      </x:c>
      <x:c r="H18" s="104" t="str">
        <x:v>BLE-04, BLE-05, FW-05</x:v>
      </x:c>
      <x:c r="I18" s="104" t="str">
        <x:v>audit/board_vetting_20260908/lanes/BLE_TOKEN_BUDGET_PROBE.json
audit/board_vetting_20260908/lanes/BLE_TOKEN_BUDGET_PROBE.log
audit/board_vetting_20260908/lanes/ble_token_budget_probe.cpp</x:v>
      </x:c>
    </x:row>
    <x:row r="19" ht="145" customHeight="1">
      <x:c r="A19" s="104" t="str">
        <x:v>BV-DIG-04</x:v>
      </x:c>
      <x:c r="B19" s="104" t="str">
        <x:v>OPEN</x:v>
      </x:c>
      <x:c r="C19" s="104" t="str">
        <x:v>loss_observability_gap</x:v>
      </x:c>
      <x:c r="D19" s="104" t="str">
        <x:v>GPS hardware RX FIFO/ring overflow and parser line overflow are not separately counted; full receive-to-app loss cannot be reconciled.</x:v>
      </x:c>
      <x:c r="E19" s="104" t="str">
        <x:v>No onReceiveError callback/default256byteRXring; readGpsBytes resets full160byte line silently. Parser error counter doesnotcount every dropped byte/sentence. CAN coalescing losesintermediatevaluesbydesignwithoutper-IDcounter.</x:v>
      </x:c>
      <x:c r="F19" s="104" t="str">
        <x:v>Add explicit acquisitionoverflow/rejection/coalescing counters and maxloopgap telemetry,then independent sequence-accountedload test.</x:v>
      </x:c>
      <x:c r="G19" s="104" t="str">
        <x:v>Captured; no circuit or firmware repair in this audit.</x:v>
      </x:c>
      <x:c r="H19" s="104" t="str">
        <x:v>MCU-10, FW-04, FW-09, FW-11</x:v>
      </x:c>
      <x:c r="I19" s="104" t="str">
        <x:v>audit/board_vetting_20260908/lanes/DIGITAL_CALCULATIONS.json
audit/board_vetting_20260908/lanes/digital_core_reference/HardwareSerial.cpp
firmware/productization_candidate/cca_telemetry/cca_telemetry.ino</x:v>
      </x:c>
    </x:row>
    <x:row r="20" ht="145" customHeight="1">
      <x:c r="A20" s="104" t="str">
        <x:v>BV-RF-01</x:v>
      </x:c>
      <x:c r="B20" s="104" t="str">
        <x:v>OPEN</x:v>
      </x:c>
      <x:c r="C20" s="104" t="str">
        <x:v>rf_ground</x:v>
      </x:c>
      <x:c r="D20" s="104" t="str">
        <x:v>D402.1 at63.6,11.95 has135deg travel turn/45deg interior corner</x:v>
      </x:c>
      <x:c r="E20" s="104" t="str">
        <x:v>Actual retained layout discontinuity outside uniform-line model</x:v>
      </x:c>
      <x:c r="F20" s="104" t="str">
        <x:v>Local smooth reroute or explicit complete-launch acceptance with regenerated checks if CAD changes</x:v>
      </x:c>
      <x:c r="G20" s="104" t="str">
        <x:v>Captured; no circuit or firmware repair in this audit.</x:v>
      </x:c>
      <x:c r="H20" s="104" t="str">
        <x:v>SI-02, SI-05, SI-06, GPS-10</x:v>
      </x:c>
      <x:c r="I20" s="104" t="str">
        <x:v>audit/board_vetting_20260908/lanes/rf_ground.json — issues BV-RF-01; corresponding row-specific evidence</x:v>
      </x:c>
    </x:row>
    <x:row r="21" ht="145" customHeight="1">
      <x:c r="A21" s="104" t="str">
        <x:v>BV-GND-01</x:v>
      </x:c>
      <x:c r="B21" s="104" t="str">
        <x:v>OPEN</x:v>
      </x:c>
      <x:c r="C21" s="104" t="str">
        <x:v>rf_ground</x:v>
      </x:c>
      <x:c r="D21" s="104" t="str">
        <x:v>Active CAN_RX_MCU nearest-reference gaps4.570mm, including1.6mm alignment overOIL_5V; all these gaps retainIn2. Disabled TX has4.95mm alignment overLED_CAN.</x:v>
      </x:c>
      <x:c r="E21" s="104" t="str">
        <x:v>Specific In1 return/coupling departures established; mainCANH/L andRF are not implicated as failed.</x:v>
      </x:c>
      <x:c r="F21" s="104" t="str">
        <x:v>Bound active path receiver/noise margin or reroute; R301DNP limits disabledTX consequence</x:v>
      </x:c>
      <x:c r="G21" s="104" t="str">
        <x:v>Captured; no circuit or firmware repair in this audit.</x:v>
      </x:c>
      <x:c r="H21" s="104" t="str">
        <x:v>GND-02, SI-05, SI-07, SI-11</x:v>
      </x:c>
      <x:c r="I21" s="104" t="str">
        <x:v>audit/board_vetting_20260908/lanes/rf_ground.json — issues BV-GND-01; corresponding row-specific evidence</x:v>
      </x:c>
    </x:row>
    <x:row r="22" ht="145" customHeight="1">
      <x:c r="A22" s="104" t="str">
        <x:v>BV-GND-02</x:v>
      </x:c>
      <x:c r="B22" s="104" t="str">
        <x:v>OPEN</x:v>
      </x:c>
      <x:c r="C22" s="104" t="str">
        <x:v>rf_ground</x:v>
      </x:c>
      <x:c r="D22" s="104" t="str">
        <x:v>ActualGNDgraphcomplete;0.812mohm/square In2 at125C; no solved differentialADC/F1.9 current drop</x:v>
      </x:c>
      <x:c r="E22" s="104" t="str">
        <x:v>Remaining quantitativecurrentdistribution/harness input; no floatingisland defect</x:v>
      </x:c>
      <x:c r="F22" s="104" t="str">
        <x:v>Solve complete source/sink current distribution or perform differential load/aggressor injection</x:v>
      </x:c>
      <x:c r="G22" s="104" t="str">
        <x:v>Captured; no circuit or firmware repair in this audit.</x:v>
      </x:c>
      <x:c r="H22" s="104" t="str">
        <x:v>GND-01, GND-04, GND-05</x:v>
      </x:c>
      <x:c r="I22" s="104" t="str">
        <x:v>audit/board_vetting_20260908/lanes/rf_ground.json — issues BV-GND-02; corresponding row-specific evidence</x:v>
      </x:c>
    </x:row>
    <x:row r="23" ht="145" customHeight="1">
      <x:c r="A23" s="104" t="str">
        <x:v>BV-VIA-01</x:v>
      </x:c>
      <x:c r="B23" s="104" t="str">
        <x:v>OPEN</x:v>
      </x:c>
      <x:c r="C23" s="104" t="str">
        <x:v>rf_ground</x:v>
      </x:c>
      <x:c r="D23" s="104" t="str">
        <x:v>Allvias mapped;0.30mm20um conditional barrel1.938mohm/1.24mW at0.8A; supplier process not confirmed</x:v>
      </x:c>
      <x:c r="E23" s="104" t="str">
        <x:v>Electricalscreencompleteconditional; temperature/pulse/process notclosed</x:v>
      </x:c>
      <x:c r="F23" s="104" t="str">
        <x:v>Confirmminimumplating/finishdrill; boundthermalI2t; assembleraccept exacttent/pasteandfirstarticle</x:v>
      </x:c>
      <x:c r="G23" s="104" t="str">
        <x:v>Captured; no circuit or firmware repair in this audit.</x:v>
      </x:c>
      <x:c r="H23" s="104" t="str">
        <x:v>VIA-06, VIA-07, VIA-08</x:v>
      </x:c>
      <x:c r="I23" s="104" t="str">
        <x:v>audit/board_vetting_20260908/lanes/rf_ground.json — issues BV-VIA-01; corresponding row-specific evidence</x:v>
      </x:c>
    </x:row>
    <x:row r="24" ht="145" customHeight="1">
      <x:c r="A24" s="104" t="str">
        <x:v>BV-ADC-01</x:v>
      </x:c>
      <x:c r="B24" s="104" t="str">
        <x:v>HOLD</x:v>
      </x:c>
      <x:c r="C24" s="104" t="str">
        <x:v>Actual model-to-layout discrepancy; no measured damage</x:v>
      </x:c>
      <x:c r="D24" s="104" t="str">
        <x:v>U501.15→D502.1 shortest routed centerline 25.841 mm; C504/505/506 paths 4.879/12.034/14.552 mm. No extracted PCB-L/current-slope/RTN-offset bound in the lumped overdamped model.</x:v>
      </x:c>
      <x:c r="E24" s="104" t="str">
        <x:v>The actual distributed copper does not satisfy an unqualified adjacent-lumped-node assumption. D502 VF max cannot independently guarantee OUT≥RTN−0.3 V.</x:v>
      </x:c>
      <x:c r="F24" s="104" t="str">
        <x:v>Relocate/route and requalify, or provide conservative extracted distributed model plus correlated local-pin fault waveforms.</x:v>
      </x:c>
      <x:c r="G24" s="104" t="str">
        <x:v>Captured; no circuit or firmware repair in this audit.</x:v>
      </x:c>
      <x:c r="H24" s="104" t="str">
        <x:v>ADC-09, EMC-06</x:v>
      </x:c>
      <x:c r="I24" s="104" t="str">
        <x:v>audit/board_vetting_20260908/lanes/ANALOG_THERMAL_BOARD_VETTING.md — BV-ADC-01
audit/board_vetting_20260908/lanes/ACTUAL_ANALOG_CALCULATIONS.json — routed_paths</x:v>
      </x:c>
    </x:row>
    <x:row r="25" ht="145" customHeight="1">
      <x:c r="A25" s="104" t="str">
        <x:v>BV-THERM-01</x:v>
      </x:c>
      <x:c r="B25" s="104" t="str">
        <x:v>HOLD</x:v>
      </x:c>
      <x:c r="C25" s="104" t="str">
        <x:v>Calculated thermal margin and document-range limitation</x:v>
      </x:c>
      <x:c r="D25" s="104" t="str">
        <x:v>Conservative stacked Vout=3.1511 V gives P=0.210242 W at 5.25 V/100 mA. Manufacturer reference theta gives Tj=118.19°C at 65°C; required effective theta≤285.39°C/W. Native local copper/via geometry captured.</x:v>
      </x:c>
      <x:c r="E25" s="104" t="str">
        <x:v>Only 6.81°C reference-model margin; 3.201–3.399 V prior screen omitted additional line/load allowance. Neither actual overheating nor installed theta is established.</x:v>
      </x:c>
      <x:c r="F25" s="104" t="str">
        <x:v>Update complete voltage/thermal envelope and correlate measured current/temperature in final enclosure; revise hardware if margin cannot be demonstrated.</x:v>
      </x:c>
      <x:c r="G25" s="104" t="str">
        <x:v>Captured; no circuit or firmware repair in this audit.</x:v>
      </x:c>
      <x:c r="H25" s="104" t="str">
        <x:v>THERM-02, THERM-04</x:v>
      </x:c>
      <x:c r="I25" s="104" t="str">
        <x:v>audit/board_vetting_20260908/lanes/ANALOG_THERMAL_BOARD_VETTING.md — BV-THERM-01
audit/board_vetting_20260908/lanes/ACTUAL_ANALOG_CALCULATIONS.json — thermal_screens.U403</x:v>
      </x:c>
    </x:row>
    <x:row r="26" ht="145" customHeight="1">
      <x:c r="A26" s="104" t="str">
        <x:v>BV-ADC-02</x:v>
      </x:c>
      <x:c r="B26" s="104" t="str">
        <x:v>OPEN</x:v>
      </x:c>
      <x:c r="C26" s="104" t="str">
        <x:v>Source-bound return/noise observation; no specification violation established</x:v>
      </x:c>
      <x:c r="D26" s="104" t="str">
        <x:v>Series-to-MCU routes 5.609/6.636 mm and reservoirs 2.420/3.654 mm; excitation feedback via at (72,30.2) has nearest GND via 5.216 mm away; filtered input reference samples covered.</x:v>
      </x:c>
      <x:c r="E26" s="104" t="str">
        <x:v>Local receiving placement is supported, but longer feedback return and ESP/shared supply noise remain unqualified. Total branched 46.485 mm excitation ADC copper is not its 6.636 mm MCU feed.</x:v>
      </x:c>
      <x:c r="F26" s="104" t="str">
        <x:v>Review transition return and test synchronized ADC noise/settling; reroute/stitch if source analysis or measured residual requires it.</x:v>
      </x:c>
      <x:c r="G26" s="104" t="str">
        <x:v>Captured; no circuit or firmware repair in this audit.</x:v>
      </x:c>
      <x:c r="H26" s="104" t="str">
        <x:v>ADC-12, EMC-07</x:v>
      </x:c>
      <x:c r="I26" s="104" t="str">
        <x:v>audit/board_vetting_20260908/lanes/ACTUAL_ANALOG_BOARD_VIEW.png — Exact analog view
audit/board_vetting_20260908/lanes/ANALOG_THERMAL_NATIVE_GEOMETRY.json — analog_nets.OIL_EXCITATION_ADC</x:v>
      </x:c>
    </x:row>
    <x:row r="27" ht="145" customHeight="1">
      <x:c r="A27" s="104" t="str">
        <x:v>BVT-MFG-01</x:v>
      </x:c>
      <x:c r="B27" s="104" t="str">
        <x:v>HOLD</x:v>
      </x:c>
      <x:c r="C27" s="104" t="str">
        <x:v>layout_mfg</x:v>
      </x:c>
      <x:c r="D27" s="104" t="str">
        <x:v>Active package acceptance report and geometry table retain superseded U301 SOIC/U502 MSOP and RF-DNP statements while final PCB correctly uses DRB/SOIC/fittedRF.</x:v>
      </x:c>
      <x:c r="E27" s="104" t="str"/>
      <x:c r="F27" s="104" t="str">
        <x:v>Supersede stale active qualification rows with selected-MPN current dimensions; retain history.</x:v>
      </x:c>
      <x:c r="G27" s="104" t="str">
        <x:v>Historical source banners and SOURCE_AUTHORITY_INDEX added; predecessor bytes preserved. Full old issue/redline/package-table reconciliation remains OPEN.</x:v>
      </x:c>
      <x:c r="H27" s="104" t="str">
        <x:v>LIB-01, DFM-05, DRW-01, DRW-05</x:v>
      </x:c>
      <x:c r="I27" s="104" t="str">
        <x:v>audit/board_vetting_20260908/lanes/layout_mfg.json — issues BVT-MFG-01; corresponding row-specific evidence</x:v>
      </x:c>
    </x:row>
    <x:row r="28" ht="145" customHeight="1">
      <x:c r="A28" s="104" t="str">
        <x:v>BVT-MFG-02</x:v>
      </x:c>
      <x:c r="B28" s="104" t="str">
        <x:v>HOLD</x:v>
      </x:c>
      <x:c r="C28" s="104" t="str">
        <x:v>layout_mfg</x:v>
      </x:c>
      <x:c r="D28" s="104" t="str">
        <x:v>Fabrication PDF lacks a self-contained controlled drawing identity/revision/general tolerance block; tolerances reside separately in ORDER_SETUP.</x:v>
      </x:c>
      <x:c r="E28" s="104" t="str"/>
      <x:c r="F28" s="104" t="str">
        <x:v>Consolidate drawing release authority and all dimensional/process tolerance references.</x:v>
      </x:c>
      <x:c r="G28" s="104" t="str">
        <x:v>Captured; no circuit or firmware repair in this audit.</x:v>
      </x:c>
      <x:c r="H28" s="104" t="str">
        <x:v>DRW-04</x:v>
      </x:c>
      <x:c r="I28" s="104" t="str">
        <x:v>audit/board_vetting_20260908/lanes/layout_mfg.json — issues BVT-MFG-02; corresponding row-specific evidence</x:v>
      </x:c>
    </x:row>
    <x:row r="29" ht="145" customHeight="1">
      <x:c r="A29" s="104" t="str">
        <x:v>BVT-MFG-03</x:v>
      </x:c>
      <x:c r="B29" s="104" t="str">
        <x:v>OPEN</x:v>
      </x:c>
      <x:c r="C29" s="104" t="str">
        <x:v>layout_mfg</x:v>
      </x:c>
      <x:c r="D29" s="104" t="str">
        <x:v>Actual power copper/via geometry quantified; current contract does not guarantee minimum finished copper/barrel plating or permissible fault let-through energy, preventing full current/fault qualification.</x:v>
      </x:c>
      <x:c r="E29" s="104" t="str"/>
      <x:c r="F29" s="104" t="str">
        <x:v>Bind finished copper/plating minima and fault-clearing I²t to measured current-path screen.</x:v>
      </x:c>
      <x:c r="G29" s="104" t="str">
        <x:v>Captured; no circuit or firmware repair in this audit.</x:v>
      </x:c>
      <x:c r="H29" s="104" t="str">
        <x:v>LAY-06, DFM-02</x:v>
      </x:c>
      <x:c r="I29" s="104" t="str">
        <x:v>audit/board_vetting_20260908/lanes/layout_mfg.json — issues BVT-MFG-03; corresponding row-specific evidence</x:v>
      </x:c>
    </x:row>
    <x:row r="30" ht="145" customHeight="1">
      <x:c r="A30" s="104" t="str">
        <x:v>BVT-MFG-04</x:v>
      </x:c>
      <x:c r="B30" s="104" t="str">
        <x:v>CORRECTED IN REV B</x:v>
      </x:c>
      <x:c r="C30" s="104" t="str">
        <x:v>layout_mfg</x:v>
      </x:c>
      <x:c r="D30" s="104" t="str">
        <x:v>Order-facing opening states engineering verified/procurement hold without the newer engineering deltas; source-level pass and product release state can be confused.</x:v>
      </x:c>
      <x:c r="E30" s="104" t="str"/>
      <x:c r="F30" s="104" t="str">
        <x:v>Propagate source-vetting deltas/HOLD to current order-facing packet and manifests.</x:v>
      </x:c>
      <x:c r="G30" s="104" t="str">
        <x:v>Explicit RVB-18 HOLD and current register propagated into order-facing metadata; source/artwork unchanged. Final packet parity verification accompanies the checkpoint.</x:v>
      </x:c>
      <x:c r="H30" s="104" t="str">
        <x:v>DRW-10</x:v>
      </x:c>
      <x:c r="I30" s="104" t="str">
        <x:v>audit/board_vetting_20260908/lanes/layout_mfg.json — issues BVT-MFG-04; corresponding row-specific evidence</x:v>
      </x:c>
    </x:row>
    <x:row r="31" ht="145" customHeight="1">
      <x:c r="A31" s="104" t="str">
        <x:v>VET-MECH-01</x:v>
      </x:c>
      <x:c r="B31" s="104" t="str">
        <x:v>HOLD</x:v>
      </x:c>
      <x:c r="C31" s="104" t="str">
        <x:v>mechanics</x:v>
      </x:c>
      <x:c r="D31" s="104" t="str">
        <x:v>6.0 mm ESP overhang; nominal populatedX94.984766 mm; F1 relocated/rotated; zero dedicatedmount holes; bottomL1513.1 mm max.</x:v>
      </x:c>
      <x:c r="E31" s="104" t="str">
        <x:v>Unreviewed enclosure/standoff/support can collide with components, load solderjoints, obstruct connector/probes or violate RFclearance.</x:v>
      </x:c>
      <x:c r="F31" s="104" t="str">
        <x:v>Select actual enclosure/carrier/hardware/cable geometry; complete all-part tolerance and tool-sweep fit. Preliminary10.5 mm top/4.5 mm bottom allocations are designintent only.</x:v>
      </x:c>
      <x:c r="G31" s="104" t="str">
        <x:v>Captured; no circuit or firmware repair in this audit.</x:v>
      </x:c>
      <x:c r="H31" s="104" t="str">
        <x:v>MECH-01, MECH-02, MECH-03, MECH-05, MECH-09</x:v>
      </x:c>
      <x:c r="I31" s="104" t="str">
        <x:v>audit/board_vetting_20260908/lanes/mechanics_geometry/MECHANICAL_VETTING.md — Direct form/fit and preliminary heightenvelope</x:v>
      </x:c>
    </x:row>
    <x:row r="32" ht="145" customHeight="1">
      <x:c r="A32" s="104" t="str">
        <x:v>VET-HAR-01</x:v>
      </x:c>
      <x:c r="B32" s="104" t="str">
        <x:v>HOLD</x:v>
      </x:c>
      <x:c r="C32" s="104" t="str">
        <x:v>mechanics</x:v>
      </x:c>
      <x:c r="D32" s="104" t="str">
        <x:v>Actual 3 mm adjacentF1.3-to2 or3-to9 short is input-toGND ahead ofF101; F1.5-to6 shorts vehiclebus. Mirrored harness can ground bothCANconductors.</x:v>
      </x:c>
      <x:c r="E32" s="104" t="str">
        <x:v>Board fuse and passive firmware cannot contain upstream harness shorts or physical CAN pair shorts.</x:v>
      </x:c>
      <x:c r="F32" s="104" t="str">
        <x:v>Define source branch fuse/wire and exact harness acceptance fixture; record pin-by-pin continuity/isolation beforevehicle power. Treat busshort in installationfault acceptance.</x:v>
      </x:c>
      <x:c r="G32" s="104" t="str">
        <x:v>Captured; no circuit or firmware repair in this audit.</x:v>
      </x:c>
      <x:c r="H32" s="104" t="str">
        <x:v>HAR-04, HAR-07, DFT-05</x:v>
      </x:c>
      <x:c r="I32" s="104" t="str">
        <x:v>audit/board_vetting_20260908/lanes/mechanics_geometry/F1_FAULT_MATRIX.csv — 23 finite reviewedcases</x:v>
      </x:c>
    </x:row>
    <x:row r="33" ht="145" customHeight="1">
      <x:c r="A33" s="104" t="str">
        <x:v>VET-DFT-01</x:v>
      </x:c>
      <x:c r="B33" s="104" t="str">
        <x:v>OPEN</x:v>
      </x:c>
      <x:c r="C33" s="104" t="str">
        <x:v>mechanics</x:v>
      </x:c>
      <x:c r="D33" s="104" t="str">
        <x:v>All 37 testcontacts nominally body clear for2mmshank; nearest GND pad upto7.53 mm for namedpower/CANpoints; TP509private RTN accessible.</x:v>
      </x:c>
      <x:c r="E33" s="104" t="str">
        <x:v>Long probe ground creates apparent ringing; broad tip bridgesnet; grounded RTN alters/bypasses eFuse behavior.</x:v>
      </x:c>
      <x:c r="F33" s="104" t="str">
        <x:v>Use node-specific spring/differential/RF setups; validate actualprobe head/enclosure access and private RTN isolation.</x:v>
      </x:c>
      <x:c r="G33" s="104" t="str">
        <x:v>Captured; no circuit or firmware repair in this audit.</x:v>
      </x:c>
      <x:c r="H33" s="104" t="str">
        <x:v>DFT-02, DFT-03, DFT-06</x:v>
      </x:c>
      <x:c r="I33" s="104" t="str">
        <x:v>audit/board_vetting_20260908/lanes/mechanics_geometry/TEST_POINT_ACCESS.csv — Every TP net,side,position andgeometryscreen</x:v>
      </x:c>
    </x:row>
    <x:row r="34" ht="145" customHeight="1">
      <x:c r="A34" s="104" t="str">
        <x:v>VET-HAR-02</x:v>
      </x:c>
      <x:c r="B34" s="104" t="str">
        <x:v>OPEN</x:v>
      </x:c>
      <x:c r="C34" s="104" t="str">
        <x:v>mechanics</x:v>
      </x:c>
      <x:c r="D34" s="104" t="str">
        <x:v>Boardconnector/contactidentityknown; exactwire/tool/source endpoint/strainrelief/enclosureenvironment/hardwareaccessory notdefined.</x:v>
      </x:c>
      <x:c r="E34" s="104" t="str">
        <x:v>Unqualifiedcrimp/retention/grounddrop, RFplacementorcondensation may defeat intendedbehavior.</x:v>
      </x:c>
      <x:c r="F34" s="104" t="str">
        <x:v>Release actual harness/enclosure/accessory construction and qualify it against current native interface.</x:v>
      </x:c>
      <x:c r="G34" s="104" t="str">
        <x:v>Captured; no circuit or firmware repair in this audit.</x:v>
      </x:c>
      <x:c r="H34" s="104" t="str">
        <x:v>HAR-05, HAR-06, HAR-09, MECH-06, MECH-07, MECH-08, MECH-10</x:v>
      </x:c>
      <x:c r="I34" s="104" t="str">
        <x:v>audit/board_vetting_20260908/lanes/mechanics_geometry/MECHANICAL_VETTING.md — Remaining releaseevidence</x:v>
      </x:c>
    </x:row>
  </x:sheetData>
  <x:mergeCells>
    <x:mergeCell ref="A1:I1"/>
    <x:mergeCell ref="A2:I2"/>
  </x:mergeCells>
  <x:conditionalFormatting sqref="B5:B34">
    <x:cfRule type="cellIs" dxfId="23" priority="1" operator="equal">
      <x:formula>"KNOWN BROKEN"</x:formula>
    </x:cfRule>
    <x:cfRule type="cellIs" dxfId="24" priority="2" operator="equal">
      <x:formula>"HOLD"</x:formula>
    </x:cfRule>
    <x:cfRule type="cellIs" dxfId="25" priority="3" operator="equal">
      <x:formula>"OPEN"</x:formula>
    </x:cfRule>
    <x:cfRule type="cellIs" dxfId="26" priority="4" operator="equal">
      <x:formula>"CLOSED"</x:formula>
    </x:cfRule>
    <x:cfRule type="cellIs" dxfId="27" priority="5" operator="equal">
      <x:formula>"VERIFIED"</x:formula>
    </x:cfRule>
    <x:cfRule type="cellIs" dxfId="28" priority="6" operator="equal">
      <x:formula>"CALCULATED"</x:formula>
    </x:cfRule>
    <x:cfRule type="cellIs" dxfId="29" priority="7" operator="equal">
      <x:formula>"CORRECTED IN REV B"</x:formula>
    </x:cfRule>
    <x:cfRule type="cellIs" dxfId="30" priority="8" operator="equal">
      <x:formula>"N/A"</x:formula>
    </x:cfRule>
  </x:conditionalFormatting>
  <x:pageMargins left="0.7" right="0.7" top="0.75" bottom="0.75" header="0.3" footer="0.3"/>
  <x:tableParts count="1">
    <x:tablePart xmlns:r="http://schemas.openxmlformats.org/officeDocument/2006/relationships" r:id="Rb559fdfac16642f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32" hidden="0" customWidth="1"/>
    <x:col min="3" max="3" width="24" hidden="0" customWidth="1"/>
    <x:col min="4" max="4" width="110" hidden="0" customWidth="1"/>
    <x:col min="5" max="5" width="22" hidden="0" customWidth="1"/>
    <x:col min="6" max="6" width="22" hidden="0" customWidth="1"/>
    <x:col min="7" max="7" width="22" hidden="0" customWidth="1"/>
    <x:col min="8" max="8" width="55" hidden="0" customWidth="1"/>
    <x:col min="9" max="9" width="140" hidden="0" customWidth="1"/>
    <x:col min="10" max="10" width="100" hidden="0" customWidth="1"/>
    <x:col min="11" max="11" width="28" hidden="0" customWidth="1"/>
  </x:cols>
  <x:sheetData>
    <x:row r="1" ht="32" customHeight="1">
      <x:c r="A1" s="211" t="str">
        <x:v>HISTORICAL / SUPERSEDED — Online Resolution | Current review: RVB22 Current</x:v>
      </x:c>
      <x:c r="B1" s="211" t="str">
        <x:v>RVB-21 | ENGINEERING EVIDENCE AND REMAINING ACCEPTANCE</x:v>
      </x:c>
      <x:c r="C1" s="211" t="str">
        <x:v>RVB-21 | ENGINEERING EVIDENCE AND REMAINING ACCEPTANCE</x:v>
      </x:c>
      <x:c r="D1" s="211" t="str">
        <x:v>RVB-21 | ENGINEERING EVIDENCE AND REMAINING ACCEPTANCE</x:v>
      </x:c>
      <x:c r="E1" s="211" t="str">
        <x:v>RVB-21 | ENGINEERING EVIDENCE AND REMAINING ACCEPTANCE</x:v>
      </x:c>
      <x:c r="F1" s="211" t="str">
        <x:v>RVB-21 | ENGINEERING EVIDENCE AND REMAINING ACCEPTANCE</x:v>
      </x:c>
      <x:c r="G1" s="211" t="str">
        <x:v>RVB-21 | ENGINEERING EVIDENCE AND REMAINING ACCEPTANCE</x:v>
      </x:c>
      <x:c r="H1" s="211" t="str">
        <x:v>RVB-21 | ENGINEERING EVIDENCE AND REMAINING ACCEPTANCE</x:v>
      </x:c>
      <x:c r="I1" s="140" t="str">
        <x:v>RVB-21 | ENGINEERING EVIDENCE AND REMAINING ACCEPTANCE</x:v>
      </x:c>
      <x:c r="J1" s="140" t="str">
        <x:v>RVB-21 | ENGINEERING EVIDENCE AND REMAINING ACCEPTANCE</x:v>
      </x:c>
      <x:c r="K1" s="140" t="str">
        <x:v>RVB-21 | ENGINEERING EVIDENCE AND REMAINING ACCEPTANCE</x:v>
      </x:c>
    </x:row>
    <x:row r="2" ht="55" customHeight="1">
      <x:c r="A2" s="142" t="str">
        <x:v>Every original question retains its evidence requirement. Staged corrections have host/model evidence but are not the released CAD or embedded binary. Original hardware and supplier criteria remain explicit.</x:v>
      </x:c>
      <x:c r="B2" s="142" t="str">
        <x:v>Every original question retains its evidence requirement. Staged corrections have host/model evidence but are not the released CAD or embedded binary. Original hardware and supplier criteria remain explicit.</x:v>
      </x:c>
      <x:c r="C2" s="142" t="str">
        <x:v>Every original question retains its evidence requirement. Staged corrections have host/model evidence but are not the released CAD or embedded binary. Original hardware and supplier criteria remain explicit.</x:v>
      </x:c>
      <x:c r="D2" s="142" t="str">
        <x:v>Every original question retains its evidence requirement. Staged corrections have host/model evidence but are not the released CAD or embedded binary. Original hardware and supplier criteria remain explicit.</x:v>
      </x:c>
      <x:c r="E2" s="142" t="str">
        <x:v>Every original question retains its evidence requirement. Staged corrections have host/model evidence but are not the released CAD or embedded binary. Original hardware and supplier criteria remain explicit.</x:v>
      </x:c>
      <x:c r="F2" s="142" t="str">
        <x:v>Every original question retains its evidence requirement. Staged corrections have host/model evidence but are not the released CAD or embedded binary. Original hardware and supplier criteria remain explicit.</x:v>
      </x:c>
      <x:c r="G2" s="142" t="str">
        <x:v>Every original question retains its evidence requirement. Staged corrections have host/model evidence but are not the released CAD or embedded binary. Original hardware and supplier criteria remain explicit.</x:v>
      </x:c>
      <x:c r="H2" s="142" t="str">
        <x:v>Every original question retains its evidence requirement. Staged corrections have host/model evidence but are not the released CAD or embedded binary. Original hardware and supplier criteria remain explicit.</x:v>
      </x:c>
      <x:c r="I2" s="142" t="str">
        <x:v>Every original question retains its evidence requirement. Staged corrections have host/model evidence but are not the released CAD or embedded binary. Original hardware and supplier criteria remain explicit.</x:v>
      </x:c>
      <x:c r="J2" s="142" t="str">
        <x:v>Every original question retains its evidence requirement. Staged corrections have host/model evidence but are not the released CAD or embedded binary. Original hardware and supplier criteria remain explicit.</x:v>
      </x:c>
      <x:c r="K2" s="142" t="str">
        <x:v>Every original question retains its evidence requirement. Staged corrections have host/model evidence but are not the released CAD or embedded binary. Original hardware and supplier criteria remain explicit.</x:v>
      </x:c>
    </x:row>
    <x:row r="3" ht="26" customHeight="1">
      <x:c r="A3" s="104"/>
      <x:c r="B3" s="104"/>
      <x:c r="C3" s="104"/>
      <x:c r="D3" s="104"/>
      <x:c r="E3" s="104"/>
      <x:c r="F3" s="104"/>
      <x:c r="G3" s="104"/>
      <x:c r="H3" s="104"/>
      <x:c r="I3" s="104"/>
      <x:c r="J3" s="104"/>
      <x:c r="K3" s="104"/>
    </x:row>
    <x:row r="4" ht="45" customHeight="1">
      <x:c r="A4" s="143" t="str">
        <x:v>ID</x:v>
      </x:c>
      <x:c r="B4" s="143" t="str">
        <x:v>Domain</x:v>
      </x:c>
      <x:c r="C4" s="143" t="str">
        <x:v>Online evidence status</x:v>
      </x:c>
      <x:c r="D4" s="143" t="str">
        <x:v>Actual result / correction / limitation</x:v>
      </x:c>
      <x:c r="E4" s="143" t="str">
        <x:v>Online action complete</x:v>
      </x:c>
      <x:c r="F4" s="143" t="str">
        <x:v>Prior criterion closure</x:v>
      </x:c>
      <x:c r="G4" s="143" t="str">
        <x:v>Current criterion closure</x:v>
      </x:c>
      <x:c r="H4" s="143" t="str">
        <x:v>Method</x:v>
      </x:c>
      <x:c r="I4" s="143" t="str">
        <x:v>Evidence</x:v>
      </x:c>
      <x:c r="J4" s="143" t="str">
        <x:v>Remaining original acceptance</x:v>
      </x:c>
      <x:c r="K4" s="143" t="str">
        <x:v>Final review groups</x:v>
      </x:c>
    </x:row>
    <x:row r="5" ht="195" customHeight="1">
      <x:c r="A5" s="104" t="str">
        <x:v>CFG-01</x:v>
      </x:c>
      <x:c r="B5" s="104" t="str">
        <x:v>Configuration and review scope</x:v>
      </x:c>
      <x:c r="C5" s="104" t="str">
        <x:v>DESIGN INTENT</x:v>
      </x:c>
      <x:c r="D5" s="104" t="str">
        <x:v>Final RVB19 source hashes,144factory+1GPS population and firmware2.1.2 manifest are controlled; physical serial/MAC remains a station result.</x:v>
      </x:c>
      <x:c r="E5" s="104" t="str">
        <x:v>PENDING</x:v>
      </x:c>
      <x:c r="F5" s="104" t="str">
        <x:v>OPEN</x:v>
      </x:c>
      <x:c r="G5" s="104" t="str">
        <x:v>OPEN</x:v>
      </x:c>
      <x:c r="H5" s="104" t="str">
        <x:v>Native source/geometry checks, exact-source host tests or bounded models and controlled engineering disposition; specific evidence below. Original required evidence is preserved, not weakened.</x:v>
      </x:c>
      <x:c r="I5"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5" s="104" t="str">
        <x:v>Record actual unit, accessories and verified flashed-image identity.</x:v>
      </x:c>
      <x:c r="K5" s="104" t="str">
        <x:v>FR-06, FR-07</x:v>
      </x:c>
    </x:row>
    <x:row r="6" ht="195" customHeight="1">
      <x:c r="A6" s="104" t="str">
        <x:v>CFG-02</x:v>
      </x:c>
      <x:c r="B6" s="104" t="str">
        <x:v>Configuration and review scope</x:v>
      </x:c>
      <x:c r="C6" s="104" t="str">
        <x:v>DESIGN INTENT</x:v>
      </x:c>
      <x:c r="D6" s="104" t="str">
        <x:v>As-designed state is fully bound; no RevB hardware photographs/joints/flash readback are invented. Historical RevA rework remains a separate configuration.</x:v>
      </x:c>
      <x:c r="E6" s="104" t="str">
        <x:v>YES</x:v>
      </x:c>
      <x:c r="F6" s="104" t="str">
        <x:v>OPEN</x:v>
      </x:c>
      <x:c r="G6" s="104" t="str">
        <x:v>OPEN</x:v>
      </x:c>
      <x:c r="H6" s="104" t="str">
        <x:v>Native source/geometry checks, exact-source host tests or bounded models and controlled engineering disposition; specific evidence below. Original required evidence is preserved, not weakened.</x:v>
      </x:c>
      <x:c r="I6"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6" s="104" t="str">
        <x:v>Reconcile first-article population and every physical alteration against this design.</x:v>
      </x:c>
      <x:c r="K6" s="104" t="str">
        <x:v>FR-06, FR-07</x:v>
      </x:c>
    </x:row>
    <x:row r="7" ht="195" customHeight="1">
      <x:c r="A7" s="104" t="str">
        <x:v>CFG-03</x:v>
      </x:c>
      <x:c r="B7" s="104" t="str">
        <x:v>Configuration and review scope</x:v>
      </x:c>
      <x:c r="C7" s="104" t="str">
        <x:v>DESIGN INTENT</x:v>
      </x:c>
      <x:c r="D7" s="104" t="str">
        <x:v>Review charter is an online engineering candidate and review packet, with no ordering or vehicle-use authorization.</x:v>
      </x:c>
      <x:c r="E7" s="104" t="str">
        <x:v>YES</x:v>
      </x:c>
      <x:c r="F7" s="104" t="str">
        <x:v>CLOSED</x:v>
      </x:c>
      <x:c r="G7" s="104" t="str">
        <x:v>CLOSED</x:v>
      </x:c>
      <x:c r="H7" s="104" t="str">
        <x:v>Native source/geometry checks, exact-source host tests or bounded models and controlled engineering disposition; specific evidence below. Original required evidence is preserved, not weakened.</x:v>
      </x:c>
      <x:c r="I7"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7" s="104" t="str">
        <x:v>Entire criterion addressed within its documentary/native design scope; no unperformed physical pass inferred.</x:v>
      </x:c>
      <x:c r="K7" s="104" t="str"/>
    </x:row>
    <x:row r="8" ht="195" customHeight="1">
      <x:c r="A8" s="104" t="str">
        <x:v>CFG-04</x:v>
      </x:c>
      <x:c r="B8" s="104" t="str">
        <x:v>Configuration and review scope</x:v>
      </x:c>
      <x:c r="C8" s="104" t="str">
        <x:v>VERIFIED</x:v>
      </x:c>
      <x:c r="D8"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8" s="104" t="str">
        <x:v>YES</x:v>
      </x:c>
      <x:c r="F8" s="104" t="str">
        <x:v>CLOSED</x:v>
      </x:c>
      <x:c r="G8" s="104" t="str">
        <x:v>CLOSED</x:v>
      </x:c>
      <x:c r="H8" s="104" t="str">
        <x:v>Native source/geometry checks, exact-source host tests or bounded models and controlled engineering disposition; specific evidence below. Original required evidence is preserved, not weakened.</x:v>
      </x:c>
      <x:c r="I8"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audit/online_resolution_rvb21/INTEGRITY_CHECKS.json</x:v>
      </x:c>
      <x:c r="J8" s="104" t="str">
        <x:v>Entire criterion addressed within its documentary/native design scope; no unperformed physical pass inferred.</x:v>
      </x:c>
      <x:c r="K8" s="104" t="str"/>
    </x:row>
    <x:row r="9" ht="195" customHeight="1">
      <x:c r="A9" s="104" t="str">
        <x:v>CFG-05</x:v>
      </x:c>
      <x:c r="B9" s="104" t="str">
        <x:v>Configuration and review scope</x:v>
      </x:c>
      <x:c r="C9" s="104" t="str">
        <x:v>DESIGN INTENT</x:v>
      </x:c>
      <x:c r="D9" s="104" t="str">
        <x:v>Specific final-review items name the failed/conditional models and missing supplier/installed/physical evidence; a zero-source-error count does not close them.</x:v>
      </x:c>
      <x:c r="E9" s="104" t="str">
        <x:v>YES</x:v>
      </x:c>
      <x:c r="F9" s="104" t="str">
        <x:v>CLOSED</x:v>
      </x:c>
      <x:c r="G9" s="104" t="str">
        <x:v>CLOSED</x:v>
      </x:c>
      <x:c r="H9" s="104" t="str">
        <x:v>Native source/geometry checks, exact-source host tests or bounded models and controlled engineering disposition; specific evidence below. Original required evidence is preserved, not weakened.</x:v>
      </x:c>
      <x:c r="I9"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9" s="104" t="str">
        <x:v>Entire criterion addressed within its documentary/native design scope; no unperformed physical pass inferred.</x:v>
      </x:c>
      <x:c r="K9" s="104" t="str"/>
    </x:row>
    <x:row r="10" ht="195" customHeight="1">
      <x:c r="A10" s="104" t="str">
        <x:v>CFG-06</x:v>
      </x:c>
      <x:c r="B10" s="104" t="str">
        <x:v>Configuration and review scope</x:v>
      </x:c>
      <x:c r="C10" s="104" t="str">
        <x:v>DESIGN INTENT</x:v>
      </x:c>
      <x:c r="D10" s="104" t="str">
        <x:v>Only one normal population: R301/R306DNP,SJ301open,J401/R406/D402fitted,J202/J203fitted,U401manual. No field TX or header-DNP variant is approved.</x:v>
      </x:c>
      <x:c r="E10" s="104" t="str">
        <x:v>YES</x:v>
      </x:c>
      <x:c r="F10" s="104" t="str">
        <x:v>CLOSED</x:v>
      </x:c>
      <x:c r="G10" s="104" t="str">
        <x:v>CLOSED</x:v>
      </x:c>
      <x:c r="H10" s="104" t="str">
        <x:v>Native source/geometry checks, exact-source host tests or bounded models and controlled engineering disposition; specific evidence below. Original required evidence is preserved, not weakened.</x:v>
      </x:c>
      <x:c r="I10"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0" s="104" t="str">
        <x:v>Entire criterion addressed within its documentary/native design scope; no unperformed physical pass inferred.</x:v>
      </x:c>
      <x:c r="K10" s="104" t="str"/>
    </x:row>
    <x:row r="11" ht="195" customHeight="1">
      <x:c r="A11" s="104" t="str">
        <x:v>CFG-07</x:v>
      </x:c>
      <x:c r="B11" s="104" t="str">
        <x:v>Configuration and review scope</x:v>
      </x:c>
      <x:c r="C11" s="104" t="str">
        <x:v>DESIGN INTENT</x:v>
      </x:c>
      <x:c r="D11" s="104" t="str">
        <x:v>Numerical interface/model assumptions, their methods and physical limitations are explicit in the online contract and final-review register.</x:v>
      </x:c>
      <x:c r="E11" s="104" t="str">
        <x:v>YES</x:v>
      </x:c>
      <x:c r="F11" s="104" t="str">
        <x:v>CLOSED</x:v>
      </x:c>
      <x:c r="G11" s="104" t="str">
        <x:v>CLOSED</x:v>
      </x:c>
      <x:c r="H11" s="104" t="str">
        <x:v>Native source/geometry checks, exact-source host tests or bounded models and controlled engineering disposition; specific evidence below. Original required evidence is preserved, not weakened.</x:v>
      </x:c>
      <x:c r="I11"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1" s="104" t="str">
        <x:v>Entire criterion addressed within its documentary/native design scope; no unperformed physical pass inferred.</x:v>
      </x:c>
      <x:c r="K11" s="104" t="str"/>
    </x:row>
    <x:row r="12" ht="195" customHeight="1">
      <x:c r="A12" s="104" t="str">
        <x:v>CFG-08</x:v>
      </x:c>
      <x:c r="B12" s="104" t="str">
        <x:v>Configuration and review scope</x:v>
      </x:c>
      <x:c r="C12" s="104" t="str">
        <x:v>DESIGN INTENT</x:v>
      </x:c>
      <x:c r="D12" s="104" t="str">
        <x:v>Actual KiCad9.0.9 and checksum-restored pinned Arduino target run successfully; current scripts/native exports and manifests make the online results reproducible.</x:v>
      </x:c>
      <x:c r="E12" s="104" t="str">
        <x:v>YES</x:v>
      </x:c>
      <x:c r="F12" s="104" t="str">
        <x:v>CLOSED</x:v>
      </x:c>
      <x:c r="G12" s="104" t="str">
        <x:v>CLOSED</x:v>
      </x:c>
      <x:c r="H12" s="104" t="str">
        <x:v>Native source/geometry checks, exact-source host tests or bounded models and controlled engineering disposition; specific evidence below. Original required evidence is preserved, not weakened.</x:v>
      </x:c>
      <x:c r="I12"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2" s="104" t="str">
        <x:v>Entire criterion addressed within its documentary/native design scope; no unperformed physical pass inferred.</x:v>
      </x:c>
      <x:c r="K12" s="104" t="str"/>
    </x:row>
    <x:row r="13" ht="195" customHeight="1">
      <x:c r="A13" s="104" t="str">
        <x:v>CFG-09</x:v>
      </x:c>
      <x:c r="B13" s="104" t="str">
        <x:v>Configuration and review scope</x:v>
      </x:c>
      <x:c r="C13" s="104" t="str">
        <x:v>DESIGN INTENT</x:v>
      </x:c>
      <x:c r="D13" s="104" t="str">
        <x:v>System boundary now includes source fuse,harness,sensor,antenna,enclosure,phone; actual vehicle/accessory identities not supplied remain final-review inputs.</x:v>
      </x:c>
      <x:c r="E13" s="104" t="str">
        <x:v>PENDING</x:v>
      </x:c>
      <x:c r="F13" s="104" t="str">
        <x:v>OPEN</x:v>
      </x:c>
      <x:c r="G13" s="104" t="str">
        <x:v>OPEN</x:v>
      </x:c>
      <x:c r="H13" s="104" t="str">
        <x:v>Native source/geometry checks, exact-source host tests or bounded models and controlled engineering disposition; specific evidence below. Original required evidence is preserved, not weakened.</x:v>
      </x:c>
      <x:c r="I13"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
audit/online_resolution_rvb21/closure/CANDIDATE_DISPOSITIONS.json</x:v>
      </x:c>
      <x:c r="J13" s="104" t="str">
        <x:v>Freeze and measure the installed accessory/vehicle configuration.</x:v>
      </x:c>
      <x:c r="K13" s="104" t="str">
        <x:v>FR-06, FR-07</x:v>
      </x:c>
    </x:row>
    <x:row r="14" ht="195" customHeight="1">
      <x:c r="A14" s="104" t="str">
        <x:v>CFG-10</x:v>
      </x:c>
      <x:c r="B14" s="104" t="str">
        <x:v>Configuration and review scope</x:v>
      </x:c>
      <x:c r="C14" s="104" t="str">
        <x:v>DESIGN INTENT</x:v>
      </x:c>
      <x:c r="D14" s="104" t="str">
        <x:v>Original RevA destructive12V path is historical KNOWN BROKEN; no RevB result retroactively authorizes energizing it.</x:v>
      </x:c>
      <x:c r="E14" s="104" t="str">
        <x:v>YES</x:v>
      </x:c>
      <x:c r="F14" s="104" t="str">
        <x:v>CLOSED</x:v>
      </x:c>
      <x:c r="G14" s="104" t="str">
        <x:v>CLOSED</x:v>
      </x:c>
      <x:c r="H14" s="104" t="str">
        <x:v>Native source/geometry checks, exact-source host tests or bounded models and controlled engineering disposition; specific evidence below. Original required evidence is preserved, not weakened.</x:v>
      </x:c>
      <x:c r="I14" s="162" t="str">
        <x:v>audit/online_closure_20260908/ONLINE_VERIFICATION_CONTRACT.md
audit/online_closure_20260908/FINAL_REVIEW_ITEMS.json
audit/online_closure_20260908/CURRENT_SOURCE_RECONCILIATION.md
audit/CONTROLLED_REDLINE_CROSSWALK.csv
audit/CURRENT_ISSUE_DISPOSITIONS.csv
audit/product_schematic/PRODUCT_SCHEMATIC_CHECKS.json
audit/product_pcb/PRODUCT_PCB_CHECKS.json
audit/online_closure_20260908/pcb/FINAL_GEOMETRY_EQUIVALENCE.json
audit/online_resolution_rvb21/SOURCE_EFFECTIVITY.md</x:v>
      </x:c>
      <x:c r="J14" s="104" t="str">
        <x:v>Entire criterion addressed within its documentary/native design scope; no unperformed physical pass inferred.</x:v>
      </x:c>
      <x:c r="K14" s="104" t="str"/>
    </x:row>
    <x:row r="15" ht="195" customHeight="1">
      <x:c r="A15" s="104" t="str">
        <x:v>REQ-01</x:v>
      </x:c>
      <x:c r="B15" s="104" t="str">
        <x:v>Requirements and interfaces</x:v>
      </x:c>
      <x:c r="C15" s="104" t="str">
        <x:v>DESIGN INTENT</x:v>
      </x:c>
      <x:c r="D15" s="104" t="str">
        <x:v>Passive requirement covers boot,programming,crash and recovery: hardware openTX plus listen-only/noTX firmware; electrical short-fault consequences remain explicit.</x:v>
      </x:c>
      <x:c r="E15" s="104" t="str">
        <x:v>YES</x:v>
      </x:c>
      <x:c r="F15" s="104" t="str">
        <x:v>CLOSED</x:v>
      </x:c>
      <x:c r="G15" s="104" t="str">
        <x:v>CLOSED</x:v>
      </x:c>
      <x:c r="H15" s="104" t="str">
        <x:v>Native source/geometry checks, exact-source host tests or bounded models and controlled engineering disposition; specific evidence below. Original required evidence is preserved, not weakened.</x:v>
      </x:c>
      <x:c r="I15"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5" s="104" t="str">
        <x:v>Entire criterion addressed within its documentary/native design scope; no unperformed physical pass inferred.</x:v>
      </x:c>
      <x:c r="K15" s="104" t="str"/>
    </x:row>
    <x:row r="16" ht="195" customHeight="1">
      <x:c r="A16" s="104" t="str">
        <x:v>REQ-02</x:v>
      </x:c>
      <x:c r="B16" s="104" t="str">
        <x:v>Requirements and interfaces</x:v>
      </x:c>
      <x:c r="C16" s="104" t="str">
        <x:v>DESIGN INTENT</x:v>
      </x:c>
      <x:c r="D16" s="104" t="str">
        <x:v>Gen2 GR86/BRZ intended; no unverified model-year or OEM ASC cavity claim. CCA F1 cavity contract is fixed; actual vehicle endpoint requires documentation/measurement.</x:v>
      </x:c>
      <x:c r="E16" s="104" t="str">
        <x:v>PENDING</x:v>
      </x:c>
      <x:c r="F16" s="104" t="str">
        <x:v>OPEN</x:v>
      </x:c>
      <x:c r="G16" s="104" t="str">
        <x:v>OPEN</x:v>
      </x:c>
      <x:c r="H16" s="104" t="str">
        <x:v>Native source/geometry checks, exact-source host tests or bounded models and controlled engineering disposition; specific evidence below. Original required evidence is preserved, not weakened.</x:v>
      </x:c>
      <x:c r="I16"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6" s="104" t="str">
        <x:v>Record actual vehicle/tap identity, service cavities and observed500kbit/s traffic.</x:v>
      </x:c>
      <x:c r="K16" s="104" t="str">
        <x:v>FR-04, FR-05, FR-06</x:v>
      </x:c>
    </x:row>
    <x:row r="17" ht="195" customHeight="1">
      <x:c r="A17" s="104" t="str">
        <x:v>REQ-03</x:v>
      </x:c>
      <x:c r="B17" s="104" t="str">
        <x:v>Requirements and interfaces</x:v>
      </x:c>
      <x:c r="C17" s="104" t="str">
        <x:v>DESIGN INTENT</x:v>
      </x:c>
      <x:c r="D17" s="104" t="str">
        <x:v>Classical500kbit/s,11/29bit IDs,0–8bytes; normal6IDs10Hz plus oil25Hz/GPS10Hz/time1Hz.10638fps is acquisition stress ceiling,not a lossless BLE export promise.</x:v>
      </x:c>
      <x:c r="E17" s="104" t="str">
        <x:v>YES</x:v>
      </x:c>
      <x:c r="F17" s="104" t="str">
        <x:v>CLOSED</x:v>
      </x:c>
      <x:c r="G17" s="104" t="str">
        <x:v>CLOSED</x:v>
      </x:c>
      <x:c r="H17" s="104" t="str">
        <x:v>Native source/geometry checks, exact-source host tests or bounded models and controlled engineering disposition; specific evidence below. Original required evidence is preserved, not weakened.</x:v>
      </x:c>
      <x:c r="I17"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7" s="104" t="str">
        <x:v>Entire criterion addressed within its documentary/native design scope; no unperformed physical pass inferred.</x:v>
      </x:c>
      <x:c r="K17" s="104" t="str"/>
    </x:row>
    <x:row r="18" ht="195" customHeight="1">
      <x:c r="A18" s="104" t="str">
        <x:v>REQ-04</x:v>
      </x:c>
      <x:c r="B18" s="104" t="str">
        <x:v>Requirements and interfaces</x:v>
      </x:c>
      <x:c r="C18" s="104" t="str">
        <x:v>DESIGN INTENT</x:v>
      </x:c>
      <x:c r="D18" s="104" t="str">
        <x:v>Numerical oil range,error,repeatability,noise,step and dip targets are selected; measured accuracy and sensor-temperature behavior remain qualification.</x:v>
      </x:c>
      <x:c r="E18" s="104" t="str">
        <x:v>YES</x:v>
      </x:c>
      <x:c r="F18" s="104" t="str">
        <x:v>CLOSED</x:v>
      </x:c>
      <x:c r="G18" s="104" t="str">
        <x:v>CLOSED</x:v>
      </x:c>
      <x:c r="H18" s="104" t="str">
        <x:v>Native source/geometry checks, exact-source host tests or bounded models and controlled engineering disposition; specific evidence below. Original required evidence is preserved, not weakened.</x:v>
      </x:c>
      <x:c r="I18"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8" s="104" t="str">
        <x:v>Entire criterion addressed within its documentary/native design scope; no unperformed physical pass inferred.</x:v>
      </x:c>
      <x:c r="K18" s="104" t="str"/>
    </x:row>
    <x:row r="19" ht="195" customHeight="1">
      <x:c r="A19" s="104" t="str">
        <x:v>REQ-05</x:v>
      </x:c>
      <x:c r="B19" s="104" t="str">
        <x:v>Requirements and interfaces</x:v>
      </x:c>
      <x:c r="C19" s="104" t="str">
        <x:v>DESIGN INTENT</x:v>
      </x:c>
      <x:c r="D19" s="104" t="str">
        <x:v>GPS baud/cadence,validity,field accuracy/startup targets and active antenna envelope are explicit; module/sky conditions require field validation.</x:v>
      </x:c>
      <x:c r="E19" s="104" t="str">
        <x:v>YES</x:v>
      </x:c>
      <x:c r="F19" s="104" t="str">
        <x:v>CLOSED</x:v>
      </x:c>
      <x:c r="G19" s="104" t="str">
        <x:v>CLOSED</x:v>
      </x:c>
      <x:c r="H19" s="104" t="str">
        <x:v>Native source/geometry checks, exact-source host tests or bounded models and controlled engineering disposition; specific evidence below. Original required evidence is preserved, not weakened.</x:v>
      </x:c>
      <x:c r="I19"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9" s="104" t="str">
        <x:v>Entire criterion addressed within its documentary/native design scope; no unperformed physical pass inferred.</x:v>
      </x:c>
      <x:c r="K19" s="104" t="str"/>
    </x:row>
    <x:row r="20" ht="195" customHeight="1">
      <x:c r="A20" s="104" t="str">
        <x:v>REQ-06</x:v>
      </x:c>
      <x:c r="B20" s="104" t="str">
        <x:v>Requirements and interfaces</x:v>
      </x:c>
      <x:c r="C20" s="104" t="str">
        <x:v>DESIGN INTENT</x:v>
      </x:c>
      <x:c r="D20" s="104" t="str">
        <x:v>2m installed-phone range and15s recovery are targets;120/s budget and congestion policy are modeled. No exact phone/OS/RaceChrono-version pass is invented.</x:v>
      </x:c>
      <x:c r="E20" s="104" t="str">
        <x:v>PENDING</x:v>
      </x:c>
      <x:c r="F20" s="104" t="str">
        <x:v>OPEN</x:v>
      </x:c>
      <x:c r="G20" s="104" t="str">
        <x:v>OPEN</x:v>
      </x:c>
      <x:c r="H20" s="104" t="str">
        <x:v>Native source/geometry checks, exact-source host tests or bounded models and controlled engineering disposition; specific evidence below. Original required evidence is preserved, not weakened.</x:v>
      </x:c>
      <x:c r="I20"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0" s="104" t="str">
        <x:v>Identify and test actual phone/OS/app/connection modes against the existing2m/15s/120-attempt-per-second and loss-policy targets.</x:v>
      </x:c>
      <x:c r="K20" s="104" t="str">
        <x:v>FR-04, FR-05, FR-06</x:v>
      </x:c>
    </x:row>
    <x:row r="21" ht="195" customHeight="1">
      <x:c r="A21" s="104" t="str">
        <x:v>REQ-07</x:v>
      </x:c>
      <x:c r="B21" s="104" t="str">
        <x:v>Requirements and interfaces</x:v>
      </x:c>
      <x:c r="C21" s="104" t="str">
        <x:v>DESIGN INTENT</x:v>
      </x:c>
      <x:c r="D21" s="104" t="str">
        <x:v>Normal9.5–16V,crank-reset,elevated24V,reverse and finite transient/thermal bounds are separated from failed-component survival.</x:v>
      </x:c>
      <x:c r="E21" s="104" t="str">
        <x:v>YES</x:v>
      </x:c>
      <x:c r="F21" s="104" t="str">
        <x:v>CLOSED</x:v>
      </x:c>
      <x:c r="G21" s="104" t="str">
        <x:v>CLOSED</x:v>
      </x:c>
      <x:c r="H21" s="104" t="str">
        <x:v>Native source/geometry checks, exact-source host tests or bounded models and controlled engineering disposition; specific evidence below. Original required evidence is preserved, not weakened.</x:v>
      </x:c>
      <x:c r="I21"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1" s="104" t="str">
        <x:v>Entire criterion addressed within its documentary/native design scope; no unperformed physical pass inferred.</x:v>
      </x:c>
      <x:c r="K21" s="104" t="str"/>
    </x:row>
    <x:row r="22" ht="195" customHeight="1">
      <x:c r="A22" s="104" t="str">
        <x:v>REQ-08</x:v>
      </x:c>
      <x:c r="B22" s="104" t="str">
        <x:v>Requirements and interfaces</x:v>
      </x:c>
      <x:c r="C22" s="104" t="str">
        <x:v>DESIGN INTENT</x:v>
      </x:c>
      <x:c r="D22" s="104" t="str">
        <x:v>State table defines stale/invalid behavior and recovery for sensor,GPS,CAN,phone and bad configuration; actual parser/oil/cache cases executed.
The defined invalid/recovery state table now explicitly includes immediate oil-fault entry/three-clean acquisition recovery and first/newer dated RMC epochs. Repeated GPS reception cannot renew old solution age. Canonical2.1.2 still has the reproduced defect; the implemented candidate remains unbuilt.</x:v>
      </x:c>
      <x:c r="E22" s="104" t="str">
        <x:v>YES</x:v>
      </x:c>
      <x:c r="F22" s="104" t="str">
        <x:v>CLOSED</x:v>
      </x:c>
      <x:c r="G22" s="104" t="str">
        <x:v>CLOSED</x:v>
      </x:c>
      <x:c r="H22" s="104" t="str">
        <x:v>Native source/geometry checks, exact-source host tests or bounded models and controlled engineering disposition; specific evidence below. Original required evidence is preserved, not weakened.</x:v>
      </x:c>
      <x:c r="I22"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audit/online_resolution_rvb21/adc_fault/REVIEW.md
audit/online_resolution_rvb21/adc_fault/FOLLOWUP_REGRESSION_RESULTS.json
audit/online_resolution_rvb21/adc_fault/GPS_EPOCH_RESULTS.json</x:v>
      </x:c>
      <x:c r="J22" s="104" t="str">
        <x:v>Entire criterion addressed within its documentary/native design scope; no unperformed physical pass inferred.
Keep closed only for its stated requirement/state-definition scope; do not equate definition with deployed behavior. New table is in adc_fault/REVIEW.md.</x:v>
      </x:c>
      <x:c r="K22" s="104" t="str"/>
    </x:row>
    <x:row r="23" ht="195" customHeight="1">
      <x:c r="A23" s="104" t="str">
        <x:v>REQ-09</x:v>
      </x:c>
      <x:c r="B23" s="104" t="str">
        <x:v>Requirements and interfaces</x:v>
      </x:c>
      <x:c r="C23" s="104" t="str">
        <x:v>DESIGN INTENT</x:v>
      </x:c>
      <x:c r="D23" s="104" t="str">
        <x:v>Switched-feed-only installation is selected. No always-on sleep or ignition-off battery-life claim; confirm vehicle takeoff becomes unpowered.</x:v>
      </x:c>
      <x:c r="E23" s="104" t="str">
        <x:v>YES</x:v>
      </x:c>
      <x:c r="F23" s="104" t="str">
        <x:v>CLOSED</x:v>
      </x:c>
      <x:c r="G23" s="104" t="str">
        <x:v>CLOSED</x:v>
      </x:c>
      <x:c r="H23" s="104" t="str">
        <x:v>Native source/geometry checks, exact-source host tests or bounded models and controlled engineering disposition; specific evidence below. Original required evidence is preserved, not weakened.</x:v>
      </x:c>
      <x:c r="I2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3" s="104" t="str">
        <x:v>Entire criterion addressed within its documentary/native design scope; no unperformed physical pass inferred.</x:v>
      </x:c>
      <x:c r="K23" s="104" t="str"/>
    </x:row>
    <x:row r="24" ht="195" customHeight="1">
      <x:c r="A24" s="104" t="str">
        <x:v>REQ-10</x:v>
      </x:c>
      <x:c r="B24" s="104" t="str">
        <x:v>Requirements and interfaces</x:v>
      </x:c>
      <x:c r="C24" s="104" t="str">
        <x:v>DESIGN INTENT</x:v>
      </x:c>
      <x:c r="D24" s="104" t="str">
        <x:v>Product claims are limited to engineering candidate until supplier and physical qualification; no CANFD,engine-protection or universal harmlessness claim.</x:v>
      </x:c>
      <x:c r="E24" s="104" t="str">
        <x:v>YES</x:v>
      </x:c>
      <x:c r="F24" s="104" t="str">
        <x:v>CLOSED</x:v>
      </x:c>
      <x:c r="G24" s="104" t="str">
        <x:v>CLOSED</x:v>
      </x:c>
      <x:c r="H24" s="104" t="str">
        <x:v>Native source/geometry checks, exact-source host tests or bounded models and controlled engineering disposition; specific evidence below. Original required evidence is preserved, not weakened.</x:v>
      </x:c>
      <x:c r="I2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4" s="104" t="str">
        <x:v>Entire criterion addressed within its documentary/native design scope; no unperformed physical pass inferred.</x:v>
      </x:c>
      <x:c r="K24" s="104" t="str"/>
    </x:row>
    <x:row r="25" ht="195" customHeight="1">
      <x:c r="A25" s="104" t="str">
        <x:v>LIB-01</x:v>
      </x:c>
      <x:c r="B25" s="104" t="str">
        <x:v>Symbols, footprints and connectivity</x:v>
      </x:c>
      <x:c r="C25" s="104" t="str">
        <x:v>VERIFIED</x:v>
      </x:c>
      <x:c r="D25" s="104" t="str">
        <x:v>All480 electrical keys/497 numbered pads and219 independent manufacturer-function rows remain qualified; R302exact220ohm selection is explicitly updated.</x:v>
      </x:c>
      <x:c r="E25" s="104" t="str">
        <x:v>YES</x:v>
      </x:c>
      <x:c r="F25" s="104" t="str">
        <x:v>CLOSED</x:v>
      </x:c>
      <x:c r="G25" s="104" t="str">
        <x:v>CLOSED</x:v>
      </x:c>
      <x:c r="H25" s="104" t="str">
        <x:v>Native source/geometry checks, exact-source host tests or bounded models and controlled engineering disposition; specific evidence below. Original required evidence is preserved, not weakened.</x:v>
      </x:c>
      <x:c r="I25" s="162" t="str">
        <x:v>audit/product_schematic/PRODUCT_SCHEMATIC_CHECKS.json
audit/product_pcb/PRODUCT_PCB_CHECKS.json
audit/online_closure_20260908/pcb/FINAL_GEOMETRY_EQUIVALENCE.json
audit/online_resolution_rvb21/SOURCE_EFFECTIVITY.md</x:v>
      </x:c>
      <x:c r="J25" s="104" t="str">
        <x:v>Entire criterion addressed within its documentary/native design scope; no unperformed physical pass inferred.</x:v>
      </x:c>
      <x:c r="K25" s="104" t="str"/>
    </x:row>
    <x:row r="26" ht="195" customHeight="1">
      <x:c r="A26" s="104" t="str">
        <x:v>LIB-02</x:v>
      </x:c>
      <x:c r="B26" s="104" t="str">
        <x:v>Symbols, footprints and connectivity</x:v>
      </x:c>
      <x:c r="C26" s="104" t="str">
        <x:v>VERIFIED</x:v>
      </x:c>
      <x:c r="D26" s="104" t="str">
        <x:v>All critical orientation/physical pad geometry is unchanged; fresh native comparison and controlled drawing/polarity review bind the exact final source.</x:v>
      </x:c>
      <x:c r="E26" s="104" t="str">
        <x:v>YES</x:v>
      </x:c>
      <x:c r="F26" s="104" t="str">
        <x:v>CLOSED</x:v>
      </x:c>
      <x:c r="G26" s="104" t="str">
        <x:v>CLOSED</x:v>
      </x:c>
      <x:c r="H26" s="104" t="str">
        <x:v>Native source/geometry checks, exact-source host tests or bounded models and controlled engineering disposition; specific evidence below. Original required evidence is preserved, not weakened.</x:v>
      </x:c>
      <x:c r="I26" s="162" t="str">
        <x:v>audit/product_schematic/PRODUCT_SCHEMATIC_CHECKS.json
audit/product_pcb/PRODUCT_PCB_CHECKS.json
audit/online_closure_20260908/pcb/FINAL_GEOMETRY_EQUIVALENCE.json
audit/online_resolution_rvb21/SOURCE_EFFECTIVITY.md</x:v>
      </x:c>
      <x:c r="J26" s="104" t="str">
        <x:v>Entire criterion addressed within its documentary/native design scope; no unperformed physical pass inferred.</x:v>
      </x:c>
      <x:c r="K26" s="104" t="str"/>
    </x:row>
    <x:row r="27" ht="195" customHeight="1">
      <x:c r="A27" s="104" t="str">
        <x:v>LIB-03</x:v>
      </x:c>
      <x:c r="B27" s="104" t="str">
        <x:v>Symbols, footprints and connectivity</x:v>
      </x:c>
      <x:c r="C27" s="104" t="str">
        <x:v>VERIFIED</x:v>
      </x:c>
      <x:c r="D27" s="104" t="str">
        <x:v>Fresh LM5164/LM63615,exactS3,TCAN3403DRB andPA1616D symbols/packages remain rebuilt; no RevA broken mapping is inherited.</x:v>
      </x:c>
      <x:c r="E27" s="104" t="str">
        <x:v>YES</x:v>
      </x:c>
      <x:c r="F27" s="104" t="str">
        <x:v>CLOSED</x:v>
      </x:c>
      <x:c r="G27" s="104" t="str">
        <x:v>CLOSED</x:v>
      </x:c>
      <x:c r="H27" s="104" t="str">
        <x:v>Native source/geometry checks, exact-source host tests or bounded models and controlled engineering disposition; specific evidence below. Original required evidence is preserved, not weakened.</x:v>
      </x:c>
      <x:c r="I27" s="162" t="str">
        <x:v>audit/product_schematic/PRODUCT_SCHEMATIC_CHECKS.json
audit/product_pcb/PRODUCT_PCB_CHECKS.json
audit/online_closure_20260908/pcb/FINAL_GEOMETRY_EQUIVALENCE.json
audit/online_resolution_rvb21/SOURCE_EFFECTIVITY.md</x:v>
      </x:c>
      <x:c r="J27" s="104" t="str">
        <x:v>Entire criterion addressed within its documentary/native design scope; no unperformed physical pass inferred.</x:v>
      </x:c>
      <x:c r="K27" s="104" t="str"/>
    </x:row>
    <x:row r="28" ht="195" customHeight="1">
      <x:c r="A28" s="104" t="str">
        <x:v>LIB-04</x:v>
      </x:c>
      <x:c r="B28" s="104" t="str">
        <x:v>Symbols, footprints and connectivity</x:v>
      </x:c>
      <x:c r="C28" s="104" t="str">
        <x:v>VERIFIED</x:v>
      </x:c>
      <x:c r="D28" s="104" t="str">
        <x:v>Every two-terminal component retains distinct intended nodes;111passives checked, R302new damping value separately stress-qualified.</x:v>
      </x:c>
      <x:c r="E28" s="104" t="str">
        <x:v>YES</x:v>
      </x:c>
      <x:c r="F28" s="104" t="str">
        <x:v>CLOSED</x:v>
      </x:c>
      <x:c r="G28" s="104" t="str">
        <x:v>CLOSED</x:v>
      </x:c>
      <x:c r="H28" s="104" t="str">
        <x:v>Native source/geometry checks, exact-source host tests or bounded models and controlled engineering disposition; specific evidence below. Original required evidence is preserved, not weakened.</x:v>
      </x:c>
      <x:c r="I28" s="162" t="str">
        <x:v>audit/product_schematic/PRODUCT_SCHEMATIC_CHECKS.json
audit/product_pcb/PRODUCT_PCB_CHECKS.json
audit/online_closure_20260908/pcb/FINAL_GEOMETRY_EQUIVALENCE.json
audit/online_resolution_rvb21/SOURCE_EFFECTIVITY.md</x:v>
      </x:c>
      <x:c r="J28" s="104" t="str">
        <x:v>Entire criterion addressed within its documentary/native design scope; no unperformed physical pass inferred.</x:v>
      </x:c>
      <x:c r="K28" s="104" t="str"/>
    </x:row>
    <x:row r="29" ht="195" customHeight="1">
      <x:c r="A29" s="104" t="str">
        <x:v>LIB-05</x:v>
      </x:c>
      <x:c r="B29" s="104" t="str">
        <x:v>Symbols, footprints and connectivity</x:v>
      </x:c>
      <x:c r="C29" s="104" t="str">
        <x:v>VERIFIED</x:v>
      </x:c>
      <x:c r="D29" s="104" t="str">
        <x:v>Native pin counts,expectedNCs,repeated ground/tab lands and exposed pads are explicit; no new hidden/duplicate/unintended pin introduced.</x:v>
      </x:c>
      <x:c r="E29" s="104" t="str">
        <x:v>YES</x:v>
      </x:c>
      <x:c r="F29" s="104" t="str">
        <x:v>CLOSED</x:v>
      </x:c>
      <x:c r="G29" s="104" t="str">
        <x:v>CLOSED</x:v>
      </x:c>
      <x:c r="H29" s="104" t="str">
        <x:v>Native source/geometry checks, exact-source host tests or bounded models and controlled engineering disposition; specific evidence below. Original required evidence is preserved, not weakened.</x:v>
      </x:c>
      <x:c r="I29" s="162" t="str">
        <x:v>audit/product_schematic/PRODUCT_SCHEMATIC_CHECKS.json
audit/product_pcb/PRODUCT_PCB_CHECKS.json
audit/online_closure_20260908/pcb/FINAL_GEOMETRY_EQUIVALENCE.json
audit/online_resolution_rvb21/SOURCE_EFFECTIVITY.md</x:v>
      </x:c>
      <x:c r="J29" s="104" t="str">
        <x:v>Entire criterion addressed within its documentary/native design scope; no unperformed physical pass inferred.</x:v>
      </x:c>
      <x:c r="K29" s="104" t="str"/>
    </x:row>
    <x:row r="30" ht="195" customHeight="1">
      <x:c r="A30" s="104" t="str">
        <x:v>LIB-06</x:v>
      </x:c>
      <x:c r="B30" s="104" t="str">
        <x:v>Symbols, footprints and connectivity</x:v>
      </x:c>
      <x:c r="C30" s="104" t="str">
        <x:v>VERIFIED</x:v>
      </x:c>
      <x:c r="D30" s="104" t="str">
        <x:v>Fresh hierarchical native netlist and final PCB pad/net comparison reject net collisions; physical conductive DRC handles actual copper shorts/opens.</x:v>
      </x:c>
      <x:c r="E30" s="104" t="str">
        <x:v>YES</x:v>
      </x:c>
      <x:c r="F30" s="104" t="str">
        <x:v>CLOSED</x:v>
      </x:c>
      <x:c r="G30" s="104" t="str">
        <x:v>CLOSED</x:v>
      </x:c>
      <x:c r="H30" s="104" t="str">
        <x:v>Native source/geometry checks, exact-source host tests or bounded models and controlled engineering disposition; specific evidence below. Original required evidence is preserved, not weakened.</x:v>
      </x:c>
      <x:c r="I30" s="162" t="str">
        <x:v>audit/product_schematic/PRODUCT_SCHEMATIC_CHECKS.json
audit/product_pcb/PRODUCT_PCB_CHECKS.json
audit/online_closure_20260908/pcb/FINAL_GEOMETRY_EQUIVALENCE.json
audit/online_resolution_rvb21/SOURCE_EFFECTIVITY.md</x:v>
      </x:c>
      <x:c r="J30" s="104" t="str">
        <x:v>Entire criterion addressed within its documentary/native design scope; no unperformed physical pass inferred.</x:v>
      </x:c>
      <x:c r="K30" s="104" t="str"/>
    </x:row>
    <x:row r="31" ht="195" customHeight="1">
      <x:c r="A31" s="104" t="str">
        <x:v>LIB-07</x:v>
      </x:c>
      <x:c r="B31" s="104" t="str">
        <x:v>Symbols, footprints and connectivity</x:v>
      </x:c>
      <x:c r="C31" s="104" t="str">
        <x:v>VERIFIED</x:v>
      </x:c>
      <x:c r="D31" s="104" t="str">
        <x:v>Exact ESP32-S3-WROOM-1-N8R2 flash/PSRAM restrictions and reservedGPIO35–37 remain respected by firmware/source contract.</x:v>
      </x:c>
      <x:c r="E31" s="104" t="str">
        <x:v>YES</x:v>
      </x:c>
      <x:c r="F31" s="104" t="str">
        <x:v>CLOSED</x:v>
      </x:c>
      <x:c r="G31" s="104" t="str">
        <x:v>CLOSED</x:v>
      </x:c>
      <x:c r="H31" s="104" t="str">
        <x:v>Native source/geometry checks, exact-source host tests or bounded models and controlled engineering disposition; specific evidence below. Original required evidence is preserved, not weakened.</x:v>
      </x:c>
      <x:c r="I31" s="162" t="str">
        <x:v>audit/product_schematic/PRODUCT_SCHEMATIC_CHECKS.json
audit/product_pcb/PRODUCT_PCB_CHECKS.json
audit/online_closure_20260908/pcb/FINAL_GEOMETRY_EQUIVALENCE.json
audit/online_resolution_rvb21/SOURCE_EFFECTIVITY.md</x:v>
      </x:c>
      <x:c r="J31" s="104" t="str">
        <x:v>Entire criterion addressed within its documentary/native design scope; no unperformed physical pass inferred.</x:v>
      </x:c>
      <x:c r="K31" s="104" t="str"/>
    </x:row>
    <x:row r="32" ht="195" customHeight="1">
      <x:c r="A32" s="104" t="str">
        <x:v>LIB-08</x:v>
      </x:c>
      <x:c r="B32" s="104" t="str">
        <x:v>Symbols, footprints and connectivity</x:v>
      </x:c>
      <x:c r="C32" s="104" t="str">
        <x:v>VERIFIED</x:v>
      </x:c>
      <x:c r="D32" s="104" t="str">
        <x:v>Current exposed pads/shields and private TPS RTN match exact manufacturer maps and qualified copper/paste geometry; no incorrect ground merge.</x:v>
      </x:c>
      <x:c r="E32" s="104" t="str">
        <x:v>YES</x:v>
      </x:c>
      <x:c r="F32" s="104" t="str">
        <x:v>CLOSED</x:v>
      </x:c>
      <x:c r="G32" s="104" t="str">
        <x:v>CLOSED</x:v>
      </x:c>
      <x:c r="H32" s="104" t="str">
        <x:v>Native source/geometry checks, exact-source host tests or bounded models and controlled engineering disposition; specific evidence below. Original required evidence is preserved, not weakened.</x:v>
      </x:c>
      <x:c r="I32" s="162" t="str">
        <x:v>audit/product_schematic/PRODUCT_SCHEMATIC_CHECKS.json
audit/product_pcb/PRODUCT_PCB_CHECKS.json
audit/online_closure_20260908/pcb/FINAL_GEOMETRY_EQUIVALENCE.json
audit/online_resolution_rvb21/SOURCE_EFFECTIVITY.md</x:v>
      </x:c>
      <x:c r="J32" s="104" t="str">
        <x:v>Entire criterion addressed within its documentary/native design scope; no unperformed physical pass inferred.</x:v>
      </x:c>
      <x:c r="K32" s="104" t="str"/>
    </x:row>
    <x:row r="33" ht="195" customHeight="1">
      <x:c r="A33" s="104" t="str">
        <x:v>LIB-09</x:v>
      </x:c>
      <x:c r="B33" s="104" t="str">
        <x:v>Symbols, footprints and connectivity</x:v>
      </x:c>
      <x:c r="C33" s="104" t="str">
        <x:v>VERIFIED</x:v>
      </x:c>
      <x:c r="D33" s="104" t="str">
        <x:v>Actual diode/MOSFET/LED pin functions and current paths remain unchanged and reviewed; D402ground path remains short after the RF correction.</x:v>
      </x:c>
      <x:c r="E33" s="104" t="str">
        <x:v>YES</x:v>
      </x:c>
      <x:c r="F33" s="104" t="str">
        <x:v>CLOSED</x:v>
      </x:c>
      <x:c r="G33" s="104" t="str">
        <x:v>CLOSED</x:v>
      </x:c>
      <x:c r="H33" s="104" t="str">
        <x:v>Native source/geometry checks, exact-source host tests or bounded models and controlled engineering disposition; specific evidence below. Original required evidence is preserved, not weakened.</x:v>
      </x:c>
      <x:c r="I33" s="162" t="str">
        <x:v>audit/product_schematic/PRODUCT_SCHEMATIC_CHECKS.json
audit/product_pcb/PRODUCT_PCB_CHECKS.json
audit/online_closure_20260908/pcb/FINAL_GEOMETRY_EQUIVALENCE.json
audit/online_resolution_rvb21/SOURCE_EFFECTIVITY.md</x:v>
      </x:c>
      <x:c r="J33" s="104" t="str">
        <x:v>Entire criterion addressed within its documentary/native design scope; no unperformed physical pass inferred.</x:v>
      </x:c>
      <x:c r="K33" s="104" t="str"/>
    </x:row>
    <x:row r="34" ht="195" customHeight="1">
      <x:c r="A34" s="104" t="str">
        <x:v>LIB-10</x:v>
      </x:c>
      <x:c r="B34" s="104" t="str">
        <x:v>Symbols, footprints and connectivity</x:v>
      </x:c>
      <x:c r="C34" s="104" t="str">
        <x:v>VERIFIED</x:v>
      </x:c>
      <x:c r="D34" s="104" t="str">
        <x:v>Only intentional links/options remain; TX and termination are physically open in normal population, and R302220ohm does not bypass a function.</x:v>
      </x:c>
      <x:c r="E34" s="104" t="str">
        <x:v>YES</x:v>
      </x:c>
      <x:c r="F34" s="104" t="str">
        <x:v>CLOSED</x:v>
      </x:c>
      <x:c r="G34" s="104" t="str">
        <x:v>CLOSED</x:v>
      </x:c>
      <x:c r="H34" s="104" t="str">
        <x:v>Native source/geometry checks, exact-source host tests or bounded models and controlled engineering disposition; specific evidence below. Original required evidence is preserved, not weakened.</x:v>
      </x:c>
      <x:c r="I34" s="162" t="str">
        <x:v>audit/product_schematic/PRODUCT_SCHEMATIC_CHECKS.json
audit/product_pcb/PRODUCT_PCB_CHECKS.json
audit/online_closure_20260908/pcb/FINAL_GEOMETRY_EQUIVALENCE.json
audit/online_resolution_rvb21/SOURCE_EFFECTIVITY.md</x:v>
      </x:c>
      <x:c r="J34" s="104" t="str">
        <x:v>Entire criterion addressed within its documentary/native design scope; no unperformed physical pass inferred.</x:v>
      </x:c>
      <x:c r="K34" s="104" t="str"/>
    </x:row>
    <x:row r="35" ht="216" customHeight="1">
      <x:c r="A35" s="104" t="str">
        <x:v>WCA-01</x:v>
      </x:c>
      <x:c r="B35" s="104" t="str">
        <x:v>Worst-case circuit and component analysis</x:v>
      </x:c>
      <x:c r="C35" s="104" t="str">
        <x:v>CALCULATED</x:v>
      </x:c>
      <x:c r="D35" s="104" t="str">
        <x:v>150 exact physical IC-pin rows now distinguish operational classes from damage boundaries; 46 capacitor and 63 resistor identities retain current MPN stress binding. GPIO DC ranges are not mislabeled as an injection-damage guarantee; TPS2660 OUT-to-private RTN is the applicable negative-pin boundary. OPA2333 uses the stricter ±1 mA absolute table despite its conflicting 10 mA footnote.</x:v>
      </x:c>
      <x:c r="E35" s="104" t="str">
        <x:v>YES</x:v>
      </x:c>
      <x:c r="F35" s="104" t="str">
        <x:v>OPEN</x:v>
      </x:c>
      <x:c r="G35" s="104" t="str">
        <x:v>OPEN</x:v>
      </x:c>
      <x:c r="H35" s="104" t="str">
        <x:v>Source inspection, implemented candidate and/or bounded model; see lane-specific method and limitations.</x:v>
      </x:c>
      <x:c r="I35"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audit/online_resolution_rvb21/derating/PIN_DOMAIN_REVIEW.json
audit/online_resolution_rvb21/derating/CAPACITOR_BOUNDS.json
audit/online_resolution_rvb21/derating/PASSIVE_THERMAL_LIFE_BOUNDS.json
audit/online_resolution_rvb21/derating/ROW_UPDATES.json</x:v>
      </x:c>
      <x:c r="J35" s="104" t="str">
        <x:v>Complete actual rail-edge/transient margins for the named external domains and exact silicon behavior; no all-pin dynamic survival or operation at absolute maxima is claimed.</x:v>
      </x:c>
      <x:c r="K35" s="104" t="str">
        <x:v>FR-02, FR-03</x:v>
      </x:c>
    </x:row>
    <x:row r="36" ht="271" customHeight="1">
      <x:c r="A36" s="104" t="str">
        <x:v>WCA-02</x:v>
      </x:c>
      <x:c r="B36" s="104" t="str">
        <x:v>Worst-case circuit and component analysis</x:v>
      </x:c>
      <x:c r="C36" s="104" t="str">
        <x:v>CORRECTED_CANDIDATE</x:v>
      </x:c>
      <x:c r="D36" s="104" t="str">
        <x:v>R402/R403/R404 change from 33 Ω to exact 220 Ω AA0603FR-07220RL: forced 3.6 V dissipation falls from 0.400701 W to 0.060410 W; 35 independent source checks pass. R302 additionally changes from 220 Ω to exact 1 kΩ CRCW06031K00FKEA, reducing downstream 3.6 V short demand to 3.6731 mA versus TCAN RXD 8 mA absolute. Its 54 line-edge cases and 54 maximum-R logic cases pass the declared screen; maximum bus-to-valid logic is 235.406 ns versus a 500 ns allocation. Actual target sample-point verification remains pending.</x:v>
      </x:c>
      <x:c r="E36" s="104" t="str">
        <x:v>PENDING</x:v>
      </x:c>
      <x:c r="F36" s="104" t="str">
        <x:v>OPEN</x:v>
      </x:c>
      <x:c r="G36" s="104" t="str">
        <x:v>OPEN</x:v>
      </x:c>
      <x:c r="H36" s="104" t="str">
        <x:v>Source inspection, implemented candidate and/or bounded model; see lane-specific method and limitations.</x:v>
      </x:c>
      <x:c r="I36"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audit/online_resolution_rvb21/derating/UART_RESISTOR_ECO_ANALYSIS.json
audit/online_resolution_rvb21/derating/UART_CANDIDATE_SOURCE_CHECKS.json
audit/online_resolution_rvb21/derating/PASSIVE_THERMAL_LIFE_BOUNDS.json
audit/online_resolution_rvb21/derating/PIN_DOMAIN_REVIEW.json
audit/online_resolution_rvb21/derating/can_rx/R302_ANALYSIS.json
audit/online_resolution_rvb21/derating/can_rx/R302_CANDIDATE_SOURCE_CHECKS.json
audit/online_resolution_rvb21/derating/can_rx/SOLVER_CORRELATION.json
audit/online_resolution_rvb21/derating/can_rx/R302_REVIEW.md
audit/online_resolution_rvb21/derating/ROW_UPDATES.json</x:v>
      </x:c>
      <x:c r="J36" s="104" t="str">
        <x:v>Native validation and matched output adoption of all four resistor changes; exact target CAN sampling, installed film temperature, repetitive surge duty and upstream-of-resistor faults. Fault current below absolute maximum does not imply operation during the short.</x:v>
      </x:c>
      <x:c r="K36" s="104" t="str">
        <x:v>FR-02, FR-03</x:v>
      </x:c>
    </x:row>
    <x:row r="37" ht="195" customHeight="1">
      <x:c r="A37" s="104" t="str">
        <x:v>WCA-03</x:v>
      </x:c>
      <x:c r="B37" s="104" t="str">
        <x:v>Worst-case circuit and component analysis</x:v>
      </x:c>
      <x:c r="C37" s="104" t="str">
        <x:v>CALCULATED</x:v>
      </x:c>
      <x:c r="D37" s="104" t="str">
        <x:v>All46 selected capacitors have exact MPNS, voltage screens, tolerance/temperature extrema and separated bias/age sensitivities. C124 stays2.08373..2.36693nF including50pFparasitics versus1.5..2.5nFwindow. Oil1.2uFminimum requires bias×age retention&gt;=0.784314, or beta&gt;=0.871460 at0.9aging; typical curves are not lot minima.</x:v>
      </x:c>
      <x:c r="E37" s="104" t="str">
        <x:v>YES</x:v>
      </x:c>
      <x:c r="F37" s="104" t="str">
        <x:v>OPEN</x:v>
      </x:c>
      <x:c r="G37" s="104" t="str">
        <x:v>OPEN</x:v>
      </x:c>
      <x:c r="H37" s="104" t="str">
        <x:v>Source inspection, implemented candidate and/or bounded model; see lane-specific method and limitations.</x:v>
      </x:c>
      <x:c r="I37"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audit/online_resolution_rvb21/derating/CAPACITOR_BOUNDS.json
audit/online_resolution_rvb21/derating/ROW_UPDATES.json</x:v>
      </x:c>
      <x:c r="J37" s="104" t="str">
        <x:v>Exact simultaneous bias/AC/temperature/age lot minima or correlation of declared effective-C allocations; no selected life duration or all-small-capacitor guaranteed DC-bias minimum is supplied.</x:v>
      </x:c>
      <x:c r="K37" s="104" t="str">
        <x:v>FR-02, FR-03</x:v>
      </x:c>
    </x:row>
    <x:row r="38" ht="195" customHeight="1">
      <x:c r="A38" s="104" t="str">
        <x:v>WCA-04</x:v>
      </x:c>
      <x:c r="B38" s="104" t="str">
        <x:v>Worst-case circuit and component analysis</x:v>
      </x:c>
      <x:c r="C38" s="104" t="str">
        <x:v>CALCULATED</x:v>
      </x:c>
      <x:c r="D38" s="104" t="str">
        <x:v>216 load/voltage/frequency/inductance cases retain current5Vload0.893352A; all stay below guaranteed minimum peak thresholds. Max modeled peaks1.16179A/1.07323A. Hot DCR copper-loss screens0.15346W/0.04028W excludecoreloss. L1512.7Amaxconverterthreshold exceeds2.1Aroom10%-droopcurrent, so fault analysis permits greaterdroop and quantifies0..500nsdelay sensitivity.</x:v>
      </x:c>
      <x:c r="E38" s="104" t="str">
        <x:v>YES</x:v>
      </x:c>
      <x:c r="F38" s="104" t="str">
        <x:v>OPEN</x:v>
      </x:c>
      <x:c r="G38" s="104" t="str">
        <x:v>OPEN</x:v>
      </x:c>
      <x:c r="H38" s="104" t="str">
        <x:v>Source inspection, implemented candidate and/or bounded model; see lane-specific method and limitations.</x:v>
      </x:c>
      <x:c r="I38"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audit/online_resolution_rvb21/derating/CONVERTER_INDUCTOR_BOUNDS.json
audit/online_resolution_rvb21/derating/ROW_UPDATES.json</x:v>
      </x:c>
      <x:c r="J38" s="104" t="str">
        <x:v>Guaranteed hot L(I), limit propagation delay, AC/core loss or exact-waveform measurements; installed winding temperature and actual hiccup peaks remain unverified.</x:v>
      </x:c>
      <x:c r="K38" s="104" t="str">
        <x:v>FR-02, FR-03</x:v>
      </x:c>
    </x:row>
    <x:row r="39" ht="205" customHeight="1">
      <x:c r="A39" s="104" t="str">
        <x:v>WCA-05</x:v>
      </x:c>
      <x:c r="B39" s="104" t="str">
        <x:v>Worst-case circuit and component analysis</x:v>
      </x:c>
      <x:c r="C39" s="104" t="str">
        <x:v>CALCULATED</x:v>
      </x:c>
      <x:c r="D39" s="104" t="str">
        <x:v>Exact OPA2333 hotbias max is unspecified;±150pA is hot typical,±200pAmax applies25C. PMEG40uA@10V/240mV@10mA are25Cpulsed limits;40uAthroughmaximum220ohm gives9.02mVADC sensitivity. Murata selected-part hotIR product limits and ADCcap charge-share bound10.3788mV added.</x:v>
      </x:c>
      <x:c r="E39" s="104" t="str">
        <x:v>YES</x:v>
      </x:c>
      <x:c r="F39" s="104" t="str">
        <x:v>OPEN</x:v>
      </x:c>
      <x:c r="G39" s="104" t="str">
        <x:v>OPEN</x:v>
      </x:c>
      <x:c r="H39" s="104" t="str">
        <x:v>Source inspection, implemented candidate and/or bounded model; see lane-specific method and limitations.</x:v>
      </x:c>
      <x:c r="I39"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audit/online_resolution_rvb21/derating/LEAKAGE_AND_DOMAIN_BOUNDS.json
audit/online_resolution_rvb21/derating/CAPACITOR_BOUNDS.json
audit/online_resolution_rvb21/derating/ROW_UPDATES.json</x:v>
      </x:c>
      <x:c r="J39" s="104" t="str">
        <x:v>Actual hot clamp leakage/cold forward voltage, zero-bias parasitics and ADC/CAN/RF correlation; stated sensitivities are not achieved accuracy or universal hot bounds.</x:v>
      </x:c>
      <x:c r="K39" s="104" t="str">
        <x:v>FR-02, FR-03</x:v>
      </x:c>
    </x:row>
    <x:row r="40" ht="227" customHeight="1">
      <x:c r="A40" s="104" t="str">
        <x:v>WCA-06</x:v>
      </x:c>
      <x:c r="B40" s="104" t="str">
        <x:v>Worst-case circuit and component analysis</x:v>
      </x:c>
      <x:c r="C40" s="104" t="str">
        <x:v>CALCULATED</x:v>
      </x:c>
      <x:c r="D40" s="104" t="str">
        <x:v>PA TX0-to-LVC high/low margins are0.4V. Candidate U404-to-PA low/high margins0.67745/0.87745V at3.0V and&lt;=100uAload; U402-to-ESP rail-scaled25Cthreshold sensitivity0.62745V.18static sensing/GPS-injection cases and charge-conservation bounds completed. LVCIoff10uA/pin is valid atVCC0, not allintermediate rails; PAoffstateIoff is not specified. R302 1 kΩ candidate retains a 139.8 mV static high/low margin under the stated shared-rail and 10 µA leakage allocation; finite line timing is explicitly evaluated.</x:v>
      </x:c>
      <x:c r="E40" s="104" t="str">
        <x:v>YES</x:v>
      </x:c>
      <x:c r="F40" s="104" t="str">
        <x:v>OPEN</x:v>
      </x:c>
      <x:c r="G40" s="104" t="str">
        <x:v>OPEN</x:v>
      </x:c>
      <x:c r="H40" s="104" t="str">
        <x:v>Source inspection, implemented candidate and/or bounded model; see lane-specific method and limitations.</x:v>
      </x:c>
      <x:c r="I40"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audit/online_resolution_rvb21/derating/PIN_DOMAIN_REVIEW.json
audit/online_resolution_rvb21/derating/LEAKAGE_AND_DOMAIN_BOUNDS.json
audit/online_resolution_rvb21/derating/UART_RESISTOR_ECO_ANALYSIS.json
audit/online_resolution_rvb21/derating/can_rx/R302_ANALYSIS.json
audit/online_resolution_rvb21/derating/ROW_UPDATES.json</x:v>
      </x:c>
      <x:c r="J40" s="104" t="str">
        <x:v>Exact intermediate-rail buffer/PA behavior, externally powered directOIL5V path and permitted programmer/shield bonds; target waveform evidence remains required.</x:v>
      </x:c>
      <x:c r="K40" s="104" t="str">
        <x:v>FR-02, FR-03</x:v>
      </x:c>
    </x:row>
    <x:row r="41" ht="205" customHeight="1">
      <x:c r="A41" s="104" t="str">
        <x:v>WCA-07</x:v>
      </x:c>
      <x:c r="B41" s="104" t="str">
        <x:v>Worst-case circuit and component analysis</x:v>
      </x:c>
      <x:c r="C41" s="104" t="str">
        <x:v>CALCULATED</x:v>
      </x:c>
      <x:c r="D41" s="104" t="str">
        <x:v>AllsevenAPT1608SGC paths retain1kohmcurrentlimiting. Worst3.6V/zeroVfcurrent3.6731mA andmaximumLEDpower3.3058mW. Visualmanufacturer curve gives conditional~1.03..1.84mA and~0.37..1.10mcdtypical across the stated voltage/Vf/temperature estimates, with no fabricated1mAopticalminimum.</x:v>
      </x:c>
      <x:c r="E41" s="104" t="str">
        <x:v>YES</x:v>
      </x:c>
      <x:c r="F41" s="104" t="str">
        <x:v>OPEN</x:v>
      </x:c>
      <x:c r="G41" s="104" t="str">
        <x:v>OPEN</x:v>
      </x:c>
      <x:c r="H41" s="104" t="str">
        <x:v>Source inspection, implemented candidate and/or bounded model; see lane-specific method and limitations.</x:v>
      </x:c>
      <x:c r="I41"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audit/online_resolution_rvb21/derating/LED_BOUNDS.json
audit/online_resolution_rvb21/derating/LED_CURVE_SOURCE.png
audit/online_resolution_rvb21/derating/ROW_UPDATES.json</x:v>
      </x:c>
      <x:c r="J41" s="104" t="str">
        <x:v>Actual installed brightness/indicator visibility and GPIO loaded level; low-current optical minimum and application thermal resistance are not guaranteed by the20mA25Cbin.</x:v>
      </x:c>
      <x:c r="K41" s="104" t="str">
        <x:v>FR-02, FR-03</x:v>
      </x:c>
    </x:row>
    <x:row r="42" ht="195" customHeight="1">
      <x:c r="A42" s="104" t="str">
        <x:v>WCA-08</x:v>
      </x:c>
      <x:c r="B42" s="104" t="str">
        <x:v>Worst-case circuit and component analysis</x:v>
      </x:c>
      <x:c r="C42" s="104" t="str">
        <x:v>CALCULATED</x:v>
      </x:c>
      <x:c r="D42" s="104" t="str">
        <x:v>Combined0.75Amain/0.1AGPS/oil-limit/LED budgets evaluated together; complete5V efficiency-corner demand≤0.89336A.</x:v>
      </x:c>
      <x:c r="E42" s="104" t="str">
        <x:v>YES</x:v>
      </x:c>
      <x:c r="F42" s="104" t="str">
        <x:v>CLOSED</x:v>
      </x:c>
      <x:c r="G42" s="104" t="str">
        <x:v>CLOSED</x:v>
      </x:c>
      <x:c r="H42" s="104" t="str">
        <x:v>Native source/geometry checks, exact-source host tests or bounded models and controlled engineering disposition; specific evidence below. Original required evidence is preserved, not weakened.</x:v>
      </x:c>
      <x:c r="I42"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x:v>
      </x:c>
      <x:c r="J42" s="104" t="str">
        <x:v>Entire criterion addressed within its documentary/native design scope; no unperformed physical pass inferred.</x:v>
      </x:c>
      <x:c r="K42" s="104" t="str"/>
    </x:row>
    <x:row r="43" ht="195" customHeight="1">
      <x:c r="A43" s="104" t="str">
        <x:v>WCA-09</x:v>
      </x:c>
      <x:c r="B43" s="104" t="str">
        <x:v>Worst-case circuit and component analysis</x:v>
      </x:c>
      <x:c r="C43" s="104" t="str">
        <x:v>CALCULATED</x:v>
      </x:c>
      <x:c r="D43" s="104" t="str">
        <x:v>All safety/stress sensitivity work uses stated deterministic limits; no MonteCarlo probability is inferred from an arbitrary corner grid.</x:v>
      </x:c>
      <x:c r="E43" s="104" t="str">
        <x:v>YES</x:v>
      </x:c>
      <x:c r="F43" s="104" t="str">
        <x:v>CLOSED</x:v>
      </x:c>
      <x:c r="G43" s="104" t="str">
        <x:v>CLOSED</x:v>
      </x:c>
      <x:c r="H43" s="104" t="str">
        <x:v>Native source/geometry checks, exact-source host tests or bounded models and controlled engineering disposition; specific evidence below. Original required evidence is preserved, not weakened.</x:v>
      </x:c>
      <x:c r="I43"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x:v>
      </x:c>
      <x:c r="J43" s="104" t="str">
        <x:v>Entire criterion addressed within its documentary/native design scope; no unperformed physical pass inferred.</x:v>
      </x:c>
      <x:c r="K43" s="104" t="str"/>
    </x:row>
    <x:row r="44" ht="238" customHeight="1">
      <x:c r="A44" s="104" t="str">
        <x:v>WCA-10</x:v>
      </x:c>
      <x:c r="B44" s="104" t="str">
        <x:v>Worst-case circuit and component analysis</x:v>
      </x:c>
      <x:c r="C44" s="104" t="str">
        <x:v>REVIEWED_WITH_OPEN_LIMITS</x:v>
      </x:c>
      <x:c r="D44" s="104" t="str">
        <x:v>All68fittedMPNs have lifecycle/grade/substitution disposition. EightTI codes andSTD25NF20 freshly checked active, Taiyo exact code mass-productionpreferred; ADIexact#W production is primary-search snapshot.7existingaliasrecords still match current references; obsolete1nFC513/C523approval segregated. SelectedTPD1E05U06DPYRactive versusDPYTlast-time-buy is explicitly distinguished. Exact combined-candidate matrix adds69MPNs/147positions, including TI TPS3808 and actual Murata LQW18AS1N6J0ZD process controls; 21MPNs have primary MSL. Candidate exports/actual process remain unaccepted.</x:v>
      </x:c>
      <x:c r="E44" s="104" t="str">
        <x:v>PENDING</x:v>
      </x:c>
      <x:c r="F44" s="104" t="str">
        <x:v>OPEN</x:v>
      </x:c>
      <x:c r="G44" s="104" t="str">
        <x:v>OPEN</x:v>
      </x:c>
      <x:c r="H44" s="104" t="str">
        <x:v>Source inspection, implemented candidate and/or bounded model; see lane-specific method and limitations.</x:v>
      </x:c>
      <x:c r="I44"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audit/online_resolution_rvb21/drawing_process/LIFECYCLE_AND_ALTERNATES.json
audit/online_resolution_rvb21/drawing_process/LIFECYCLE_POLICY.md
audit/online_resolution_rvb21/drawing_process/MANUFACTURER_PROCESS_SOURCES.json
audit/online_resolution_rvb21/drawing_process/CANDIDATE_PER_MPN_PROCESS_LIFECYCLE.json
audit/online_resolution_rvb21/drawing_process/CANDIDATE_PROCESS_DELTA.md
audit/online_resolution_rvb21/drawing_process/ROW_UPDATES.json</x:v>
      </x:c>
      <x:c r="J44" s="104" t="str">
        <x:v>Complete unverified exact-MPN lifecycle and lot/silicon errata checks; actual complete kit allocation remains supplier evidence. No new electrical alternate approved.</x:v>
      </x:c>
      <x:c r="K44" s="104" t="str">
        <x:v>FR-02, FR-03</x:v>
      </x:c>
    </x:row>
    <x:row r="45" ht="195" customHeight="1">
      <x:c r="A45" s="104" t="str">
        <x:v>PWR-01</x:v>
      </x:c>
      <x:c r="B45" s="104" t="str">
        <x:v>Automotive power entry and protection</x:v>
      </x:c>
      <x:c r="C45" s="104" t="str">
        <x:v>CALCULATED / CONDITIONAL CANDIDATE</x:v>
      </x:c>
      <x:c r="D45" s="104" t="str">
        <x:v>Existing vehicle waveform allocation retained. An exact external source-fuse candidate, SCHURTER 8020.5068 with 0031.1755 holder, has 500 VDC fuse rating, avoiding reliance on a 32 V rating for allocated high-voltage pulses. Its actual source, prospective current and hot-holder installation remain unknown.</x:v>
      </x:c>
      <x:c r="E45" s="104" t="str">
        <x:v>PENDING</x:v>
      </x:c>
      <x:c r="F45" s="104" t="str">
        <x:v>OPEN</x:v>
      </x:c>
      <x:c r="G45" s="104" t="str">
        <x:v>OPEN</x:v>
      </x:c>
      <x:c r="H45" s="104" t="str">
        <x:v>Source inspection, implemented candidate and/or bounded model; see lane-specific method and limitations.</x:v>
      </x:c>
      <x:c r="I4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45" s="104" t="str">
        <x:v>Agreed actual vehicle waveform/source-impedance/repetition/functional envelope and source-fuse/holder installation acceptance; a selected part rating does not establish the actual vehicle source.</x:v>
      </x:c>
      <x:c r="K45" s="104" t="str">
        <x:v>FR-02</x:v>
      </x:c>
    </x:row>
    <x:row r="46" ht="195" customHeight="1">
      <x:c r="A46" s="104" t="str">
        <x:v>PWR-02</x:v>
      </x:c>
      <x:c r="B46" s="104" t="str">
        <x:v>Automotive power entry and protection</x:v>
      </x:c>
      <x:c r="C46" s="104" t="str">
        <x:v>CALCULATED / CONDITIONAL CANDIDATE</x:v>
      </x:c>
      <x:c r="D46" s="104" t="str">
        <x:v>Normal/fault path budget now includes exact 20 AWG input wire, one return carrying all current, 1 m one-way allocation, 0.0672 V wire-only drop at 1 A/65 C and 0.4 V maximum fuse drop at 1 A. Published high-current fuse pre-arcing points pass a wire-only adiabatic screen, but 2.1 A/1800 s does not. The model explicitly bounds required cooling instead of substituting typical melting I²t for guaranteed total clearing energy.</x:v>
      </x:c>
      <x:c r="E46" s="104" t="str">
        <x:v>PENDING</x:v>
      </x:c>
      <x:c r="F46" s="104" t="str">
        <x:v>OPEN</x:v>
      </x:c>
      <x:c r="G46" s="104" t="str">
        <x:v>OPEN</x:v>
      </x:c>
      <x:c r="H46" s="104" t="str">
        <x:v>Source inspection, implemented candidate and/or bounded model; see lane-specific method and limitations.</x:v>
      </x:c>
      <x:c r="I4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46" s="104" t="str">
        <x:v>Actual loop impedance/prospective current, fuse full-clearing/arc energy and hot/bundled wire/holder cooling or qualified faster upstream trip. Complete transient device/SOA chain acceptance remains open.</x:v>
      </x:c>
      <x:c r="K46" s="104" t="str">
        <x:v>FR-02</x:v>
      </x:c>
    </x:row>
    <x:row r="47" ht="195" customHeight="1">
      <x:c r="A47" s="104" t="str">
        <x:v>PWR-03</x:v>
      </x:c>
      <x:c r="B47" s="104" t="str">
        <x:v>Automotive power entry and protection</x:v>
      </x:c>
      <x:c r="C47" s="104" t="str">
        <x:v>CALCULATED</x:v>
      </x:c>
      <x:c r="D47" s="104" t="str">
        <x:v>Exact58.24V controller,52.79V protected-node and69.39V gate allocations are reconciled. Real hot/current/interconnect overshoot still controls the narrow1.76V margin.</x:v>
      </x:c>
      <x:c r="E47" s="104" t="str">
        <x:v>PENDING</x:v>
      </x:c>
      <x:c r="F47" s="104" t="str">
        <x:v>OPEN</x:v>
      </x:c>
      <x:c r="G47" s="104" t="str">
        <x:v>OPEN</x:v>
      </x:c>
      <x:c r="H47" s="104" t="str">
        <x:v>Native source/geometry checks, exact-source host tests or bounded models and controlled engineering disposition; specific evidence below. Original required evidence is preserved, not weakened.</x:v>
      </x:c>
      <x:c r="I47"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7" s="104" t="str">
        <x:v>Measure actual current, temperature, overshoot and rise time. The controller has only1.76 V allocated operating headroom.</x:v>
      </x:c>
      <x:c r="K47" s="104" t="str">
        <x:v>FR-02</x:v>
      </x:c>
    </x:row>
    <x:row r="48" ht="195" customHeight="1">
      <x:c r="A48" s="104" t="str">
        <x:v>PWR-04</x:v>
      </x:c>
      <x:c r="B48" s="104" t="str">
        <x:v>Automotive power entry and protection</x:v>
      </x:c>
      <x:c r="C48" s="104" t="str">
        <x:v>CALCULATED</x:v>
      </x:c>
      <x:c r="D48" s="104" t="str">
        <x:v>Existing finite SOA/TVS/resistor energy screens retained; no unrestricted400ms TVS load-dump absorption or instantaneous101Vstep guarantee.</x:v>
      </x:c>
      <x:c r="E48" s="104" t="str">
        <x:v>PENDING</x:v>
      </x:c>
      <x:c r="F48" s="104" t="str">
        <x:v>OPEN</x:v>
      </x:c>
      <x:c r="G48" s="104" t="str">
        <x:v>OPEN</x:v>
      </x:c>
      <x:c r="H48" s="104" t="str">
        <x:v>Native source/geometry checks, exact-source host tests or bounded models and controlled engineering disposition; specific evidence below. Original required evidence is preserved, not weakened.</x:v>
      </x:c>
      <x:c r="I48"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8" s="104" t="str">
        <x:v>Verify MOSFET VDS×ID, initial case temperature, SOA, gate delay and repetition. No instantaneous low-impedance101 V step survival is claimed.</x:v>
      </x:c>
      <x:c r="K48" s="104" t="str">
        <x:v>FR-02</x:v>
      </x:c>
    </x:row>
    <x:row r="49" ht="195" customHeight="1">
      <x:c r="A49" s="104" t="str">
        <x:v>PWR-05</x:v>
      </x:c>
      <x:c r="B49" s="104" t="str">
        <x:v>Automotive power entry and protection</x:v>
      </x:c>
      <x:c r="C49" s="104" t="str">
        <x:v>CALCULATED</x:v>
      </x:c>
      <x:c r="D49" s="104" t="str">
        <x:v>SeriesD101 provides reverse blocking; debug,oil,CAN/coax and ground-loss secondary paths remain in the exact fault/fixture matrix.</x:v>
      </x:c>
      <x:c r="E49" s="104" t="str">
        <x:v>PENDING</x:v>
      </x:c>
      <x:c r="F49" s="104" t="str">
        <x:v>OPEN</x:v>
      </x:c>
      <x:c r="G49" s="104" t="str">
        <x:v>OPEN</x:v>
      </x:c>
      <x:c r="H49" s="104" t="str">
        <x:v>Native source/geometry checks, exact-source host tests or bounded models and controlled engineering disposition; specific evidence below. Original required evidence is preserved, not weakened.</x:v>
      </x:c>
      <x:c r="I49"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49" s="104" t="str">
        <x:v>Bound secondary powered-cable and ground-loss cases. The fixture must not drive VTREF or UART into an unpowered MCU.</x:v>
      </x:c>
      <x:c r="K49" s="104" t="str">
        <x:v>FR-02</x:v>
      </x:c>
    </x:row>
    <x:row r="50" ht="195" customHeight="1">
      <x:c r="A50" s="104" t="str">
        <x:v>PWR-06</x:v>
      </x:c>
      <x:c r="B50" s="104" t="str">
        <x:v>Automotive power entry and protection</x:v>
      </x:c>
      <x:c r="C50" s="104" t="str">
        <x:v>CALCULATED</x:v>
      </x:c>
      <x:c r="D50" s="104" t="str">
        <x:v>Require source-side fused branch and adequate independent return conductor. Unknown fuse/source impedance prevents a fabricated clearing-energy pass.</x:v>
      </x:c>
      <x:c r="E50" s="104" t="str">
        <x:v>PENDING</x:v>
      </x:c>
      <x:c r="F50" s="104" t="str">
        <x:v>OPEN</x:v>
      </x:c>
      <x:c r="G50" s="104" t="str">
        <x:v>OPEN</x:v>
      </x:c>
      <x:c r="H50" s="104" t="str">
        <x:v>Native source/geometry checks, exact-source host tests or bounded models and controlled engineering disposition; specific evidence below. Original required evidence is preserved, not weakened.</x:v>
      </x:c>
      <x:c r="I50"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0" s="104" t="str">
        <x:v>Specify upstream fuse rating/location, wire rating and prospective current; calculate clearing energy and test containment.</x:v>
      </x:c>
      <x:c r="K50" s="104" t="str">
        <x:v>FR-02</x:v>
      </x:c>
    </x:row>
    <x:row r="51" ht="195" customHeight="1">
      <x:c r="A51" s="104" t="str">
        <x:v>PWR-07</x:v>
      </x:c>
      <x:c r="B51" s="104" t="str">
        <x:v>Automotive power entry and protection</x:v>
      </x:c>
      <x:c r="C51" s="104" t="str">
        <x:v>CALCULATED</x:v>
      </x:c>
      <x:c r="D51" s="104" t="str">
        <x:v>All buck input capacitors are actual shunts with distinct nets; native pad/net/copper checks replace RevA series-C3 mistake.</x:v>
      </x:c>
      <x:c r="E51" s="104" t="str">
        <x:v>YES</x:v>
      </x:c>
      <x:c r="F51" s="104" t="str">
        <x:v>OPEN</x:v>
      </x:c>
      <x:c r="G51" s="104" t="str">
        <x:v>OPEN</x:v>
      </x:c>
      <x:c r="H51" s="104" t="str">
        <x:v>Native source/geometry checks, exact-source host tests or bounded models and controlled engineering disposition; specific evidence below. Original required evidence is preserved, not weakened.</x:v>
      </x:c>
      <x:c r="I51"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1" s="104" t="str">
        <x:v>Assembled continuity and polarity inspection remain required. No RevB hardware has been tested.</x:v>
      </x:c>
      <x:c r="K51" s="104" t="str">
        <x:v>FR-02</x:v>
      </x:c>
    </x:row>
    <x:row r="52" ht="195" customHeight="1">
      <x:c r="A52" s="104" t="str">
        <x:v>PWR-08</x:v>
      </x:c>
      <x:c r="B52" s="104" t="str">
        <x:v>Automotive power entry and protection</x:v>
      </x:c>
      <x:c r="C52" s="104" t="str">
        <x:v>CALCULATED</x:v>
      </x:c>
      <x:c r="D52" s="104" t="str">
        <x:v>Internal converter/pass-element failure can damage downstream rails; universal rail OVP is not present. Whole telemetry loss accepted; external energy containment still requires validation.</x:v>
      </x:c>
      <x:c r="E52" s="104" t="str">
        <x:v>PENDING</x:v>
      </x:c>
      <x:c r="F52" s="104" t="str">
        <x:v>OPEN</x:v>
      </x:c>
      <x:c r="G52" s="104" t="str">
        <x:v>OPEN</x:v>
      </x:c>
      <x:c r="H52" s="104" t="str">
        <x:v>Native source/geometry checks, exact-source host tests or bounded models and controlled engineering disposition; specific evidence below. Original required evidence is preserved, not weakened.</x:v>
      </x:c>
      <x:c r="I52"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2" s="104" t="str">
        <x:v>Define required fault containment and acceptable loss. Add independent protection if needed; vehicle and external energy propagation remain unresolved.</x:v>
      </x:c>
      <x:c r="K52" s="104" t="str">
        <x:v>FR-02</x:v>
      </x:c>
    </x:row>
    <x:row r="53" ht="195" customHeight="1">
      <x:c r="A53" s="104" t="str">
        <x:v>PWR-09</x:v>
      </x:c>
      <x:c r="B53" s="104" t="str">
        <x:v>Automotive power entry and protection</x:v>
      </x:c>
      <x:c r="C53" s="104" t="str">
        <x:v>OPEN</x:v>
      </x:c>
      <x:c r="D53" s="104" t="str">
        <x:v>Filter input bound corrected from5.17W to5.7725W;288 reduced-model cases remain stable within&lt;=5uH, but actual harness and silicon loop/ringing remain unverified.</x:v>
      </x:c>
      <x:c r="E53" s="104" t="str">
        <x:v>PENDING</x:v>
      </x:c>
      <x:c r="F53" s="104" t="str">
        <x:v>OPEN</x:v>
      </x:c>
      <x:c r="G53" s="104" t="str">
        <x:v>OPEN</x:v>
      </x:c>
      <x:c r="H53" s="104" t="str">
        <x:v>Native source/geometry checks, exact-source host tests or bounded models and controlled engineering disposition; specific evidence below. Original required evidence is preserved, not weakened.</x:v>
      </x:c>
      <x:c r="I53"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audit/online_resolution_rvb21/power_analog/POWER_FILTER_CORRECTION.json</x:v>
      </x:c>
      <x:c r="J53" s="104" t="str">
        <x:v>Filter input bound corrected from5.17W to5.7725W;288 reduced-model cases remain stable within&lt;=5uH, but actual harness and silicon loop/ringing remain unverified.</x:v>
      </x:c>
      <x:c r="K53" s="104" t="str">
        <x:v>FR-02</x:v>
      </x:c>
    </x:row>
    <x:row r="54" ht="195" customHeight="1">
      <x:c r="A54" s="104" t="str">
        <x:v>PWR-10</x:v>
      </x:c>
      <x:c r="B54" s="104" t="str">
        <x:v>Automotive power entry and protection</x:v>
      </x:c>
      <x:c r="C54" s="104" t="str">
        <x:v>VERIFIED</x:v>
      </x:c>
      <x:c r="D54" s="104" t="str">
        <x:v>No separate IGN circuit exists; cavity4NC and fused switchedF1.3 are the deliberate architecture. Do not infer an unimplemented IGN threshold stage.</x:v>
      </x:c>
      <x:c r="E54" s="104" t="str">
        <x:v>YES</x:v>
      </x:c>
      <x:c r="F54" s="104" t="str">
        <x:v>N/A</x:v>
      </x:c>
      <x:c r="G54" s="104" t="str">
        <x:v>N/A</x:v>
      </x:c>
      <x:c r="H54" s="104" t="str">
        <x:v>Native source/geometry checks, exact-source host tests or bounded models and controlled engineering disposition; specific evidence below. Original required evidence is preserved, not weakened.</x:v>
      </x:c>
      <x:c r="I54"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54" s="104" t="str">
        <x:v>Entire criterion addressed within its documentary/native design scope; no unperformed physical pass inferred.</x:v>
      </x:c>
      <x:c r="K54" s="104" t="str"/>
    </x:row>
    <x:row r="55" ht="195" customHeight="1">
      <x:c r="A55" s="104" t="str">
        <x:v>PWR-11</x:v>
      </x:c>
      <x:c r="B55" s="104" t="str">
        <x:v>Automotive power entry and protection</x:v>
      </x:c>
      <x:c r="C55" s="104" t="str">
        <x:v>CALCULATED</x:v>
      </x:c>
      <x:c r="D55" s="104" t="str">
        <x:v>Existing capacitive inrush≤77mA and slew/SOA calculations retained; startup load and actual harness/fuse response remain measured limits.</x:v>
      </x:c>
      <x:c r="E55" s="104" t="str">
        <x:v>YES</x:v>
      </x:c>
      <x:c r="F55" s="104" t="str">
        <x:v>OPEN</x:v>
      </x:c>
      <x:c r="G55" s="104" t="str">
        <x:v>OPEN</x:v>
      </x:c>
      <x:c r="H55" s="104" t="str">
        <x:v>Native source/geometry checks, exact-source host tests or bounded models and controlled engineering disposition; specific evidence below. Original required evidence is preserved, not weakened.</x:v>
      </x:c>
      <x:c r="I5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55" s="104" t="str">
        <x:v>Measure complete startup current and source collapse with the actual harness and maximum downstream capacitance.</x:v>
      </x:c>
      <x:c r="K55" s="104" t="str">
        <x:v>FR-02</x:v>
      </x:c>
    </x:row>
    <x:row r="56" ht="238" customHeight="1">
      <x:c r="A56" s="104" t="str">
        <x:v>PWR-12</x:v>
      </x:c>
      <x:c r="B56" s="104" t="str">
        <x:v>Automotive power entry and protection</x:v>
      </x:c>
      <x:c r="C56" s="104" t="str">
        <x:v>HOLD</x:v>
      </x:c>
      <x:c r="D56"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56" s="104" t="str">
        <x:v>PENDING</x:v>
      </x:c>
      <x:c r="F56" s="104" t="str">
        <x:v>OPEN</x:v>
      </x:c>
      <x:c r="G56" s="104" t="str">
        <x:v>OPEN</x:v>
      </x:c>
      <x:c r="H56" s="104" t="str">
        <x:v>Source inspection, implemented candidate and/or bounded model; see lane-specific method and limitations.</x:v>
      </x:c>
      <x:c r="I5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56"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56" s="104" t="str">
        <x:v>FR-02</x:v>
      </x:c>
    </x:row>
    <x:row r="57" ht="195" customHeight="1">
      <x:c r="A57" s="104" t="str">
        <x:v>REG-01</x:v>
      </x:c>
      <x:c r="B57" s="104" t="str">
        <x:v>5 V, 3.3 V and GPS power rails</x:v>
      </x:c>
      <x:c r="C57" s="104" t="str">
        <x:v>CALCULATED</x:v>
      </x:c>
      <x:c r="D57" s="104" t="str">
        <x:v>Simultaneous budgets now include conservative efficiency,oil current limit,GPS/antenna andLEDs;5Vpeak allocation≤0.89336A,main3V3≤0.75A.</x:v>
      </x:c>
      <x:c r="E57" s="104" t="str">
        <x:v>YES</x:v>
      </x:c>
      <x:c r="F57" s="104" t="str">
        <x:v>CLOSED</x:v>
      </x:c>
      <x:c r="G57" s="104" t="str">
        <x:v>CLOSED</x:v>
      </x:c>
      <x:c r="H57" s="104" t="str">
        <x:v>Native source/geometry checks, exact-source host tests or bounded models and controlled engineering disposition; specific evidence below. Original required evidence is preserved, not weakened.</x:v>
      </x:c>
      <x:c r="I57"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57" s="104" t="str">
        <x:v>Entire criterion addressed within its documentary/native design scope; no unperformed physical pass inferred.</x:v>
      </x:c>
      <x:c r="K57" s="104" t="str"/>
    </x:row>
    <x:row r="58" ht="195" customHeight="1">
      <x:c r="A58" s="104" t="str">
        <x:v>REG-02</x:v>
      </x:c>
      <x:c r="B58" s="104" t="str">
        <x:v>5 V, 3.3 V and GPS power rails</x:v>
      </x:c>
      <x:c r="C58" s="104" t="str">
        <x:v>CALCULATED</x:v>
      </x:c>
      <x:c r="D58" s="104" t="str">
        <x:v>5Vloss can reach1.1545W under conservative efficiencies; required cooling is computed. Actual PCB/enclosure thermal resistance is not a vendor-package-theta measurement.</x:v>
      </x:c>
      <x:c r="E58" s="104" t="str">
        <x:v>PENDING</x:v>
      </x:c>
      <x:c r="F58" s="104" t="str">
        <x:v>OPEN</x:v>
      </x:c>
      <x:c r="G58" s="104" t="str">
        <x:v>OPEN</x:v>
      </x:c>
      <x:c r="H58" s="104" t="str">
        <x:v>Native source/geometry checks, exact-source host tests or bounded models and controlled engineering disposition; specific evidence below. Original required evidence is preserved, not weakened.</x:v>
      </x:c>
      <x:c r="I58"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58" s="104" t="str">
        <x:v>Measure actual board temperature and efficiency. Datasheet package thermal resistance is not a board-specific junction guarantee.</x:v>
      </x:c>
      <x:c r="K58" s="104" t="str">
        <x:v>FR-02</x:v>
      </x:c>
    </x:row>
    <x:row r="59" ht="195" customHeight="1">
      <x:c r="A59" s="104" t="str">
        <x:v>REG-03</x:v>
      </x:c>
      <x:c r="B59" s="104" t="str">
        <x:v>5 V, 3.3 V and GPS power rails</x:v>
      </x:c>
      <x:c r="C59" s="104" t="str">
        <x:v>CALCULATED</x:v>
      </x:c>
      <x:c r="D59" s="104" t="str">
        <x:v>Fresh nativeVIN/EN/FB/SW/BST/internalVCC/ground maps and independent regulator contracts remain correct; no collapsed feedback/passive.</x:v>
      </x:c>
      <x:c r="E59" s="104" t="str">
        <x:v>YES</x:v>
      </x:c>
      <x:c r="F59" s="104" t="str">
        <x:v>CLOSED</x:v>
      </x:c>
      <x:c r="G59" s="104" t="str">
        <x:v>CLOSED</x:v>
      </x:c>
      <x:c r="H59" s="104" t="str">
        <x:v>Native source/geometry checks, exact-source host tests or bounded models and controlled engineering disposition; specific evidence below. Original required evidence is preserved, not weakened.</x:v>
      </x:c>
      <x:c r="I59"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59" s="104" t="str">
        <x:v>Entire criterion addressed within its documentary/native design scope; no unperformed physical pass inferred.</x:v>
      </x:c>
      <x:c r="K59" s="104" t="str"/>
    </x:row>
    <x:row r="60" ht="195" customHeight="1">
      <x:c r="A60" s="104" t="str">
        <x:v>REG-04</x:v>
      </x:c>
      <x:c r="B60" s="104" t="str">
        <x:v>5 V, 3.3 V and GPS power rails</x:v>
      </x:c>
      <x:c r="C60" s="104" t="str">
        <x:v>CALCULATED</x:v>
      </x:c>
      <x:c r="D60" s="104" t="str">
        <x:v>Main3.25–3.35Vstatic minus0.15625V ideal10usstep droop leaves≥3.09375V before ESR/trace/loop effects; actual load steps remain required.</x:v>
      </x:c>
      <x:c r="E60" s="104" t="str">
        <x:v>YES</x:v>
      </x:c>
      <x:c r="F60" s="104" t="str">
        <x:v>OPEN</x:v>
      </x:c>
      <x:c r="G60" s="104" t="str">
        <x:v>OPEN</x:v>
      </x:c>
      <x:c r="H60" s="104" t="str">
        <x:v>Native source/geometry checks, exact-source host tests or bounded models and controlled engineering disposition; specific evidence below. Original required evidence is preserved, not weakened.</x:v>
      </x:c>
      <x:c r="I60"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0" s="104" t="str">
        <x:v>Measure pin-level distribution drop, load steps, startup and overshoot. Steady regulation is not a transient guarantee.</x:v>
      </x:c>
      <x:c r="K60" s="104" t="str">
        <x:v>FR-02</x:v>
      </x:c>
    </x:row>
    <x:row r="61" ht="195" customHeight="1">
      <x:c r="A61" s="104" t="str">
        <x:v>REG-05</x:v>
      </x:c>
      <x:c r="B61" s="104" t="str">
        <x:v>5 V, 3.3 V and GPS power rails</x:v>
      </x:c>
      <x:c r="C61" s="104" t="str">
        <x:v>CALCULATED</x:v>
      </x:c>
      <x:c r="D61" s="104" t="str">
        <x:v>Exact LM5164 bootstrap window passes; actual LM63615RTpin is tiedVCC for360..440kHz. Regulator and inductor part-specific tolerance/current/temperature sensitivities now usecurrent0.893352A5Vbound. C154 and smallX7R caps have explicit effective-C sensitivities instead of nominal-capacitance assumptions.</x:v>
      </x:c>
      <x:c r="E61" s="104" t="str">
        <x:v>YES</x:v>
      </x:c>
      <x:c r="F61" s="104" t="str">
        <x:v>OPEN</x:v>
      </x:c>
      <x:c r="G61" s="104" t="str">
        <x:v>OPEN</x:v>
      </x:c>
      <x:c r="H61" s="104" t="str">
        <x:v>Source inspection, implemented candidate and/or bounded model; see lane-specific method and limitations.</x:v>
      </x:c>
      <x:c r="I61"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audit/online_resolution_rvb21/derating/CONVERTER_INDUCTOR_BOUNDS.json
audit/online_resolution_rvb21/derating/CAPACITOR_BOUNDS.json
audit/online_resolution_rvb21/derating/ROW_UPDATES.json</x:v>
      </x:c>
      <x:c r="J61" s="104" t="str">
        <x:v>Guaranteed simultaneous hot magnetic/capacitor parameters and actual switching-loop/startup correlation; no installed loop-stability pass is inferred from static equations.</x:v>
      </x:c>
      <x:c r="K61" s="104" t="str">
        <x:v>FR-02</x:v>
      </x:c>
    </x:row>
    <x:row r="62" ht="195" customHeight="1">
      <x:c r="A62" s="104" t="str">
        <x:v>REG-06</x:v>
      </x:c>
      <x:c r="B62" s="104" t="str">
        <x:v>5 V, 3.3 V and GPS power rails</x:v>
      </x:c>
      <x:c r="C62" s="104" t="str">
        <x:v>CALCULATED</x:v>
      </x:c>
      <x:c r="D62" s="104" t="str">
        <x:v>LM63615maxminimumon75ns/maxminimumoff100ns replace prior typical-only50ns reasoning. Under342..462kHzextendedfrequency and4.75..5.25Vinput,requiredon&gt;=1339.93ns andoff&gt;=637.96ns (17.87x/6.38x margins). LM5164RON timing coefficient remains typical-only; startup/light-load/hiccup transitions remain distinct from PWM duty inequalities.</x:v>
      </x:c>
      <x:c r="E62" s="104" t="str">
        <x:v>YES</x:v>
      </x:c>
      <x:c r="F62" s="104" t="str">
        <x:v>OPEN</x:v>
      </x:c>
      <x:c r="G62" s="104" t="str">
        <x:v>OPEN</x:v>
      </x:c>
      <x:c r="H62" s="104" t="str">
        <x:v>Source inspection, implemented candidate and/or bounded model; see lane-specific method and limitations.</x:v>
      </x:c>
      <x:c r="I62"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audit/online_resolution_rvb21/derating/CONVERTER_INDUCTOR_BOUNDS.json
audit/online_resolution_rvb21/derating/ROW_UPDATES.json</x:v>
      </x:c>
      <x:c r="J62" s="104" t="str">
        <x:v>Exact light-load/PFM or FPWM, startup and hiccup waveforms on target; nominal efficiency and large timing margin do not prove every control-mode transition.</x:v>
      </x:c>
      <x:c r="K62" s="104" t="str">
        <x:v>FR-02</x:v>
      </x:c>
    </x:row>
    <x:row r="63" ht="195" customHeight="1">
      <x:c r="A63" s="104" t="str">
        <x:v>REG-07</x:v>
      </x:c>
      <x:c r="B63" s="104" t="str">
        <x:v>5 V, 3.3 V and GPS power rails</x:v>
      </x:c>
      <x:c r="C63" s="104" t="str">
        <x:v>VERIFIED</x:v>
      </x:c>
      <x:c r="D63" s="104" t="str">
        <x:v>The original required evidence is annotated current loops and a pin-local measurement PLAN. Both native converter annotations already exist; the new addendum identifies measurement pairs, stimuli, numerical limits and evidence records. Related actual rail/thermal tests remain open.</x:v>
      </x:c>
      <x:c r="E63" s="104" t="str">
        <x:v>YES</x:v>
      </x:c>
      <x:c r="F63" s="104" t="str">
        <x:v>OPEN</x:v>
      </x:c>
      <x:c r="G63" s="104" t="str">
        <x:v>CLOSED</x:v>
      </x:c>
      <x:c r="H63" s="104" t="str">
        <x:v>inspection and documented test-plan definition</x:v>
      </x:c>
      <x:c r="I63"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audit/online_resolution_rvb21/closure/ACCEPTANCE_CLARIFICATIONS.md
audit/board_vetting_20260908/layout_mfg/DIRECT_BOARD_REVIEW.md
audit/board_vetting_20260908/layout_mfg/U121_ACTUAL_COPPER_ANNOTATED.svg
audit/board_vetting_20260908/layout_mfg/U151_ACTUAL_COPPER_ANNOTATED.svg
calculations/EFFECTIVE_CAPACITANCE.json</x:v>
      </x:c>
      <x:c r="J63" s="104" t="str">
        <x:v>Execute the prepared local-rail measurements under REG-04/08, WCA-03, BLE-08, THERM-02 and VNV-04; those criteria remain open.</x:v>
      </x:c>
      <x:c r="K63" s="104" t="str"/>
    </x:row>
    <x:row r="64" ht="195" customHeight="1">
      <x:c r="A64" s="104" t="str">
        <x:v>REG-08</x:v>
      </x:c>
      <x:c r="B64" s="104" t="str">
        <x:v>5 V, 3.3 V and GPS power rails</x:v>
      </x:c>
      <x:c r="C64" s="104" t="str">
        <x:v>CALCULATED</x:v>
      </x:c>
      <x:c r="D64" s="104" t="str">
        <x:v>GPS rail conservative3.1511Vminimum and100mA/0.210242W thermal estimate replace±3percent-only shorthand;50mVpp and desense require measurement.</x:v>
      </x:c>
      <x:c r="E64" s="104" t="str">
        <x:v>YES</x:v>
      </x:c>
      <x:c r="F64" s="104" t="str">
        <x:v>OPEN</x:v>
      </x:c>
      <x:c r="G64" s="104" t="str">
        <x:v>OPEN</x:v>
      </x:c>
      <x:c r="H64" s="104" t="str">
        <x:v>Native source/geometry checks, exact-source host tests or bounded models and controlled engineering disposition; specific evidence below. Original required evidence is preserved, not weakened.</x:v>
      </x:c>
      <x:c r="I64"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4" s="104" t="str">
        <x:v>Measure GPS supply ripple against50mVpp, RF desense and thermal performance.</x:v>
      </x:c>
      <x:c r="K64" s="104" t="str">
        <x:v>FR-02</x:v>
      </x:c>
    </x:row>
    <x:row r="65" ht="195" customHeight="1">
      <x:c r="A65" s="104" t="str">
        <x:v>REG-09</x:v>
      </x:c>
      <x:c r="B65" s="104" t="str">
        <x:v>5 V, 3.3 V and GPS power rails</x:v>
      </x:c>
      <x:c r="C65" s="104" t="str">
        <x:v>CALCULATED</x:v>
      </x:c>
      <x:c r="D65" s="104" t="str">
        <x:v>TPS limited oil-short demand stays within stated healthy5Vbudget; distributed fault48cases pass finite pin screen. Internal eFuse failure not assumed healthy.</x:v>
      </x:c>
      <x:c r="E65" s="104" t="str">
        <x:v>YES</x:v>
      </x:c>
      <x:c r="F65" s="104" t="str">
        <x:v>OPEN</x:v>
      </x:c>
      <x:c r="G65" s="104" t="str">
        <x:v>OPEN</x:v>
      </x:c>
      <x:c r="H65" s="104" t="str">
        <x:v>Native source/geometry checks, exact-source host tests or bounded models and controlled engineering disposition; specific evidence below. Original required evidence is preserved, not weakened.</x:v>
      </x:c>
      <x:c r="I65"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65" s="104" t="str">
        <x:v>Measure local/connector short waveforms and shared-rail recovery. The analog lane identifies the distributed clamp/reservoir layout limitation.</x:v>
      </x:c>
      <x:c r="K65" s="104" t="str">
        <x:v>FR-02</x:v>
      </x:c>
    </x:row>
    <x:row r="66" ht="195" customHeight="1">
      <x:c r="A66" s="104" t="str">
        <x:v>REG-10</x:v>
      </x:c>
      <x:c r="B66" s="104" t="str">
        <x:v>5 V, 3.3 V and GPS power rails</x:v>
      </x:c>
      <x:c r="C66" s="104" t="str">
        <x:v>CALCULATED</x:v>
      </x:c>
      <x:c r="D66" s="104" t="str">
        <x:v>Rail isolation links and local-source test points remain present; staged injection combinations prohibit cross-powering and privateRTNgrounding.</x:v>
      </x:c>
      <x:c r="E66" s="104" t="str">
        <x:v>YES</x:v>
      </x:c>
      <x:c r="F66" s="104" t="str">
        <x:v>CLOSED</x:v>
      </x:c>
      <x:c r="G66" s="104" t="str">
        <x:v>CLOSED</x:v>
      </x:c>
      <x:c r="H66" s="104" t="str">
        <x:v>Native source/geometry checks, exact-source host tests or bounded models and controlled engineering disposition; specific evidence below. Original required evidence is preserved, not weakened.</x:v>
      </x:c>
      <x:c r="I66" s="162" t="str">
        <x:v>audit/online_closure_20260908/simulations/power/RESULTS.json
calculations/POWER_ARCHITECTURE_REVIEW.md
audit/board_vetting_20260908/lanes/power_evidence/CURRENT_PASSIVE_STRESS.json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66" s="104" t="str">
        <x:v>Entire criterion addressed within its documentary/native design scope; no unperformed physical pass inferred.</x:v>
      </x:c>
      <x:c r="K66" s="104" t="str"/>
    </x:row>
    <x:row r="67" ht="293" customHeight="1">
      <x:c r="A67" s="104" t="str">
        <x:v>SEQ-01</x:v>
      </x:c>
      <x:c r="B67" s="104" t="str">
        <x:v>Sequencing, reset and partial power</x:v>
      </x:c>
      <x:c r="C67" s="104" t="str">
        <x:v>HOLD</x:v>
      </x:c>
      <x:c r="D67"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67" s="104" t="str">
        <x:v>PENDING</x:v>
      </x:c>
      <x:c r="F67" s="104" t="str">
        <x:v>OPEN</x:v>
      </x:c>
      <x:c r="G67" s="104" t="str">
        <x:v>OPEN</x:v>
      </x:c>
      <x:c r="H67" s="104" t="str">
        <x:v>Source inspection, implemented candidate and/or bounded model; see lane-specific method and limitations.</x:v>
      </x:c>
      <x:c r="I67"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7"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67" s="104" t="str">
        <x:v>FR-02, FR-05</x:v>
      </x:c>
    </x:row>
    <x:row r="68" ht="238" customHeight="1">
      <x:c r="A68" s="104" t="str">
        <x:v>SEQ-02</x:v>
      </x:c>
      <x:c r="B68" s="104" t="str">
        <x:v>Sequencing, reset and partial power</x:v>
      </x:c>
      <x:c r="C68" s="104" t="str">
        <x:v>VERIFIED</x:v>
      </x:c>
      <x:c r="D68" s="104" t="str">
        <x:v>Canonical GPIO0 connectivity remains verified. Combined reset candidate retains it and specifies GPIO0 low through supervisor recovery delay, then&gt;=3ms after actual EN high and until ROM download begins; external EN sink must establish&gt;=50us actual reset low. Candidate source checks do not substitute for an adapter waveform.</x:v>
      </x:c>
      <x:c r="E68" s="104" t="str">
        <x:v>PENDING</x:v>
      </x:c>
      <x:c r="F68" s="104" t="str">
        <x:v>OPEN</x:v>
      </x:c>
      <x:c r="G68" s="104" t="str">
        <x:v>OPEN</x:v>
      </x:c>
      <x:c r="H68" s="104" t="str">
        <x:v>Source inspection, implemented candidate and/or bounded model; see lane-specific method and limitations.</x:v>
      </x:c>
      <x:c r="I68"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8" s="104" t="str">
        <x:v>Candidate native validation and actual adapter/BOOT timing acceptance.</x:v>
      </x:c>
      <x:c r="K68" s="104" t="str">
        <x:v>FR-02, FR-05</x:v>
      </x:c>
    </x:row>
    <x:row r="69" ht="293" customHeight="1">
      <x:c r="A69" s="104" t="str">
        <x:v>SEQ-03</x:v>
      </x:c>
      <x:c r="B69" s="104" t="str">
        <x:v>Sequencing, reset and partial power</x:v>
      </x:c>
      <x:c r="C69" s="104" t="str">
        <x:v>HOLD</x:v>
      </x:c>
      <x:c r="D69" s="104" t="str">
        <x:v>Reset RC guarantee failure has an implemented combined CAD candidate: TPS3808G33QDBVRQ1 supervisor,1k output limiter,100n bypass,C203 DNP; schematic,placement,routes and BOM edited.32 static and32 declared-ramp corners pass; minimum rail-stabilization margin11.488ms. Explicit source geometry/connectivity screen passes; native ERC/refill/DRC and adoption pending. Existing 0.5 A / 10 µs / 32 µF load-step allocation reaches 3.09375 V, 22.3 mV below the maximum supervisor falling threshold; a normal-load nuisance reset is possible, not proven. Allowable capacitive droop is 133.95 mV; the capacitor-only boundary is 37.327361 µF before ESR/control margins.</x:v>
      </x:c>
      <x:c r="E69" s="104" t="str">
        <x:v>PENDING</x:v>
      </x:c>
      <x:c r="F69" s="104" t="str">
        <x:v>OPEN</x:v>
      </x:c>
      <x:c r="G69" s="104" t="str">
        <x:v>OPEN</x:v>
      </x:c>
      <x:c r="H69" s="104" t="str">
        <x:v>Source inspection, implemented candidate and/or bounded model; see lane-specific method and limitations.</x:v>
      </x:c>
      <x:c r="I69"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audit/board_vetting_20260908/lanes/power_evidence/README.md
audit/online_resolution_rvb21/power_analog/RESET_GUARANTEE_CORRECTION.json
audit/online_resolution_rvb21/power_analog/REVIEW.md
audit/online_resolution_rvb21/reset/RESET_REVIEW.md
audit/online_resolution_rvb21/reset/RESET_MODEL.json
audit/online_resolution_rvb21/reset/RESET_SOURCE_CHECKS.json
audit/online_resolution_rvb21/reset/RESET_CANDIDATE_MANIFEST.json
audit/online_resolution_rvb21/reset/COMBINED_CANDIDATE_BOM_NOT_FOR_ORDER.csv
audit/online_resolution_rvb21/reset/ROW_UPDATES.json</x:v>
      </x:c>
      <x:c r="J69" s="104" t="str">
        <x:v>Actual slow-ramp/interruption/chatter recovery and EN/local3V3 waveforms, supervisor event-detection envelope, actual programmer timing and leakage/capacitance; native candidate validation/promotion. Supervisor versus manual-EN cause is not separately latched. Resolve/verify normal-load droop margin and resulting reset availability; do not infer nuisance-reset-free operation. Compare actual 10 µs load-transient shape/duration with the specified supervisor propagation stimulus; demonstrate adequate capacitance/regulator response or characterize the accepted reset behavior.</x:v>
      </x:c>
      <x:c r="K69" s="104" t="str">
        <x:v>FR-02, FR-05</x:v>
      </x:c>
    </x:row>
    <x:row r="70" ht="195" customHeight="1">
      <x:c r="A70" s="104" t="str">
        <x:v>SEQ-04</x:v>
      </x:c>
      <x:c r="B70" s="104" t="str">
        <x:v>Sequencing, reset and partial power</x:v>
      </x:c>
      <x:c r="C70" s="104" t="str">
        <x:v>VERIFIED</x:v>
      </x:c>
      <x:c r="D70" s="104" t="str">
        <x:v>R301open andTXDpull-up inhibit startup drive regardless ofGPIO5; TCAN normal receiver mode remains asserted by fixed mode-pin contract.</x:v>
      </x:c>
      <x:c r="E70" s="104" t="str">
        <x:v>YES</x:v>
      </x:c>
      <x:c r="F70" s="104" t="str">
        <x:v>OPEN</x:v>
      </x:c>
      <x:c r="G70" s="104" t="str">
        <x:v>OPEN</x:v>
      </x:c>
      <x:c r="H70" s="104" t="str">
        <x:v>Native source/geometry checks, exact-source host tests or bounded models and controlled engineering disposition; specific evidence below. Original required evidence is preserved, not weakened.</x:v>
      </x:c>
      <x:c r="I70"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0" s="104" t="str">
        <x:v>Measure startup and partial-power bus loading. Physical CAN/ESD shorts can still disturb the bus.</x:v>
      </x:c>
      <x:c r="K70" s="104" t="str">
        <x:v>FR-02, FR-05</x:v>
      </x:c>
    </x:row>
    <x:row r="71" ht="195" customHeight="1">
      <x:c r="A71" s="104" t="str">
        <x:v>SEQ-05</x:v>
      </x:c>
      <x:c r="B71" s="104" t="str">
        <x:v>Sequencing, reset and partial power</x:v>
      </x:c>
      <x:c r="C71" s="104" t="str">
        <x:v>VERIFIED</x:v>
      </x:c>
      <x:c r="D71" s="104" t="str">
        <x:v>Existing partial-power matrix remains device-specific; GPSbufferIoff,oilattenuator and fixture bleeds are preserved. No unknown PAoff-state injection guarantee invented.</x:v>
      </x:c>
      <x:c r="E71" s="104" t="str">
        <x:v>PENDING</x:v>
      </x:c>
      <x:c r="F71" s="104" t="str">
        <x:v>OPEN</x:v>
      </x:c>
      <x:c r="G71" s="104" t="str">
        <x:v>OPEN</x:v>
      </x:c>
      <x:c r="H71" s="104" t="str">
        <x:v>Native source/geometry checks, exact-source host tests or bounded models and controlled engineering disposition; specific evidence below. Original required evidence is preserved, not weakened.</x:v>
      </x:c>
      <x:c r="I71"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1" s="104" t="str">
        <x:v>Measure dead rails and summed hot leakage for main-only, GPS-only, external-oil-only and powered-adapter states.</x:v>
      </x:c>
      <x:c r="K71" s="104" t="str">
        <x:v>FR-02, FR-05</x:v>
      </x:c>
    </x:row>
    <x:row r="72" ht="195" customHeight="1">
      <x:c r="A72" s="104" t="str">
        <x:v>SEQ-06</x:v>
      </x:c>
      <x:c r="B72" s="104" t="str">
        <x:v>Sequencing, reset and partial power</x:v>
      </x:c>
      <x:c r="C72" s="104" t="str">
        <x:v>VERIFIED</x:v>
      </x:c>
      <x:c r="D72" s="104" t="str">
        <x:v>GPS receiving-domain buffers preserve logic margins; controlled fixtures prevent external energized logic driving absent domains. Physical leakage/rail rise remains unverified.</x:v>
      </x:c>
      <x:c r="E72" s="104" t="str">
        <x:v>YES</x:v>
      </x:c>
      <x:c r="F72" s="104" t="str">
        <x:v>OPEN</x:v>
      </x:c>
      <x:c r="G72" s="104" t="str">
        <x:v>OPEN</x:v>
      </x:c>
      <x:c r="H72" s="104" t="str">
        <x:v>Native source/geometry checks, exact-source host tests or bounded models and controlled engineering disposition; specific evidence below. Original required evidence is preserved, not weakened.</x:v>
      </x:c>
      <x:c r="I72"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2" s="104" t="str">
        <x:v>Observe rise/fall behavior and ADC clamp discharge. The fixture must not drive MCU UART with main power absent.</x:v>
      </x:c>
      <x:c r="K72" s="104" t="str">
        <x:v>FR-02, FR-05</x:v>
      </x:c>
    </x:row>
    <x:row r="73" ht="195" customHeight="1">
      <x:c r="A73" s="104" t="str">
        <x:v>SEQ-07</x:v>
      </x:c>
      <x:c r="B73" s="104" t="str">
        <x:v>Sequencing, reset and partial power</x:v>
      </x:c>
      <x:c r="C73" s="104" t="str">
        <x:v>VERIFIED</x:v>
      </x:c>
      <x:c r="D73" s="104" t="str">
        <x:v>TagVTREF is senseonly,3.3V UART,open-drainEN/BOOT. Allowed rail-injection links/ground references are explicit; a5Vprogrammer supply is prohibited.</x:v>
      </x:c>
      <x:c r="E73" s="104" t="str">
        <x:v>YES</x:v>
      </x:c>
      <x:c r="F73" s="104" t="str">
        <x:v>OPEN</x:v>
      </x:c>
      <x:c r="G73" s="104" t="str">
        <x:v>OPEN</x:v>
      </x:c>
      <x:c r="H73" s="104" t="str">
        <x:v>Native source/geometry checks, exact-source host tests or bounded models and controlled engineering disposition; specific evidence below. Original required evidence is preserved, not weakened.</x:v>
      </x:c>
      <x:c r="I73"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3" s="104" t="str">
        <x:v>Use a sense-only VTREF adapter that gates outputs with target power; qualify the fixture interlock and cable.</x:v>
      </x:c>
      <x:c r="K73" s="104" t="str">
        <x:v>FR-02, FR-05</x:v>
      </x:c>
    </x:row>
    <x:row r="74" ht="195" customHeight="1">
      <x:c r="A74" s="104" t="str">
        <x:v>SEQ-08</x:v>
      </x:c>
      <x:c r="B74" s="104" t="str">
        <x:v>Sequencing, reset and partial power</x:v>
      </x:c>
      <x:c r="C74" s="104" t="str">
        <x:v>VERIFIED</x:v>
      </x:c>
      <x:c r="D74" s="104" t="str">
        <x:v>HardwareTXinhibition survives watchdog/software hang. Reset cause/boot record and bounded queues aid diagnosis; physical watchdog/brownout recovery remains target validation.</x:v>
      </x:c>
      <x:c r="E74" s="104" t="str">
        <x:v>YES</x:v>
      </x:c>
      <x:c r="F74" s="104" t="str">
        <x:v>OPEN</x:v>
      </x:c>
      <x:c r="G74" s="104" t="str">
        <x:v>OPEN</x:v>
      </x:c>
      <x:c r="H74" s="104" t="str">
        <x:v>Native source/geometry checks, exact-source host tests or bounded models and controlled engineering disposition; specific evidence below. Original required evidence is preserved, not weakened.</x:v>
      </x:c>
      <x:c r="I74"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4" s="104" t="str">
        <x:v>Run watchdog, hang and brownout fault injection and verify stale data rejection; use firmware lane source/state evidence.</x:v>
      </x:c>
      <x:c r="K74" s="104" t="str">
        <x:v>FR-02, FR-05</x:v>
      </x:c>
    </x:row>
    <x:row r="75" ht="195" customHeight="1">
      <x:c r="A75" s="104" t="str">
        <x:v>SEQ-09</x:v>
      </x:c>
      <x:c r="B75" s="104" t="str">
        <x:v>Sequencing, reset and partial power</x:v>
      </x:c>
      <x:c r="C75" s="104" t="str">
        <x:v>VERIFIED</x:v>
      </x:c>
      <x:c r="D75" s="104" t="str">
        <x:v>RTC retained boot record and reset reason are in exact binary; host integrity/wrap tests pass without flash writes every reset. RVB-21 combined-candidate impact: supervisor undervoltage pulls EN and is not separately latched; firmware may identify it like manual/external/power-on reset. Retained closure applies to canonical diagnostic design only; no distinct supervisor-brownout diagnosis is claimed.</x:v>
      </x:c>
      <x:c r="E75" s="104" t="str">
        <x:v>YES</x:v>
      </x:c>
      <x:c r="F75" s="104" t="str">
        <x:v>CLOSED</x:v>
      </x:c>
      <x:c r="G75" s="104" t="str">
        <x:v>CLOSED</x:v>
      </x:c>
      <x:c r="H75" s="104" t="str">
        <x:v>Native source/geometry checks, exact-source host tests or bounded models and controlled engineering disposition; specific evidence below. Original required evidence is preserved, not weakened.</x:v>
      </x:c>
      <x:c r="I75"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audit/online_resolution_rvb21/reset/RESET_REVIEW.md</x:v>
      </x:c>
      <x:c r="J75" s="104" t="str">
        <x:v>Entire criterion addressed within its documentary/native design scope; no unperformed physical pass inferred.</x:v>
      </x:c>
      <x:c r="K75" s="104" t="str"/>
    </x:row>
    <x:row r="76" ht="195" customHeight="1">
      <x:c r="A76" s="104" t="str">
        <x:v>SEQ-10</x:v>
      </x:c>
      <x:c r="B76" s="104" t="str">
        <x:v>Sequencing, reset and partial power</x:v>
      </x:c>
      <x:c r="C76" s="104" t="str">
        <x:v>VERIFIED</x:v>
      </x:c>
      <x:c r="D76" s="104" t="str">
        <x:v>No backup primary cell or charging path is introduced; interrupted configuration/calibration uses validated atomic records. Actual power interruption/NVS behavior requires target testing.</x:v>
      </x:c>
      <x:c r="E76" s="104" t="str">
        <x:v>YES</x:v>
      </x:c>
      <x:c r="F76" s="104" t="str">
        <x:v>OPEN</x:v>
      </x:c>
      <x:c r="G76" s="104" t="str">
        <x:v>OPEN</x:v>
      </x:c>
      <x:c r="H76" s="104" t="str">
        <x:v>Native source/geometry checks, exact-source host tests or bounded models and controlled engineering disposition; specific evidence below. Original required evidence is preserved, not weakened.</x:v>
      </x:c>
      <x:c r="I76" s="162" t="str">
        <x:v>audit/online_closure_20260908/simulations/power/RESULTS.json
calculations/POWER_ARCHITECTURE_REVIEW.md
audit/board_vetting_20260908/lanes/power_evidence/CURRENT_PASSIVE_STRESS.json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audit/online_closure_20260908/ONLINE_VERIFICATION_CONTRACT.md
audit/online_closure_20260908/FINAL_REVIEW_ITEMS.json
audit/online_resolution_rvb21/SOURCE_EFFECTIVITY.md
audit/online_resolution_rvb21/closure/CANDIDATE_DISPOSITIONS.json</x:v>
      </x:c>
      <x:c r="J76" s="104" t="str">
        <x:v>Measure rail fall/restart combinations and interrupt power during settings saves.</x:v>
      </x:c>
      <x:c r="K76" s="104" t="str">
        <x:v>FR-02, FR-05</x:v>
      </x:c>
    </x:row>
    <x:row r="77" ht="216" customHeight="1">
      <x:c r="A77" s="104" t="str">
        <x:v>GND-01</x:v>
      </x:c>
      <x:c r="B77" s="104" t="str">
        <x:v>Grounding and return-current paths</x:v>
      </x:c>
      <x:c r="C77" s="104" t="str">
        <x:v>VERIFIED</x:v>
      </x:c>
      <x:c r="D77" s="104" t="str">
        <x:v>Completed source-bound four-layer annotated maps and12 source/sink groups:55 forward endpoint paths and122 GND pad instances resolve against the native effective-polygon common GND component. Exact reverse-property SHA reconstruction binds earlier geometry to canonical3440eea4. Private RTN and external return boundaries are explicit.</x:v>
      </x:c>
      <x:c r="E77" s="104" t="str">
        <x:v>YES</x:v>
      </x:c>
      <x:c r="F77" s="104" t="str">
        <x:v>OPEN</x:v>
      </x:c>
      <x:c r="G77" s="104" t="str">
        <x:v>CLOSED</x:v>
      </x:c>
      <x:c r="H77" s="104" t="str">
        <x:v>Source inspection, implemented candidate and/or bounded model; see lane-specific method and limitations.</x:v>
      </x:c>
      <x:c r="I77"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audit/online_resolution_rvb21/return_paths/ROW_UPDATES.json</x:v>
      </x:c>
      <x:c r="J77" s="104" t="str">
        <x:v>None within the original annotated board-current-path inspection scope. Shared impedance, installed bonding and ESD measured acceptance remain separate criteria.</x:v>
      </x:c>
      <x:c r="K77" s="104" t="str"/>
    </x:row>
    <x:row r="78" ht="260" customHeight="1">
      <x:c r="A78" s="104" t="str">
        <x:v>GND-02</x:v>
      </x:c>
      <x:c r="B78" s="104" t="str">
        <x:v>Grounding and return-current paths</x:v>
      </x:c>
      <x:c r="C78" s="104" t="str">
        <x:v>CALCULATED</x:v>
      </x:c>
      <x:c r="D78" s="104" t="str">
        <x:v>All21 native non-transition gap nets now have source-bound dispositions. F-to-In2 reference separation1.263mm versus0.203mm to In1 is retained; CAN_RX_MCU gap4.5704mm has canonical220ohm damping and54-case conditional waveform model. New actual-overlap capacitance screen is finite and not an EM bound. Final combined candidate d0b78f5d uses R3021kohm with unchanged geometry:108 conditional line cases (54edge+54maximum-R logic) pass; worst bus-to-valid logic235.406338ns versus500ns allocation. Canonical220ohm/54-case evidence remains current canonical and historical only.</x:v>
      </x:c>
      <x:c r="E78" s="104" t="str">
        <x:v>YES</x:v>
      </x:c>
      <x:c r="F78" s="104" t="str">
        <x:v>OPEN</x:v>
      </x:c>
      <x:c r="G78" s="104" t="str">
        <x:v>OPEN</x:v>
      </x:c>
      <x:c r="H78" s="104" t="str">
        <x:v>Source inspection, implemented candidate and/or bounded model; see lane-specific method and limitations.</x:v>
      </x:c>
      <x:c r="I78"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audit/online_resolution_rvb21/derating/can_rx/R302_ANALYSIS.json
audit/online_resolution_rvb21/derating/can_rx/R302_CANDIDATE_SOURCE_CHECKS.json
audit/online_resolution_rvb21/return_paths/d501_flowthrough/COMBINED_SOURCE_BINDING.json
audit/online_resolution_rvb21/return_paths/ROW_UPDATES.json</x:v>
      </x:c>
      <x:c r="J78" s="104" t="str">
        <x:v>Correlate allocated coupling/edge/port/stackup parameters with actual fabricated/reference behavior. The21-gap inventory, overlap-capacitance sensitivity and engineering retention disposition are complete; no new arbitrary reroute requirement.</x:v>
      </x:c>
      <x:c r="K78" s="104" t="str">
        <x:v>FR-02, FR-03</x:v>
      </x:c>
    </x:row>
    <x:row r="79" ht="195" customHeight="1">
      <x:c r="A79" s="104" t="str">
        <x:v>GND-03</x:v>
      </x:c>
      <x:c r="B79" s="104" t="str">
        <x:v>Grounding and return-current paths</x:v>
      </x:c>
      <x:c r="C79" s="104" t="str">
        <x:v>CALCULATED</x:v>
      </x:c>
      <x:c r="D79" s="104" t="str">
        <x:v>Common signal/power reference with placement control remains; privateTPSRTN is distinct for that IC,not an analog ground moat.</x:v>
      </x:c>
      <x:c r="E79" s="104" t="str">
        <x:v>YES</x:v>
      </x:c>
      <x:c r="F79" s="104" t="str">
        <x:v>CLOSED</x:v>
      </x:c>
      <x:c r="G79" s="104" t="str">
        <x:v>CLOSED</x:v>
      </x:c>
      <x:c r="H79" s="104" t="str">
        <x:v>Native source/geometry checks, exact-source host tests or bounded models and controlled engineering disposition; specific evidence below. Original required evidence is preserved, not weakened.</x:v>
      </x:c>
      <x:c r="I79"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79" s="104" t="str">
        <x:v>Entire criterion addressed within its documentary/native design scope; no unperformed physical pass inferred.</x:v>
      </x:c>
      <x:c r="K79" s="104" t="str"/>
    </x:row>
    <x:row r="80" ht="227" customHeight="1">
      <x:c r="A80" s="104" t="str">
        <x:v>GND-04</x:v>
      </x:c>
      <x:c r="B80" s="104" t="str">
        <x:v>Grounding and return-current paths</x:v>
      </x:c>
      <x:c r="C80" s="104" t="str">
        <x:v>CALCULATED</x:v>
      </x:c>
      <x:c r="D80" s="104" t="str">
        <x:v>Added complete current-path index and12 temperature/current-scale sensitivity points to prior one-plane solve. At125C/2x allocated loads with existing2x allowance:10.3728mV/0.36851psi; total static screen3.15051psi under original budgets. This is not complete all-layer switching/RF current distribution or0.15psi RMS-noise verification.</x:v>
      </x:c>
      <x:c r="E80" s="104" t="str">
        <x:v>YES</x:v>
      </x:c>
      <x:c r="F80" s="104" t="str">
        <x:v>OPEN</x:v>
      </x:c>
      <x:c r="G80" s="104" t="str">
        <x:v>OPEN</x:v>
      </x:c>
      <x:c r="H80" s="104" t="str">
        <x:v>Source inspection, implemented candidate and/or bounded model; see lane-specific method and limitations.</x:v>
      </x:c>
      <x:c r="I80"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audit/online_resolution_rvb21/return_paths/ROW_UPDATES.json</x:v>
      </x:c>
      <x:c r="J80" s="104" t="str">
        <x:v>Actual finished copper/barrel, per-pin/package current/impedance and installed bond data sufficient to correlate the conditional transfer model, or differential ADC/F1.9 measurements. Explicit remaining steady margin15.024mV; no unperformed feasible calculation is silently counted as physical evidence.</x:v>
      </x:c>
      <x:c r="K80" s="104" t="str">
        <x:v>FR-02, FR-03</x:v>
      </x:c>
    </x:row>
    <x:row r="81" ht="195" customHeight="1">
      <x:c r="A81" s="104" t="str">
        <x:v>GND-05</x:v>
      </x:c>
      <x:c r="B81" s="104" t="str">
        <x:v>Grounding and return-current paths</x:v>
      </x:c>
      <x:c r="C81" s="104" t="str">
        <x:v>CALCULATED</x:v>
      </x:c>
      <x:c r="D81" s="104" t="str">
        <x:v>Board-ground allocation~0.184psi plus eachoilwire≤0.2ohm/1.5mV drop is included. Board excitation sense does not remove sensor-end cable drop.</x:v>
      </x:c>
      <x:c r="E81" s="104" t="str">
        <x:v>PENDING</x:v>
      </x:c>
      <x:c r="F81" s="104" t="str">
        <x:v>OPEN</x:v>
      </x:c>
      <x:c r="G81" s="104" t="str">
        <x:v>OPEN</x:v>
      </x:c>
      <x:c r="H81" s="104" t="str">
        <x:v>Native source/geometry checks, exact-source host tests or bounded models and controlled engineering disposition; specific evidence below. Original required evidence is preserved, not weakened.</x:v>
      </x:c>
      <x:c r="I81"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81" s="104" t="str">
        <x:v>Exact harness/contact resistance and loaded sensor ground-offset measurement with uncertainty.</x:v>
      </x:c>
      <x:c r="K81" s="104" t="str">
        <x:v>FR-02, FR-03</x:v>
      </x:c>
    </x:row>
    <x:row r="82" ht="195" customHeight="1">
      <x:c r="A82" s="104" t="str">
        <x:v>GND-06</x:v>
      </x:c>
      <x:c r="B82" s="104" t="str">
        <x:v>Grounding and return-current paths</x:v>
      </x:c>
      <x:c r="C82" s="104" t="str">
        <x:v>CALCULATED</x:v>
      </x:c>
      <x:c r="D82" s="104" t="str">
        <x:v>Power,MCU,CAN,oil,GPS share controlledGND; no independent cavity11chassis bond. Coax and lab-ground paths are explicit.</x:v>
      </x:c>
      <x:c r="E82" s="104" t="str">
        <x:v>YES</x:v>
      </x:c>
      <x:c r="F82" s="104" t="str">
        <x:v>CLOSED</x:v>
      </x:c>
      <x:c r="G82" s="104" t="str">
        <x:v>CLOSED</x:v>
      </x:c>
      <x:c r="H82" s="104" t="str">
        <x:v>Native source/geometry checks, exact-source host tests or bounded models and controlled engineering disposition; specific evidence below. Original required evidence is preserved, not weakened.</x:v>
      </x:c>
      <x:c r="I82"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2" s="104" t="str">
        <x:v>Entire criterion addressed within its documentary/native design scope; no unperformed physical pass inferred.</x:v>
      </x:c>
      <x:c r="K82" s="104" t="str"/>
    </x:row>
    <x:row r="83" ht="249" customHeight="1">
      <x:c r="A83" s="104" t="str">
        <x:v>GND-07</x:v>
      </x:c>
      <x:c r="B83" s="104" t="str">
        <x:v>Grounding and return-current paths</x:v>
      </x:c>
      <x:c r="C83" s="104" t="str">
        <x:v>CALCULATED</x:v>
      </x:c>
      <x:c r="D83" s="104" t="str">
        <x:v>Actual entry routing confirms D301 CAN and D402 RF lie on routed main paths. D501 OIL_SIG/OIL_5V are shunt branches2.8629/2.3560mm long; nearest GND via0.8617mm. Annotated maps and24 branch/return-inductance slope sensitivities prevent a false ideal-entry claim. Corrected in isolated combined candidate d0b78f5d: both oil connector bypasses removed; exact D501 pad-cut test disconnects all protected loads; minimum new foreign fixed-copper clearance0.175mm. Native fill remains pending.</x:v>
      </x:c>
      <x:c r="E83" s="104" t="str">
        <x:v>YES</x:v>
      </x:c>
      <x:c r="F83" s="104" t="str">
        <x:v>OPEN</x:v>
      </x:c>
      <x:c r="G83" s="104" t="str">
        <x:v>OPEN</x:v>
      </x:c>
      <x:c r="H83" s="104" t="str">
        <x:v>Source inspection, implemented candidate and/or bounded model; see lane-specific method and limitations.</x:v>
      </x:c>
      <x:c r="I83"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audit/online_resolution_rvb21/return_paths/d501_flowthrough/REVIEW.md
audit/online_resolution_rvb21/return_paths/d501_flowthrough/D501_CANDIDATE_RESULTS.json
audit/online_resolution_rvb21/return_paths/d501_flowthrough/COMBINED_SOURCE_BINDING.json
audit/online_resolution_rvb21/return_paths/ROW_UPDATES.json</x:v>
      </x:c>
      <x:c r="J83" s="104" t="str">
        <x:v>Native refill/DRC and physical residual-voltage/coupling/robustness at actual entries and installed bonding. Connector flow-through source correction is implemented; no physical pass inferred.</x:v>
      </x:c>
      <x:c r="K83" s="104" t="str">
        <x:v>FR-02, FR-03</x:v>
      </x:c>
    </x:row>
    <x:row r="84" ht="195" customHeight="1">
      <x:c r="A84" s="104" t="str">
        <x:v>GND-08</x:v>
      </x:c>
      <x:c r="B84" s="104" t="str">
        <x:v>Grounding and return-current paths</x:v>
      </x:c>
      <x:c r="C84" s="104" t="str">
        <x:v>CALCULATED</x:v>
      </x:c>
      <x:c r="D84" s="104" t="str">
        <x:v>Native filled-zone graph has oneconductiveGNDcomponent andno accidental floating ground island; finalDRC checks connectivity separately.</x:v>
      </x:c>
      <x:c r="E84" s="104" t="str">
        <x:v>YES</x:v>
      </x:c>
      <x:c r="F84" s="104" t="str">
        <x:v>CLOSED</x:v>
      </x:c>
      <x:c r="G84" s="104" t="str">
        <x:v>CLOSED</x:v>
      </x:c>
      <x:c r="H84" s="104" t="str">
        <x:v>Native source/geometry checks, exact-source host tests or bounded models and controlled engineering disposition; specific evidence below. Original required evidence is preserved, not weakened.</x:v>
      </x:c>
      <x:c r="I84"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4" s="104" t="str">
        <x:v>Entire criterion addressed within its documentary/native design scope; no unperformed physical pass inferred.</x:v>
      </x:c>
      <x:c r="K84" s="104" t="str"/>
    </x:row>
    <x:row r="85" ht="195" customHeight="1">
      <x:c r="A85" s="104" t="str">
        <x:v>GND-09</x:v>
      </x:c>
      <x:c r="B85" s="104" t="str">
        <x:v>Grounding and return-current paths</x:v>
      </x:c>
      <x:c r="C85" s="104" t="str">
        <x:v>CALCULATED</x:v>
      </x:c>
      <x:c r="D85" s="104" t="str">
        <x:v>Ground-loss secondary returns through CAN/coax/sensor/programmer remain credible; interface disconnection/protected fixture rules are defined,universal harmlessness not claimed.</x:v>
      </x:c>
      <x:c r="E85" s="104" t="str">
        <x:v>PENDING</x:v>
      </x:c>
      <x:c r="F85" s="104" t="str">
        <x:v>OPEN</x:v>
      </x:c>
      <x:c r="G85" s="104" t="str">
        <x:v>OPEN</x:v>
      </x:c>
      <x:c r="H85" s="104" t="str">
        <x:v>Native source/geometry checks, exact-source host tests or bounded models and controlled engineering disposition; specific evidence below. Original required evidence is preserved, not weakened.</x:v>
      </x:c>
      <x:c r="I85"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85" s="104" t="str">
        <x:v>Exact external bonds and current-limited bench evidence required; no vehicle fault experiment authorized.</x:v>
      </x:c>
      <x:c r="K85" s="104" t="str">
        <x:v>FR-02, FR-03</x:v>
      </x:c>
    </x:row>
    <x:row r="86" ht="195" customHeight="1">
      <x:c r="A86" s="104" t="str">
        <x:v>GND-10</x:v>
      </x:c>
      <x:c r="B86" s="104" t="str">
        <x:v>Grounding and return-current paths</x:v>
      </x:c>
      <x:c r="C86" s="104" t="str">
        <x:v>CALCULATED</x:v>
      </x:c>
      <x:c r="D86" s="104" t="str">
        <x:v>Lab fixture requires known single reference or suitable differential/isolated measurement; privateTPSRTNnever casually shorted toGND.</x:v>
      </x:c>
      <x:c r="E86" s="104" t="str">
        <x:v>YES</x:v>
      </x:c>
      <x:c r="F86" s="104" t="str">
        <x:v>CLOSED</x:v>
      </x:c>
      <x:c r="G86" s="104" t="str">
        <x:v>CLOSED</x:v>
      </x:c>
      <x:c r="H86" s="104" t="str">
        <x:v>Native source/geometry checks, exact-source host tests or bounded models and controlled engineering disposition; specific evidence below. Original required evidence is preserved, not weakened.</x:v>
      </x:c>
      <x:c r="I86" s="162" t="str">
        <x:v>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86" s="104" t="str">
        <x:v>Entire criterion addressed within its documentary/native design scope; no unperformed physical pass inferred.</x:v>
      </x:c>
      <x:c r="K86" s="104" t="str"/>
    </x:row>
    <x:row r="87" ht="195" customHeight="1">
      <x:c r="A87" s="104" t="str">
        <x:v>VIA-01</x:v>
      </x:c>
      <x:c r="B87" s="104" t="str">
        <x:v>Stitching, thermal and signal vias</x:v>
      </x:c>
      <x:c r="C87" s="104" t="str">
        <x:v>VERIFIED</x:v>
      </x:c>
      <x:c r="D87" s="104" t="str">
        <x:v>All257via objects have recorded purpose;103GNDstitches plus separately counted12ESPthermalPTHs. New ADCstitch is a reference transfer,not arbitrary via density.</x:v>
      </x:c>
      <x:c r="E87" s="104" t="str">
        <x:v>YES</x:v>
      </x:c>
      <x:c r="F87" s="104" t="str">
        <x:v>CLOSED</x:v>
      </x:c>
      <x:c r="G87" s="104" t="str">
        <x:v>CLOSED</x:v>
      </x:c>
      <x:c r="H87" s="104" t="str">
        <x:v>Native source/geometry checks, exact-source host tests or bounded models and controlled engineering disposition; specific evidence below. Original required evidence is preserved, not weakened.</x:v>
      </x:c>
      <x:c r="I87"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7" s="104" t="str">
        <x:v>Entire criterion addressed within its documentary/native design scope; no unperformed physical pass inferred.</x:v>
      </x:c>
      <x:c r="K87" s="104" t="str"/>
    </x:row>
    <x:row r="88" ht="195" customHeight="1">
      <x:c r="A88" s="104" t="str">
        <x:v>VIA-02</x:v>
      </x:c>
      <x:c r="B88" s="104" t="str">
        <x:v>Stitching, thermal and signal vias</x:v>
      </x:c>
      <x:c r="C88" s="104" t="str">
        <x:v>VERIFIED</x:v>
      </x:c>
      <x:c r="D88" s="104" t="str">
        <x:v>ADCfeedback return reduced5.216→2.088mm; all103GNDvias connect each plane. Known CAN reference escapes remain explicitly modeled/qualified.</x:v>
      </x:c>
      <x:c r="E88" s="104" t="str">
        <x:v>YES</x:v>
      </x:c>
      <x:c r="F88" s="104" t="str">
        <x:v>CLOSED</x:v>
      </x:c>
      <x:c r="G88" s="104" t="str">
        <x:v>CLOSED</x:v>
      </x:c>
      <x:c r="H88" s="104" t="str">
        <x:v>Native source/geometry checks, exact-source host tests or bounded models and controlled engineering disposition; specific evidence below. Original required evidence is preserved, not weakened.</x:v>
      </x:c>
      <x:c r="I88"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8" s="104" t="str">
        <x:v>Entire criterion addressed within its documentary/native design scope; no unperformed physical pass inferred.</x:v>
      </x:c>
      <x:c r="K88" s="104" t="str"/>
    </x:row>
    <x:row r="89" ht="195" customHeight="1">
      <x:c r="A89" s="104" t="str">
        <x:v>VIA-03</x:v>
      </x:c>
      <x:c r="B89" s="104" t="str">
        <x:v>Stitching, thermal and signal vias</x:v>
      </x:c>
      <x:c r="C89" s="104" t="str">
        <x:v>VERIFIED</x:v>
      </x:c>
      <x:c r="D89" s="104" t="str">
        <x:v>RF return/pitch screen uses actual geometry and guided wavelength; no dense universal fence or3DEMproof is claimed.</x:v>
      </x:c>
      <x:c r="E89" s="104" t="str">
        <x:v>YES</x:v>
      </x:c>
      <x:c r="F89" s="104" t="str">
        <x:v>CLOSED</x:v>
      </x:c>
      <x:c r="G89" s="104" t="str">
        <x:v>CLOSED</x:v>
      </x:c>
      <x:c r="H89" s="104" t="str">
        <x:v>Native source/geometry checks, exact-source host tests or bounded models and controlled engineering disposition; specific evidence below. Original required evidence is preserved, not weakened.</x:v>
      </x:c>
      <x:c r="I89"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89" s="104" t="str">
        <x:v>Entire criterion addressed within its documentary/native design scope; no unperformed physical pass inferred.</x:v>
      </x:c>
      <x:c r="K89" s="104" t="str"/>
    </x:row>
    <x:row r="90" ht="195" customHeight="1">
      <x:c r="A90" s="104" t="str">
        <x:v>VIA-04</x:v>
      </x:c>
      <x:c r="B90" s="104" t="str">
        <x:v>Stitching, thermal and signal vias</x:v>
      </x:c>
      <x:c r="C90" s="104" t="str">
        <x:v>VERIFIED</x:v>
      </x:c>
      <x:c r="D90" s="104" t="str">
        <x:v>ESP all-layer antenna keepout preserved; addedvia lies outside both protected antenna regions. Qualified U.FL local no-copper rules remain intact.</x:v>
      </x:c>
      <x:c r="E90" s="104" t="str">
        <x:v>YES</x:v>
      </x:c>
      <x:c r="F90" s="104" t="str">
        <x:v>CLOSED</x:v>
      </x:c>
      <x:c r="G90" s="104" t="str">
        <x:v>CLOSED</x:v>
      </x:c>
      <x:c r="H90" s="104" t="str">
        <x:v>Native source/geometry checks, exact-source host tests or bounded models and controlled engineering disposition; specific evidence below. Original required evidence is preserved, not weakened.</x:v>
      </x:c>
      <x:c r="I90"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0" s="104" t="str">
        <x:v>Entire criterion addressed within its documentary/native design scope; no unperformed physical pass inferred.</x:v>
      </x:c>
      <x:c r="K90" s="104" t="str"/>
    </x:row>
    <x:row r="91" ht="195" customHeight="1">
      <x:c r="A91" s="104" t="str">
        <x:v>VIA-05</x:v>
      </x:c>
      <x:c r="B91" s="104" t="str">
        <x:v>Stitching, thermal and signal vias</x:v>
      </x:c>
      <x:c r="C91" s="104" t="str">
        <x:v>VERIFIED</x:v>
      </x:c>
      <x:c r="D91" s="104" t="str">
        <x:v>U.FL grounds and nearby return vias remain connected; D402placement/ground attachment retained while acute signal approach is corrected.</x:v>
      </x:c>
      <x:c r="E91" s="104" t="str">
        <x:v>YES</x:v>
      </x:c>
      <x:c r="F91" s="104" t="str">
        <x:v>CLOSED</x:v>
      </x:c>
      <x:c r="G91" s="104" t="str">
        <x:v>CLOSED</x:v>
      </x:c>
      <x:c r="H91" s="104" t="str">
        <x:v>Native source/geometry checks, exact-source host tests or bounded models and controlled engineering disposition; specific evidence below. Original required evidence is preserved, not weakened.</x:v>
      </x:c>
      <x:c r="I91"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1" s="104" t="str">
        <x:v>Entire criterion addressed within its documentary/native design scope; no unperformed physical pass inferred.</x:v>
      </x:c>
      <x:c r="K91" s="104" t="str"/>
    </x:row>
    <x:row r="92" ht="195" customHeight="1">
      <x:c r="A92" s="104" t="str">
        <x:v>VIA-06</x:v>
      </x:c>
      <x:c r="B92" s="104" t="str">
        <x:v>Stitching, thermal and signal vias</x:v>
      </x:c>
      <x:c r="C92" s="104" t="str">
        <x:v>CALCULATED</x:v>
      </x:c>
      <x:c r="D92" s="104" t="str">
        <x:v>All257vias(103GND)parsed. Selecteddrawingminima20umlocalwall,0.20/0.25mmfinishedholes yield3.10086/2.52663mohm at125C andadiabatic65-to125CI2t1.62388/2.44588A2s. Conditional1Dbarrelselfheat at2.7Ais0.9345/0.6204Cabovefixedendtemperature. 10/18/20/25umandlooser-hole sensitivities retained.</x:v>
      </x:c>
      <x:c r="E92" s="104" t="str">
        <x:v>YES</x:v>
      </x:c>
      <x:c r="F92" s="104" t="str">
        <x:v>OPEN</x:v>
      </x:c>
      <x:c r="G92" s="104" t="str">
        <x:v>OPEN</x:v>
      </x:c>
      <x:c r="H92" s="104" t="str">
        <x:v>Source inspection, implemented candidate and/or bounded model; see lane-specific method and limitations.</x:v>
      </x:c>
      <x:c r="I92"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audit/online_resolution_rvb21/derating/COPPER_VIA_BOUNDS.json
audit/online_resolution_rvb21/derating/ROW_UPDATES.json</x:v>
      </x:c>
      <x:c r="J92" s="104" t="str">
        <x:v>Supplier acceptance/coupon evidence of selected minimum local plating; actual current-path/fuseI2t and copper-plane/end temperature.18umaveragepublishedcapability is not20umlocalminimum.</x:v>
      </x:c>
      <x:c r="K92" s="104" t="str">
        <x:v>FR-07</x:v>
      </x:c>
    </x:row>
    <x:row r="93" ht="195" customHeight="1">
      <x:c r="A93" s="104" t="str">
        <x:v>VIA-07</x:v>
      </x:c>
      <x:c r="B93" s="104" t="str">
        <x:v>Stitching, thermal and signal vias</x:v>
      </x:c>
      <x:c r="C93" s="104" t="str">
        <x:v>VERIFIED</x:v>
      </x:c>
      <x:c r="D93" s="104" t="str">
        <x:v>Final nominaldrill-to-paste margin≥0.15mm is checked on all apertures/holes; actual process registration/void/wicking acceptance is separate.</x:v>
      </x:c>
      <x:c r="E93" s="104" t="str">
        <x:v>YES</x:v>
      </x:c>
      <x:c r="F93" s="104" t="str">
        <x:v>OPEN</x:v>
      </x:c>
      <x:c r="G93" s="104" t="str">
        <x:v>OPEN</x:v>
      </x:c>
      <x:c r="H93" s="104" t="str">
        <x:v>Native source/geometry checks, exact-source host tests or bounded models and controlled engineering disposition; specific evidence below. Original required evidence is preserved, not weakened.</x:v>
      </x:c>
      <x:c r="I93"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3" s="104" t="str">
        <x:v>Assembler approval and first-article wicking/voiding check for exact tented process.</x:v>
      </x:c>
      <x:c r="K93" s="104" t="str">
        <x:v>FR-07</x:v>
      </x:c>
    </x:row>
    <x:row r="94" ht="195" customHeight="1">
      <x:c r="A94" s="104" t="str">
        <x:v>VIA-08</x:v>
      </x:c>
      <x:c r="B94" s="104" t="str">
        <x:v>Stitching, thermal and signal vias</x:v>
      </x:c>
      <x:c r="C94" s="104" t="str">
        <x:v>VERIFIED</x:v>
      </x:c>
      <x:c r="D94" s="104" t="str">
        <x:v>No new via-in-pad or special-fill process introduced; existing exactESPthermal structures remain governed by supplier process acceptance.</x:v>
      </x:c>
      <x:c r="E94" s="104" t="str">
        <x:v>YES</x:v>
      </x:c>
      <x:c r="F94" s="104" t="str">
        <x:v>OPEN</x:v>
      </x:c>
      <x:c r="G94" s="104" t="str">
        <x:v>OPEN</x:v>
      </x:c>
      <x:c r="H94" s="104" t="str">
        <x:v>Native source/geometry checks, exact-source host tests or bounded models and controlled engineering disposition; specific evidence below. Original required evidence is preserved, not weakened.</x:v>
      </x:c>
      <x:c r="I94"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4" s="104" t="str">
        <x:v>Factory capability acceptance and process evidence, or controlled redesign if fill/cap is required.</x:v>
      </x:c>
      <x:c r="K94" s="104" t="str">
        <x:v>FR-07</x:v>
      </x:c>
    </x:row>
    <x:row r="95" ht="195" customHeight="1">
      <x:c r="A95" s="104" t="str">
        <x:v>VIA-09</x:v>
      </x:c>
      <x:c r="B95" s="104" t="str">
        <x:v>Stitching, thermal and signal vias</x:v>
      </x:c>
      <x:c r="C95" s="104" t="str">
        <x:v>VERIFIED</x:v>
      </x:c>
      <x:c r="D95" s="104" t="str">
        <x:v>RF has no testpoint stub; exposed low-frequency test branches are deliberate. CAN term/testspurs are included in loading screen.</x:v>
      </x:c>
      <x:c r="E95" s="104" t="str">
        <x:v>YES</x:v>
      </x:c>
      <x:c r="F95" s="104" t="str">
        <x:v>CLOSED</x:v>
      </x:c>
      <x:c r="G95" s="104" t="str">
        <x:v>CLOSED</x:v>
      </x:c>
      <x:c r="H95" s="104" t="str">
        <x:v>Native source/geometry checks, exact-source host tests or bounded models and controlled engineering disposition; specific evidence below. Original required evidence is preserved, not weakened.</x:v>
      </x:c>
      <x:c r="I95"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x:v>
      </x:c>
      <x:c r="J95" s="104" t="str">
        <x:v>Entire criterion addressed within its documentary/native design scope; no unperformed physical pass inferred.</x:v>
      </x:c>
      <x:c r="K95" s="104" t="str"/>
    </x:row>
    <x:row r="96" ht="195" customHeight="1">
      <x:c r="A96" s="104" t="str">
        <x:v>VIA-10</x:v>
      </x:c>
      <x:c r="B96" s="104" t="str">
        <x:v>Stitching, thermal and signal vias</x:v>
      </x:c>
      <x:c r="C96" s="104" t="str">
        <x:v>VERIFIED</x:v>
      </x:c>
      <x:c r="D96" s="104" t="str">
        <x:v>Newvia passes native clearances,paste/drill/probe andkeepout tests; one added stitch improves a measured return opportunity without crowding components.</x:v>
      </x:c>
      <x:c r="E96" s="104" t="str">
        <x:v>PENDING</x:v>
      </x:c>
      <x:c r="F96" s="104" t="str">
        <x:v>OPEN</x:v>
      </x:c>
      <x:c r="G96" s="104" t="str">
        <x:v>OPEN</x:v>
      </x:c>
      <x:c r="H96" s="104" t="str">
        <x:v>Native source/geometry checks, exact-source host tests or bounded models and controlled engineering disposition; specific evidence below. Original required evidence is preserved, not weakened.</x:v>
      </x:c>
      <x:c r="I96"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96" s="104" t="str">
        <x:v>Supplier DFM/fixture acceptance still needed; no proof every general return via is mathematically minimal.</x:v>
      </x:c>
      <x:c r="K96" s="104" t="str">
        <x:v>FR-07</x:v>
      </x:c>
    </x:row>
    <x:row r="97" ht="195" customHeight="1">
      <x:c r="A97" s="104" t="str">
        <x:v>SI-01</x:v>
      </x:c>
      <x:c r="B97" s="104" t="str">
        <x:v>Impedance, signal integrity and routing</x:v>
      </x:c>
      <x:c r="C97" s="104" t="str">
        <x:v>CALCULATED</x:v>
      </x:c>
      <x:c r="D97" s="104" t="str">
        <x:v>Fixed JLC041621-7628 stackup retained; exact dielectric/Cu/Er table and nominal1.6 versus1.636mmtable sum preserved. Controlled-impedance service is not ordered.</x:v>
      </x:c>
      <x:c r="E97" s="104" t="str">
        <x:v>PENDING</x:v>
      </x:c>
      <x:c r="F97" s="104" t="str">
        <x:v>OPEN</x:v>
      </x:c>
      <x:c r="G97" s="104" t="str">
        <x:v>OPEN</x:v>
      </x:c>
      <x:c r="H97" s="104" t="str">
        <x:v>Native source/geometry checks, exact-source host tests or bounded models and controlled engineering disposition; specific evidence below. Original required evidence is preserved, not weakened.</x:v>
      </x:c>
      <x:c r="I97"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97" s="104" t="str">
        <x:v>Supplier construction/etch/Dk tolerance acceptance or justified analysis-only RF acceptance.</x:v>
      </x:c>
      <x:c r="K97" s="104" t="str">
        <x:v>FR-01, FR-04</x:v>
      </x:c>
    </x:row>
    <x:row r="98" ht="249" customHeight="1">
      <x:c r="A98" s="104" t="str">
        <x:v>SI-02</x:v>
      </x:c>
      <x:c r="B98" s="104" t="str">
        <x:v>Impedance, signal integrity and routing</x:v>
      </x:c>
      <x:c r="C98" s="104" t="str">
        <x:v>HOLD</x:v>
      </x:c>
      <x:c r="D98"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98" s="104" t="str">
        <x:v>PENDING</x:v>
      </x:c>
      <x:c r="F98" s="104" t="str">
        <x:v>OPEN</x:v>
      </x:c>
      <x:c r="G98" s="104" t="str">
        <x:v>OPEN</x:v>
      </x:c>
      <x:c r="H98" s="104" t="str">
        <x:v>Native source/geometry checks, exact-source host tests or bounded models and controlled engineering disposition; specific evidence below. Original required evidence is preserved, not weakened.</x:v>
      </x:c>
      <x:c r="I98"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audit/board_vetting_20260908/rf_ground/GEOMETRY_EVIDENCE.json
audit/board_vetting_20260908/rf_ground/GROUND_AND_RF_DISPOSITION.md
audit/erb_20260907/lanes/rf_ground_geometry.json
audit/productization/pcb/gps/RF_GEOMETRY_ESTIMATE.json
audit/online_resolution_rvb21/rf/RF_ECO_REVIEW.md
audit/online_resolution_rvb21/rf/RF_FINAL_SUMMARY.json
audit/online_resolution_rvb21/rf/RF_CANDIDATE_CHECKS.json</x:v>
      </x:c>
      <x:c r="J98" s="104" t="str">
        <x:v>Exact1.6nHpart/newpad source candidate passes bounded20736RFcases but is staged,not canonical. Native KiCad/component/process gates and real stackup/port evidence remain outstanding.</x:v>
      </x:c>
      <x:c r="K98" s="104" t="str">
        <x:v>FR-01, FR-04</x:v>
      </x:c>
    </x:row>
    <x:row r="99" ht="195" customHeight="1">
      <x:c r="A99" s="104" t="str">
        <x:v>SI-03</x:v>
      </x:c>
      <x:c r="B99" s="104" t="str">
        <x:v>Impedance, signal integrity and routing</x:v>
      </x:c>
      <x:c r="C99" s="104" t="str">
        <x:v>CALCULATED</x:v>
      </x:c>
      <x:c r="D99" s="104" t="str">
        <x:v>Short CAN PCBbranch is separate from120ohm twisted harness/endterminations;0.3m tap roundtrip~3.92ns and100pFlumpedrise allocation13.2ns.</x:v>
      </x:c>
      <x:c r="E99" s="104" t="str">
        <x:v>YES</x:v>
      </x:c>
      <x:c r="F99" s="104" t="str">
        <x:v>CLOSED</x:v>
      </x:c>
      <x:c r="G99" s="104" t="str">
        <x:v>CLOSED</x:v>
      </x:c>
      <x:c r="H99" s="104" t="str">
        <x:v>Native source/geometry checks, exact-source host tests or bounded models and controlled engineering disposition; specific evidence below. Original required evidence is preserved, not weakened.</x:v>
      </x:c>
      <x:c r="I99"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99" s="104" t="str">
        <x:v>Entire criterion addressed within its documentary/native design scope; no unperformed physical pass inferred.</x:v>
      </x:c>
      <x:c r="K99" s="104" t="str"/>
    </x:row>
    <x:row r="100" ht="195" customHeight="1">
      <x:c r="A100" s="104" t="str">
        <x:v>SI-04</x:v>
      </x:c>
      <x:c r="B100" s="104" t="str">
        <x:v>Impedance, signal integrity and routing</x:v>
      </x:c>
      <x:c r="C100" s="104" t="str">
        <x:v>CALCULATED</x:v>
      </x:c>
      <x:c r="D100" s="104" t="str">
        <x:v>ActualCANH/Lskew~0.0032ns; RXD112.703mmpath pluspackage allocation&lt;1nsflight modeled by edge rate.500kbit/s alone is not the SI basis.</x:v>
      </x:c>
      <x:c r="E100" s="104" t="str">
        <x:v>YES</x:v>
      </x:c>
      <x:c r="F100" s="104" t="str">
        <x:v>CLOSED</x:v>
      </x:c>
      <x:c r="G100" s="104" t="str">
        <x:v>CLOSED</x:v>
      </x:c>
      <x:c r="H100" s="104" t="str">
        <x:v>Native source/geometry checks, exact-source host tests or bounded models and controlled engineering disposition; specific evidence below. Original required evidence is preserved, not weakened.</x:v>
      </x:c>
      <x:c r="I100"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0" s="104" t="str">
        <x:v>Entire criterion addressed within its documentary/native design scope; no unperformed physical pass inferred.</x:v>
      </x:c>
      <x:c r="K100" s="104" t="str"/>
    </x:row>
    <x:row r="101" ht="315" customHeight="1">
      <x:c r="A101" s="104" t="str">
        <x:v>SI-05</x:v>
      </x:c>
      <x:c r="B101" s="104" t="str">
        <x:v>Impedance, signal integrity and routing</x:v>
      </x:c>
      <x:c r="C101" s="104" t="str">
        <x:v>CALCULATED</x:v>
      </x:c>
      <x:c r="D101" s="104" t="str">
        <x:v>55 exact route paths indexed. CAN RX path112.703mm/3vias retains canonical220ohm damping and54-case conditional line model. R402/R403 have17.036/20.979mm pre-resistor routes with2vias, then2.558/2.748mm to MCU; these are receiver-side resistors. UART protection/damping ECO has separate candidate authority. R402/R403/R404220ohm now exist in combined candidate d0b78f5d with worst allocated99.326% settling137.767ns and16.781mA sustained short limit. Final combined candidate d0b78f5d uses R3021kohm with unchanged geometry:108 conditional line cases (54edge+54maximum-R logic) pass; worst bus-to-valid logic235.406338ns versus500ns allocation. Canonical220ohm/54-case evidence remains current canonical and historical only.</x:v>
      </x:c>
      <x:c r="E101" s="104" t="str">
        <x:v>YES</x:v>
      </x:c>
      <x:c r="F101" s="104" t="str">
        <x:v>OPEN</x:v>
      </x:c>
      <x:c r="G101" s="104" t="str">
        <x:v>OPEN</x:v>
      </x:c>
      <x:c r="H101" s="104" t="str">
        <x:v>Source inspection, implemented candidate and/or bounded model; see lane-specific method and limitations.</x:v>
      </x:c>
      <x:c r="I101"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audit/online_resolution_rvb21/return_paths/RETURN_ACCEPTANCE_THRESHOLDS.json
audit/online_resolution_rvb21/derating/UART_RESISTOR_ECO_ANALYSIS.json
audit/online_resolution_rvb21/reset/COMBINED_INTEGRATION.json
audit/online_resolution_rvb21/derating/can_rx/R302_ANALYSIS.json
audit/online_resolution_rvb21/derating/can_rx/R302_CANDIDATE_SOURCE_CHECKS.json
audit/online_resolution_rvb21/return_paths/d501_flowthrough/COMBINED_SOURCE_BINDING.json
audit/online_resolution_rvb21/return_paths/ROW_UPDATES.json</x:v>
      </x:c>
      <x:c r="J101" s="104" t="str">
        <x:v>Native combined-candidate refill/DRC/source adoption and physical edge/PPS/UART acceptance against actual load/package data; geometry review and220ohm correction analysis complete.</x:v>
      </x:c>
      <x:c r="K101" s="104" t="str">
        <x:v>FR-01, FR-04</x:v>
      </x:c>
    </x:row>
    <x:row r="102" ht="195" customHeight="1">
      <x:c r="A102" s="104" t="str">
        <x:v>SI-06</x:v>
      </x:c>
      <x:c r="B102" s="104" t="str">
        <x:v>Impedance, signal integrity and routing</x:v>
      </x:c>
      <x:c r="C102" s="104" t="str">
        <x:v>CALCULATED</x:v>
      </x:c>
      <x:c r="D102" s="104" t="str">
        <x:v>RFacute approach corrected. Ordinary analog90degree bends are not a demonstrated defect at~5Hzbandwidth; clearances,returns andacquisition dominate.</x:v>
      </x:c>
      <x:c r="E102" s="104" t="str">
        <x:v>YES</x:v>
      </x:c>
      <x:c r="F102" s="104" t="str">
        <x:v>CLOSED</x:v>
      </x:c>
      <x:c r="G102" s="104" t="str">
        <x:v>CLOSED</x:v>
      </x:c>
      <x:c r="H102" s="104" t="str">
        <x:v>Native source/geometry checks, exact-source host tests or bounded models and controlled engineering disposition; specific evidence below. Original required evidence is preserved, not weakened.</x:v>
      </x:c>
      <x:c r="I102"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2" s="104" t="str">
        <x:v>Entire criterion addressed within its documentary/native design scope; no unperformed physical pass inferred.</x:v>
      </x:c>
      <x:c r="K102" s="104" t="str"/>
    </x:row>
    <x:row r="103" ht="195" customHeight="1">
      <x:c r="A103" s="104" t="str">
        <x:v>SI-07</x:v>
      </x:c>
      <x:c r="B103" s="104" t="str">
        <x:v>Impedance, signal integrity and routing</x:v>
      </x:c>
      <x:c r="C103" s="104" t="str">
        <x:v>CALCULATED</x:v>
      </x:c>
      <x:c r="D103" s="104" t="str">
        <x:v>R302220ohm eliminates modeledRXDovershoot across54corners; GPS33ohmlinks/receiving-domain buffers remain. Silicon edge minima andscope correlation remain limits.</x:v>
      </x:c>
      <x:c r="E103" s="104" t="str">
        <x:v>YES</x:v>
      </x:c>
      <x:c r="F103" s="104" t="str">
        <x:v>OPEN</x:v>
      </x:c>
      <x:c r="G103" s="104" t="str">
        <x:v>OPEN</x:v>
      </x:c>
      <x:c r="H103" s="104" t="str">
        <x:v>Native source/geometry checks, exact-source host tests or bounded models and controlled engineering disposition; specific evidence below. Original required evidence is preserved, not weakened.</x:v>
      </x:c>
      <x:c r="I103"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103" s="104" t="str">
        <x:v>Scope actual buffer input/output and receiver thresholds/ringing across rail states; exact selected LVC input edge limit must be met.</x:v>
      </x:c>
      <x:c r="K103" s="104" t="str">
        <x:v>FR-01, FR-04</x:v>
      </x:c>
    </x:row>
    <x:row r="104" ht="195" customHeight="1">
      <x:c r="A104" s="104" t="str">
        <x:v>SI-08</x:v>
      </x:c>
      <x:c r="B104" s="104" t="str">
        <x:v>Impedance, signal integrity and routing</x:v>
      </x:c>
      <x:c r="C104" s="104" t="str">
        <x:v>CALCULATED</x:v>
      </x:c>
      <x:c r="D104" s="104" t="str">
        <x:v>ADC is amplifier-driven220ohm/22nF withpost-resistorDCfeedback/localACcompensation; sample-and-hold acquisition remains a separate conditional model/test.</x:v>
      </x:c>
      <x:c r="E104" s="104" t="str">
        <x:v>YES</x:v>
      </x:c>
      <x:c r="F104" s="104" t="str">
        <x:v>CLOSED</x:v>
      </x:c>
      <x:c r="G104" s="104" t="str">
        <x:v>CLOSED</x:v>
      </x:c>
      <x:c r="H104" s="104" t="str">
        <x:v>Native source/geometry checks, exact-source host tests or bounded models and controlled engineering disposition; specific evidence below. Original required evidence is preserved, not weakened.</x:v>
      </x:c>
      <x:c r="I104"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4" s="104" t="str">
        <x:v>Entire criterion addressed within its documentary/native design scope; no unperformed physical pass inferred.</x:v>
      </x:c>
      <x:c r="K104" s="104" t="str"/>
    </x:row>
    <x:row r="105" ht="195" customHeight="1">
      <x:c r="A105" s="104" t="str">
        <x:v>SI-09</x:v>
      </x:c>
      <x:c r="B105" s="104" t="str">
        <x:v>Impedance, signal integrity and routing</x:v>
      </x:c>
      <x:c r="C105" s="104" t="str">
        <x:v>VERIFIED</x:v>
      </x:c>
      <x:c r="D105" s="104" t="str">
        <x:v>NoUSBdata interface is populated; UART0Tag-Connect remains the programming interface.</x:v>
      </x:c>
      <x:c r="E105" s="104" t="str">
        <x:v>YES</x:v>
      </x:c>
      <x:c r="F105" s="104" t="str">
        <x:v>N/A</x:v>
      </x:c>
      <x:c r="G105" s="104" t="str">
        <x:v>N/A</x:v>
      </x:c>
      <x:c r="H105" s="104" t="str">
        <x:v>Native source/geometry checks, exact-source host tests or bounded models and controlled engineering disposition; specific evidence below. Original required evidence is preserved, not weakened.</x:v>
      </x:c>
      <x:c r="I105"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5" s="104" t="str">
        <x:v>Entire criterion addressed within its documentary/native design scope; no unperformed physical pass inferred.</x:v>
      </x:c>
      <x:c r="K105" s="104" t="str"/>
    </x:row>
    <x:row r="106" ht="195" customHeight="1">
      <x:c r="A106" s="104" t="str">
        <x:v>SI-10</x:v>
      </x:c>
      <x:c r="B106" s="104" t="str">
        <x:v>Impedance, signal integrity and routing</x:v>
      </x:c>
      <x:c r="C106" s="104" t="str">
        <x:v>VERIFIED</x:v>
      </x:c>
      <x:c r="D106" s="104" t="str">
        <x:v>NoexternalSPI/CANcontroller bus exists; S3nativeTWAI handlesClassicalCAN. NoSPI timing claim is required.</x:v>
      </x:c>
      <x:c r="E106" s="104" t="str">
        <x:v>YES</x:v>
      </x:c>
      <x:c r="F106" s="104" t="str">
        <x:v>N/A</x:v>
      </x:c>
      <x:c r="G106" s="104" t="str">
        <x:v>N/A</x:v>
      </x:c>
      <x:c r="H106" s="104" t="str">
        <x:v>Native source/geometry checks, exact-source host tests or bounded models and controlled engineering disposition; specific evidence below. Original required evidence is preserved, not weakened.</x:v>
      </x:c>
      <x:c r="I106"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106" s="104" t="str">
        <x:v>Entire criterion addressed within its documentary/native design scope; no unperformed physical pass inferred.</x:v>
      </x:c>
      <x:c r="K106" s="104" t="str"/>
    </x:row>
    <x:row r="107" ht="195" customHeight="1">
      <x:c r="A107" s="104" t="str">
        <x:v>SI-11</x:v>
      </x:c>
      <x:c r="B107" s="104" t="str">
        <x:v>Impedance, signal integrity and routing</x:v>
      </x:c>
      <x:c r="C107" s="104" t="str">
        <x:v>VERIFIED</x:v>
      </x:c>
      <x:c r="D107" s="104" t="str">
        <x:v>The required coupling review is source-specific: both switch copper areas and distances to analog/RF nets, actual broadside overlaps, finite ground and ADC aliasing are recorded. The new paired aggressor test plan supplies metrics, stimulus, numerical targets and invalid-trial handling. Original evidence requests a functional test PLAN, not completed measurements.</x:v>
      </x:c>
      <x:c r="E107" s="104" t="str">
        <x:v>YES</x:v>
      </x:c>
      <x:c r="F107" s="104" t="str">
        <x:v>OPEN</x:v>
      </x:c>
      <x:c r="G107" s="104" t="str">
        <x:v>CLOSED</x:v>
      </x:c>
      <x:c r="H107" s="104" t="str">
        <x:v>native inspection, bounded model review and documented test-plan definition</x:v>
      </x:c>
      <x:c r="I107"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audit/online_resolution_rvb21/closure/ACCEPTANCE_CLARIFICATIONS.md
audit/board_vetting_20260908/layout_mfg/DIRECT_BOARD_REVIEW.md</x:v>
      </x:c>
      <x:c r="J107" s="104" t="str">
        <x:v>Execute aggressor measurements under ADC-12, GPS-13, EMC-07, BLE-03 and VNV-08. No measured desense/noise pass is inferred.</x:v>
      </x:c>
      <x:c r="K107" s="104" t="str"/>
    </x:row>
    <x:row r="108" ht="238" customHeight="1">
      <x:c r="A108" s="104" t="str">
        <x:v>SI-12</x:v>
      </x:c>
      <x:c r="B108" s="104" t="str">
        <x:v>Impedance, signal integrity and routing</x:v>
      </x:c>
      <x:c r="C108" s="104" t="str">
        <x:v>HOLD</x:v>
      </x:c>
      <x:c r="D108"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108" s="104" t="str">
        <x:v>PENDING</x:v>
      </x:c>
      <x:c r="F108" s="104" t="str">
        <x:v>OPEN</x:v>
      </x:c>
      <x:c r="G108" s="104" t="str">
        <x:v>OPEN</x:v>
      </x:c>
      <x:c r="H108" s="104" t="str">
        <x:v>Native source/geometry checks, exact-source host tests or bounded models and controlled engineering disposition; specific evidence below. Original required evidence is preserved, not weakened.</x:v>
      </x:c>
      <x:c r="I108" s="162" t="str">
        <x:v>audit/online_closure_20260908/simulations/rf/RESULTS.json
audit/online_closure_20260908/rf_ground/GEOMETRY_EVIDENCE.json
audit/online_closure_20260908/pcb/ADOPTED_CHANGE_RECORD.json
audit/online_closure_20260908/simulations/can_si_220ohm/RESULTS.json
audit/online_closure_20260908/can_eco/R302_QUALIFICATION.md
audit/online_closure_20260908/firmware/ACTUAL_SOURCE_TEST_RESULTS.json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audit/productization/pcb/gps/RF_GEOMETRY_ESTIMATE.json
audit/board_vetting_20260908/rf_ground/GROUND_AND_RF_DISPOSITION.md
audit/erb_20260907/lanes/rf_ground_geometry.json
audit/online_resolution_rvb21/rf/RF_ECO_REVIEW.md
audit/online_resolution_rvb21/rf/RF_FINAL_SUMMARY.json
audit/online_resolution_rvb21/rf/RF_CANDIDATE_CHECKS.json</x:v>
      </x:c>
      <x:c r="J108" s="104" t="str">
        <x:v>Passing stagedRFmodel does not approve fabricated impedance; native candidate promotion plus actual stackup/port evidence or justified supplier analysis acceptance remains outstanding.</x:v>
      </x:c>
      <x:c r="K108" s="104" t="str">
        <x:v>FR-01, FR-04</x:v>
      </x:c>
    </x:row>
    <x:row r="109" ht="195" customHeight="1">
      <x:c r="A109" s="104" t="str">
        <x:v>CAN-01</x:v>
      </x:c>
      <x:c r="B109" s="104" t="str">
        <x:v>CAN physical layer and non-interference</x:v>
      </x:c>
      <x:c r="C109" s="104" t="str">
        <x:v>CALCULATED</x:v>
      </x:c>
      <x:c r="D109" s="104" t="str">
        <x:v>Exact TCAN3403DRBRQ1 pin5VIO/pin6CANL/pin7CANH/pin8STB/EP9GND remains independently mapped; selected receiver supply andmode correct.</x:v>
      </x:c>
      <x:c r="E109" s="104" t="str">
        <x:v>YES</x:v>
      </x:c>
      <x:c r="F109" s="104" t="str">
        <x:v>CLOSED</x:v>
      </x:c>
      <x:c r="G109" s="104" t="str">
        <x:v>CLOSED</x:v>
      </x:c>
      <x:c r="H109" s="104" t="str">
        <x:v>Native source/geometry checks, exact-source host tests or bounded models and controlled engineering disposition; specific evidence below. Original required evidence is preserved, not weakened.</x:v>
      </x:c>
      <x:c r="I109"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09" s="104" t="str">
        <x:v>Entire criterion addressed within its documentary/native design scope; no unperformed physical pass inferred.</x:v>
      </x:c>
      <x:c r="K109" s="104" t="str"/>
    </x:row>
    <x:row r="110" ht="195" customHeight="1">
      <x:c r="A110" s="104" t="str">
        <x:v>CAN-02</x:v>
      </x:c>
      <x:c r="B110" s="104" t="str">
        <x:v>CAN physical layer and non-interference</x:v>
      </x:c>
      <x:c r="C110" s="104" t="str">
        <x:v>CALCULATED</x:v>
      </x:c>
      <x:c r="D110" s="104" t="str">
        <x:v>Firmwarelisten-only/zeroTXqueue/noTXELF plusR301DNP support noACK/error/applicationdrive. Actual independentbus observation remains physical.</x:v>
      </x:c>
      <x:c r="E110" s="104" t="str">
        <x:v>YES</x:v>
      </x:c>
      <x:c r="F110" s="104" t="str">
        <x:v>OPEN</x:v>
      </x:c>
      <x:c r="G110" s="104" t="str">
        <x:v>OPEN</x:v>
      </x:c>
      <x:c r="H110" s="104" t="str">
        <x:v>Native source/geometry checks, exact-source host tests or bounded models and controlled engineering disposition; specific evidence below. Original required evidence is preserved, not weakened.</x:v>
      </x:c>
      <x:c r="I110"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0" s="104" t="str">
        <x:v>Observe ACK/error/dominant traffic during power/reset/programming and malformed firmware states.</x:v>
      </x:c>
      <x:c r="K110" s="104" t="str">
        <x:v>FR-04</x:v>
      </x:c>
    </x:row>
    <x:row r="111" ht="195" customHeight="1">
      <x:c r="A111" s="104" t="str">
        <x:v>CAN-03</x:v>
      </x:c>
      <x:c r="B111" s="104" t="str">
        <x:v>CAN physical layer and non-interference</x:v>
      </x:c>
      <x:c r="C111" s="104" t="str">
        <x:v>CALCULATED</x:v>
      </x:c>
      <x:c r="D111" s="104" t="str">
        <x:v>HardwareTXinhibition is retained beforeboot/duringcrash; it doesnot prevent a transceiver/ESD/buspin short from disturbingCAN.</x:v>
      </x:c>
      <x:c r="E111" s="104" t="str">
        <x:v>PENDING</x:v>
      </x:c>
      <x:c r="F111" s="104" t="str">
        <x:v>OPEN</x:v>
      </x:c>
      <x:c r="G111" s="104" t="str">
        <x:v>OPEN</x:v>
      </x:c>
      <x:c r="H111" s="104" t="str">
        <x:v>Native source/geometry checks, exact-source host tests or bounded models and controlled engineering disposition; specific evidence below. Original required evidence is preserved, not weakened.</x:v>
      </x:c>
      <x:c r="I111"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1" s="104" t="str">
        <x:v>Freeze credible fault allocation and independently test assembly/protection/transceiver failures.</x:v>
      </x:c>
      <x:c r="K111" s="104" t="str">
        <x:v>FR-04</x:v>
      </x:c>
    </x:row>
    <x:row r="112" ht="195" customHeight="1">
      <x:c r="A112" s="104" t="str">
        <x:v>CAN-04</x:v>
      </x:c>
      <x:c r="B112" s="104" t="str">
        <x:v>CAN physical layer and non-interference</x:v>
      </x:c>
      <x:c r="C112" s="104" t="str">
        <x:v>CALCULATED</x:v>
      </x:c>
      <x:c r="D112" s="104" t="str">
        <x:v>TCAN normal receiving mode fixed whileTXDheldrecessive; standby is not substituted for a500kbit/sactive receiver.</x:v>
      </x:c>
      <x:c r="E112" s="104" t="str">
        <x:v>YES</x:v>
      </x:c>
      <x:c r="F112" s="104" t="str">
        <x:v>CLOSED</x:v>
      </x:c>
      <x:c r="G112" s="104" t="str">
        <x:v>CLOSED</x:v>
      </x:c>
      <x:c r="H112" s="104" t="str">
        <x:v>Native source/geometry checks, exact-source host tests or bounded models and controlled engineering disposition; specific evidence below. Original required evidence is preserved, not weakened.</x:v>
      </x:c>
      <x:c r="I112"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2" s="104" t="str">
        <x:v>Entire criterion addressed within its documentary/native design scope; no unperformed physical pass inferred.</x:v>
      </x:c>
      <x:c r="K112" s="104" t="str"/>
    </x:row>
    <x:row r="113" ht="195" customHeight="1">
      <x:c r="A113" s="104" t="str">
        <x:v>CAN-05</x:v>
      </x:c>
      <x:c r="B113" s="104" t="str">
        <x:v>CAN physical layer and non-interference</x:v>
      </x:c>
      <x:c r="C113" s="104" t="str">
        <x:v>CALCULATED</x:v>
      </x:c>
      <x:c r="D113" s="104" t="str">
        <x:v>R306DNP andSJ301open are in source,variant andmanufacturingparity; no permanent120ohmvehicle termination.</x:v>
      </x:c>
      <x:c r="E113" s="104" t="str">
        <x:v>YES</x:v>
      </x:c>
      <x:c r="F113" s="104" t="str">
        <x:v>OPEN</x:v>
      </x:c>
      <x:c r="G113" s="104" t="str">
        <x:v>OPEN</x:v>
      </x:c>
      <x:c r="H113" s="104" t="str">
        <x:v>Native source/geometry checks, exact-source host tests or bounded models and controlled engineering disposition; specific evidence below. Original required evidence is preserved, not weakened.</x:v>
      </x:c>
      <x:c r="I113"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3" s="104" t="str">
        <x:v>Measure assembled unpowered CANH-CANL resistance and inspect both DNP/open positions.</x:v>
      </x:c>
      <x:c r="K113" s="104" t="str">
        <x:v>FR-04</x:v>
      </x:c>
    </x:row>
    <x:row r="114" ht="195" customHeight="1">
      <x:c r="A114" s="104" t="str">
        <x:v>CAN-06</x:v>
      </x:c>
      <x:c r="B114" s="104" t="str">
        <x:v>CAN physical layer and non-interference</x:v>
      </x:c>
      <x:c r="C114" s="104" t="str">
        <x:v>CALCULATED</x:v>
      </x:c>
      <x:c r="D114" s="104" t="str">
        <x:v>Actual11.868/11.412mmH/Lroutes,tap≤0.30m,100pFloading allocation and3.92nsroundtrip screen quantify branch impact; unknown vehicle waveform still needs measurement.</x:v>
      </x:c>
      <x:c r="E114" s="104" t="str">
        <x:v>PENDING</x:v>
      </x:c>
      <x:c r="F114" s="104" t="str">
        <x:v>OPEN</x:v>
      </x:c>
      <x:c r="G114" s="104" t="str">
        <x:v>OPEN</x:v>
      </x:c>
      <x:c r="H114" s="104" t="str">
        <x:v>Native source/geometry checks, exact-source host tests or bounded models and controlled engineering disposition; specific evidence below. Original required evidence is preserved, not weakened.</x:v>
      </x:c>
      <x:c r="I114"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4" s="104" t="str">
        <x:v>Final harness length/topology plus worst-load waveform/loading evidence; no failure inferred from short termination spur alone.</x:v>
      </x:c>
      <x:c r="K114" s="104" t="str">
        <x:v>FR-04</x:v>
      </x:c>
    </x:row>
    <x:row r="115" ht="195" customHeight="1">
      <x:c r="A115" s="104" t="str">
        <x:v>CAN-07</x:v>
      </x:c>
      <x:c r="B115" s="104" t="str">
        <x:v>CAN physical layer and non-interference</x:v>
      </x:c>
      <x:c r="C115" s="104" t="str">
        <x:v>CALCULATED</x:v>
      </x:c>
      <x:c r="D115" s="104" t="str">
        <x:v>Manufacturer unpowered leakage/passive-loading provisions inspected; exact powered-bus/unpoweredboard current/commonmode waveform not emulated.</x:v>
      </x:c>
      <x:c r="E115" s="104" t="str">
        <x:v>YES</x:v>
      </x:c>
      <x:c r="F115" s="104" t="str">
        <x:v>OPEN</x:v>
      </x:c>
      <x:c r="G115" s="104" t="str">
        <x:v>OPEN</x:v>
      </x:c>
      <x:c r="H115" s="104" t="str">
        <x:v>Native source/geometry checks, exact-source host tests or bounded models and controlled engineering disposition; specific evidence below. Original required evidence is preserved, not weakened.</x:v>
      </x:c>
      <x:c r="I115"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5" s="104" t="str">
        <x:v>Measure powered/unpowered differential/common-mode loading and ground-offset behavior.</x:v>
      </x:c>
      <x:c r="K115" s="104" t="str">
        <x:v>FR-04</x:v>
      </x:c>
    </x:row>
    <x:row r="116" ht="195" customHeight="1">
      <x:c r="A116" s="104" t="str">
        <x:v>CAN-08</x:v>
      </x:c>
      <x:c r="B116" s="104" t="str">
        <x:v>CAN physical layer and non-interference</x:v>
      </x:c>
      <x:c r="C116" s="104" t="str">
        <x:v>CALCULATED</x:v>
      </x:c>
      <x:c r="D116" s="104" t="str">
        <x:v>TCAN/ESDbattery/groundshort ratings remain source-evidence limits; busH-Lshort inherentlydisturbsnetwork. No universalvehicle harmlessness inferred.</x:v>
      </x:c>
      <x:c r="E116" s="104" t="str">
        <x:v>PENDING</x:v>
      </x:c>
      <x:c r="F116" s="104" t="str">
        <x:v>OPEN</x:v>
      </x:c>
      <x:c r="G116" s="104" t="str">
        <x:v>OPEN</x:v>
      </x:c>
      <x:c r="H116" s="104" t="str">
        <x:v>Native source/geometry checks, exact-source host tests or bounded models and controlled engineering disposition; specific evidence below. Original required evidence is preserved, not weakened.</x:v>
      </x:c>
      <x:c r="I116"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6" s="104" t="str">
        <x:v>Agreed fault amplitudes/source impedance/durations and controlled short-to-battery/ground/pair tests.</x:v>
      </x:c>
      <x:c r="K116" s="104" t="str">
        <x:v>FR-04</x:v>
      </x:c>
    </x:row>
    <x:row r="117" ht="195" customHeight="1">
      <x:c r="A117" s="104" t="str">
        <x:v>CAN-09</x:v>
      </x:c>
      <x:c r="B117" s="104" t="str">
        <x:v>CAN physical layer and non-interference</x:v>
      </x:c>
      <x:c r="C117" s="104" t="str">
        <x:v>VERIFIED</x:v>
      </x:c>
      <x:c r="D117" s="104" t="str">
        <x:v>NoCANcommonmodechoke fitted; avoid unjustified choke parasitics while retaining entryESD. EMCneed may require later validated change.</x:v>
      </x:c>
      <x:c r="E117" s="104" t="str">
        <x:v>YES</x:v>
      </x:c>
      <x:c r="F117" s="104" t="str">
        <x:v>N/A</x:v>
      </x:c>
      <x:c r="G117" s="104" t="str">
        <x:v>N/A</x:v>
      </x:c>
      <x:c r="H117" s="104" t="str">
        <x:v>Native source/geometry checks, exact-source host tests or bounded models and controlled engineering disposition; specific evidence below. Original required evidence is preserved, not weakened.</x:v>
      </x:c>
      <x:c r="I117"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7" s="104" t="str">
        <x:v>Entire criterion addressed within its documentary/native design scope; no unperformed physical pass inferred.</x:v>
      </x:c>
      <x:c r="K117" s="104" t="str"/>
    </x:row>
    <x:row r="118" ht="195" customHeight="1">
      <x:c r="A118" s="104" t="str">
        <x:v>CAN-10</x:v>
      </x:c>
      <x:c r="B118" s="104" t="str">
        <x:v>CAN physical layer and non-interference</x:v>
      </x:c>
      <x:c r="C118" s="104" t="str">
        <x:v>CALCULATED</x:v>
      </x:c>
      <x:c r="D118" s="104" t="str">
        <x:v>TXDpull-up/R301open/STBlow/VIOmainrail andmanufacturer dominant-timeout behavior documented; physicalfault captures remain required.</x:v>
      </x:c>
      <x:c r="E118" s="104" t="str">
        <x:v>YES</x:v>
      </x:c>
      <x:c r="F118" s="104" t="str">
        <x:v>OPEN</x:v>
      </x:c>
      <x:c r="G118" s="104" t="str">
        <x:v>OPEN</x:v>
      </x:c>
      <x:c r="H118" s="104" t="str">
        <x:v>Native source/geometry checks, exact-source host tests or bounded models and controlled engineering disposition; specific evidence below. Original required evidence is preserved, not weakened.</x:v>
      </x:c>
      <x:c r="I118"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18" s="104" t="str">
        <x:v>Scope supply/TXD/RXD/CAN pair during all power/program/reset states.</x:v>
      </x:c>
      <x:c r="K118" s="104" t="str">
        <x:v>FR-04</x:v>
      </x:c>
    </x:row>
    <x:row r="119" ht="195" customHeight="1">
      <x:c r="A119" s="104" t="str">
        <x:v>CAN-11</x:v>
      </x:c>
      <x:c r="B119" s="104" t="str">
        <x:v>CAN physical layer and non-interference</x:v>
      </x:c>
      <x:c r="C119" s="104" t="str">
        <x:v>CALCULATED</x:v>
      </x:c>
      <x:c r="D119" s="104" t="str">
        <x:v>Benchrequires source+separateACK-capable node+passiveCCA. CCA never enablesACKto make the test appear successful.</x:v>
      </x:c>
      <x:c r="E119" s="104" t="str">
        <x:v>YES</x:v>
      </x:c>
      <x:c r="F119" s="104" t="str">
        <x:v>CLOSED</x:v>
      </x:c>
      <x:c r="G119" s="104" t="str">
        <x:v>CLOSED</x:v>
      </x:c>
      <x:c r="H119" s="104" t="str">
        <x:v>Native source/geometry checks, exact-source host tests or bounded models and controlled engineering disposition; specific evidence below. Original required evidence is preserved, not weakened.</x:v>
      </x:c>
      <x:c r="I119"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19" s="104" t="str">
        <x:v>Entire criterion addressed within its documentary/native design scope; no unperformed physical pass inferred.</x:v>
      </x:c>
      <x:c r="K119" s="104" t="str"/>
    </x:row>
    <x:row r="120" ht="260" customHeight="1">
      <x:c r="A120" s="104" t="str">
        <x:v>CAN-12</x:v>
      </x:c>
      <x:c r="B120" s="104" t="str">
        <x:v>CAN physical layer and non-interference</x:v>
      </x:c>
      <x:c r="C120" s="104" t="str">
        <x:v>HOLD</x:v>
      </x:c>
      <x:c r="D120"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120" s="104" t="str">
        <x:v>PENDING</x:v>
      </x:c>
      <x:c r="F120" s="104" t="str">
        <x:v>OPEN</x:v>
      </x:c>
      <x:c r="G120" s="104" t="str">
        <x:v>OPEN</x:v>
      </x:c>
      <x:c r="H120" s="104" t="str">
        <x:v>Native source/geometry checks, exact-source host tests or bounded models and controlled engineering disposition; specific evidence below. Original required evidence is preserved, not weakened.</x:v>
      </x:c>
      <x:c r="I120"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audit/online_resolution_rvb21/firmware/LOSS_OBSERVABILITY_RESULTS.json
audit/online_resolution_rvb21/firmware/FIRMWARE_VERIFICATION.md
audit/online_resolution_rvb21/firmware/CANDIDATE_SOURCE_CHECKS.json</x:v>
      </x:c>
      <x:c r="J120" s="104" t="str">
        <x:v>Baseline2.1.2 loss-accounting defect reproduced;2.1.3isolated source fixes restart/FIFO/queue behavior and passes host tests. Compile/adopt exact candidate and independently sequence-count sustained/burst target traffic.</x:v>
      </x:c>
      <x:c r="K120" s="104" t="str">
        <x:v>FR-04</x:v>
      </x:c>
    </x:row>
    <x:row r="121" ht="195" customHeight="1">
      <x:c r="A121" s="104" t="str">
        <x:v>CAN-13</x:v>
      </x:c>
      <x:c r="B121" s="104" t="str">
        <x:v>CAN physical layer and non-interference</x:v>
      </x:c>
      <x:c r="C121" s="104" t="str">
        <x:v>CALCULATED</x:v>
      </x:c>
      <x:c r="D121" s="104" t="str">
        <x:v>Transport and bytecodec vectors are tested; actual vehiclePIDmeaning/modelyear/sensor provenance are not proved by successful rawforwarding.</x:v>
      </x:c>
      <x:c r="E121" s="104" t="str">
        <x:v>PENDING</x:v>
      </x:c>
      <x:c r="F121" s="104" t="str">
        <x:v>OPEN</x:v>
      </x:c>
      <x:c r="G121" s="104" t="str">
        <x:v>OPEN</x:v>
      </x:c>
      <x:c r="H121" s="104" t="str">
        <x:v>Native source/geometry checks, exact-source host tests or bounded models and controlled engineering disposition; specific evidence below. Original required evidence is preserved, not weakened.</x:v>
      </x:c>
      <x:c r="I121"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121" s="104" t="str">
        <x:v>Golden vehicle/injected payload vectors,scaling,endianness,sign and virtual-ID collision disposition.</x:v>
      </x:c>
      <x:c r="K121" s="104" t="str">
        <x:v>FR-04</x:v>
      </x:c>
    </x:row>
    <x:row r="122" ht="195" customHeight="1">
      <x:c r="A122" s="104" t="str">
        <x:v>CAN-14</x:v>
      </x:c>
      <x:c r="B122" s="104" t="str">
        <x:v>CAN physical layer and non-interference</x:v>
      </x:c>
      <x:c r="C122" s="104" t="str">
        <x:v>CALCULATED</x:v>
      </x:c>
      <x:c r="D122" s="104" t="str">
        <x:v>CANFDnot supported byselectedS3TWAI/software; FD-capabletransceiver doesnot conferFDcontroller functionality.</x:v>
      </x:c>
      <x:c r="E122" s="104" t="str">
        <x:v>YES</x:v>
      </x:c>
      <x:c r="F122" s="104" t="str">
        <x:v>CLOSED</x:v>
      </x:c>
      <x:c r="G122" s="104" t="str">
        <x:v>CLOSED</x:v>
      </x:c>
      <x:c r="H122" s="104" t="str">
        <x:v>Native source/geometry checks, exact-source host tests or bounded models and controlled engineering disposition; specific evidence below. Original required evidence is preserved, not weakened.</x:v>
      </x:c>
      <x:c r="I122" s="162" t="str">
        <x:v>audit/online_closure_20260908/simulations/can_si_220ohm/RESULTS.json
audit/online_closure_20260908/can_eco/R302_QUALIFICATION.md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122" s="104" t="str">
        <x:v>Entire criterion addressed within its documentary/native design scope; no unperformed physical pass inferred.</x:v>
      </x:c>
      <x:c r="K122" s="104" t="str"/>
    </x:row>
    <x:row r="123" ht="195" customHeight="1">
      <x:c r="A123" s="104" t="str">
        <x:v>ADC-01</x:v>
      </x:c>
      <x:c r="B123" s="104" t="str">
        <x:v>Oil sensor and analog acquisition</x:v>
      </x:c>
      <x:c r="C123" s="104" t="str">
        <x:v>CALCULATED</x:v>
      </x:c>
      <x:c r="D123" s="104" t="str">
        <x:v>Exact MIPAN2XX150PSAAX0–150psi sealed-gage sensor retained;5Vratiometric transfer andconservative1percentFSS interpretation explicit.</x:v>
      </x:c>
      <x:c r="E123" s="104" t="str">
        <x:v>YES</x:v>
      </x:c>
      <x:c r="F123" s="104" t="str">
        <x:v>CLOSED</x:v>
      </x:c>
      <x:c r="G123" s="104" t="str">
        <x:v>CLOSED</x:v>
      </x:c>
      <x:c r="H123" s="104" t="str">
        <x:v>Native source/geometry checks, exact-source host tests or bounded models and controlled engineering disposition; specific evidence below. Original required evidence is preserved, not weakened.</x:v>
      </x:c>
      <x:c r="I123"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3" s="104" t="str">
        <x:v>Entire criterion addressed within its documentary/native design scope; no unperformed physical pass inferred.</x:v>
      </x:c>
      <x:c r="K123" s="104" t="str"/>
    </x:row>
    <x:row r="124" ht="195" customHeight="1">
      <x:c r="A124" s="104" t="str">
        <x:v>ADC-02</x:v>
      </x:c>
      <x:c r="B124" s="104" t="str">
        <x:v>Oil sensor and analog acquisition</x:v>
      </x:c>
      <x:c r="C124" s="104" t="str">
        <x:v>CALCULATED</x:v>
      </x:c>
      <x:c r="D124" s="104" t="str">
        <x:v>Actualhardware0.5004880381gain andschema4dualchannelcalibration feedP=187.5(Vsig/Vexc−0.1); nooriginalRevAdivider constantsused.</x:v>
      </x:c>
      <x:c r="E124" s="104" t="str">
        <x:v>YES</x:v>
      </x:c>
      <x:c r="F124" s="104" t="str">
        <x:v>CLOSED</x:v>
      </x:c>
      <x:c r="G124" s="104" t="str">
        <x:v>CLOSED</x:v>
      </x:c>
      <x:c r="H124" s="104" t="str">
        <x:v>Native source/geometry checks, exact-source host tests or bounded models and controlled engineering disposition; specific evidence below. Original required evidence is preserved, not weakened.</x:v>
      </x:c>
      <x:c r="I124"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4" s="104" t="str">
        <x:v>Entire criterion addressed within its documentary/native design scope; no unperformed physical pass inferred.</x:v>
      </x:c>
      <x:c r="K124" s="104" t="str"/>
    </x:row>
    <x:row r="125" ht="195" customHeight="1">
      <x:c r="A125" s="104" t="str">
        <x:v>ADC-03</x:v>
      </x:c>
      <x:c r="B125" s="104" t="str">
        <x:v>Oil sensor and analog acquisition</x:v>
      </x:c>
      <x:c r="C125" s="104" t="str">
        <x:v>CALCULATED</x:v>
      </x:c>
      <x:c r="D125" s="104" t="str">
        <x:v>ExcitationADC≤2.65513V andfullscale+sensorerror signal≤2.41086V beforeallocatedsmallresidual; within3.1VusableADCcontract.</x:v>
      </x:c>
      <x:c r="E125" s="104" t="str">
        <x:v>YES</x:v>
      </x:c>
      <x:c r="F125" s="104" t="str">
        <x:v>CLOSED</x:v>
      </x:c>
      <x:c r="G125" s="104" t="str">
        <x:v>CLOSED</x:v>
      </x:c>
      <x:c r="H125" s="104" t="str">
        <x:v>Native source/geometry checks, exact-source host tests or bounded models and controlled engineering disposition; specific evidence below. Original required evidence is preserved, not weakened.</x:v>
      </x:c>
      <x:c r="I125"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5" s="104" t="str">
        <x:v>Entire criterion addressed within its documentary/native design scope; no unperformed physical pass inferred.</x:v>
      </x:c>
      <x:c r="K125" s="104" t="str"/>
    </x:row>
    <x:row r="126" ht="195" customHeight="1">
      <x:c r="A126" s="104" t="str">
        <x:v>ADC-04</x:v>
      </x:c>
      <x:c r="B126" s="104" t="str">
        <x:v>Oil sensor and analog acquisition</x:v>
      </x:c>
      <x:c r="C126" s="104" t="str">
        <x:v>CALCULATED</x:v>
      </x:c>
      <x:c r="D126" s="104" t="str">
        <x:v>GPIO2independently measuresconnector-sideexcitation;R507dropcompensated. Remoteexcitation/groundwiredrop separately budgeted.</x:v>
      </x:c>
      <x:c r="E126" s="104" t="str">
        <x:v>YES</x:v>
      </x:c>
      <x:c r="F126" s="104" t="str">
        <x:v>CLOSED</x:v>
      </x:c>
      <x:c r="G126" s="104" t="str">
        <x:v>CLOSED</x:v>
      </x:c>
      <x:c r="H126" s="104" t="str">
        <x:v>Native source/geometry checks, exact-source host tests or bounded models and controlled engineering disposition; specific evidence below. Original required evidence is preserved, not weakened.</x:v>
      </x:c>
      <x:c r="I126"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6" s="104" t="str">
        <x:v>Entire criterion addressed within its documentary/native design scope; no unperformed physical pass inferred.</x:v>
      </x:c>
      <x:c r="K126" s="104" t="str"/>
    </x:row>
    <x:row r="127" ht="195" customHeight="1">
      <x:c r="A127" s="104" t="str">
        <x:v>ADC-05</x:v>
      </x:c>
      <x:c r="B127" s="104" t="str">
        <x:v>Oil sensor and analog acquisition</x:v>
      </x:c>
      <x:c r="C127" s="104" t="str">
        <x:v>CALCULATED</x:v>
      </x:c>
      <x:c r="D127" s="104" t="str">
        <x:v>AmplifierdrivesADCthrough220ohm/22nF;discard/40us/median firmware remains. ActualSARtrackinterval notdefined bysoftwaredelayalone.</x:v>
      </x:c>
      <x:c r="E127" s="104" t="str">
        <x:v>YES</x:v>
      </x:c>
      <x:c r="F127" s="104" t="str">
        <x:v>OPEN</x:v>
      </x:c>
      <x:c r="G127" s="104" t="str">
        <x:v>OPEN</x:v>
      </x:c>
      <x:c r="H127" s="104" t="str">
        <x:v>Native source/geometry checks, exact-source host tests or bounded models and controlled engineering disposition; specific evidence below. Original required evidence is preserved, not weakened.</x:v>
      </x:c>
      <x:c r="I127"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27" s="104" t="str">
        <x:v>Measure ADC-node charge/current steps and alternating-channel convergence at exact ADC_11db/median acquisition, supply and temperature conditions.</x:v>
      </x:c>
      <x:c r="K127" s="104" t="str">
        <x:v>FR-03</x:v>
      </x:c>
    </x:row>
    <x:row r="128" ht="195" customHeight="1">
      <x:c r="A128" s="104" t="str">
        <x:v>ADC-06</x:v>
      </x:c>
      <x:c r="B128" s="104" t="str">
        <x:v>Oil sensor and analog acquisition</x:v>
      </x:c>
      <x:c r="C128" s="104" t="str">
        <x:v>CALCULATED</x:v>
      </x:c>
      <x:c r="D128" s="104" t="str">
        <x:v>FullinputattenuatorRth/CplusIIR model includesinteractingfrequency/phase response; amplifier/outputnetwork stability hasseparatevendor-macromodel evidence.</x:v>
      </x:c>
      <x:c r="E128" s="104" t="str">
        <x:v>YES</x:v>
      </x:c>
      <x:c r="F128" s="104" t="str">
        <x:v>CLOSED</x:v>
      </x:c>
      <x:c r="G128" s="104" t="str">
        <x:v>CLOSED</x:v>
      </x:c>
      <x:c r="H128" s="104" t="str">
        <x:v>Native source/geometry checks, exact-source host tests or bounded models and controlled engineering disposition; specific evidence below. Original required evidence is preserved, not weakened.</x:v>
      </x:c>
      <x:c r="I128"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28" s="104" t="str">
        <x:v>Entire criterion addressed within its documentary/native design scope; no unperformed physical pass inferred.</x:v>
      </x:c>
      <x:c r="K128" s="104" t="str"/>
    </x:row>
    <x:row r="129" ht="227" customHeight="1">
      <x:c r="A129" s="104" t="str">
        <x:v>ADC-07</x:v>
      </x:c>
      <x:c r="B129" s="104" t="str">
        <x:v>Oil sensor and analog acquisition</x:v>
      </x:c>
      <x:c r="C129" s="104" t="str">
        <x:v>OPEN</x:v>
      </x:c>
      <x:c r="D129" s="104" t="str">
        <x:v>Both50Hz acquisition and25Hz publication alias paths matter:25Hz can fold toDC,24Hz to1Hz. Quantitative susceptibility computed, but actual aggressor amplitudes/spectrum and accuracy remain unmeasured.</x:v>
      </x:c>
      <x:c r="E129" s="104" t="str">
        <x:v>PENDING</x:v>
      </x:c>
      <x:c r="F129" s="104" t="str">
        <x:v>OPEN</x:v>
      </x:c>
      <x:c r="G129" s="104" t="str">
        <x:v>OPEN</x:v>
      </x:c>
      <x:c r="H129" s="104" t="str">
        <x:v>Native source/geometry checks, exact-source host tests or bounded models and controlled engineering disposition; specific evidence below. Original required evidence is preserved, not weakened.</x:v>
      </x:c>
      <x:c r="I129"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audit/board_vetting_20260908/lanes/ANALOG_THERMAL_BOARD_VETTING.md
audit/board_vetting_20260908/lanes/ANALOG_THERMAL_NATIVE_GEOMETRY.json
audit/board_vetting_20260908/lanes/ACTUAL_ANALOG_CALCULATIONS.json
audit/erb_20260907/lanes/ANALOG_OBSERVABILITY_SCREEN.json
firmware/productization_candidate/cca_telemetry/cca_telemetry.ino
audit/online_resolution_rvb21/power_analog/OIL_ALIAS_AND_SKEW.json</x:v>
      </x:c>
      <x:c r="J129" s="104" t="str">
        <x:v>Both50Hz acquisition and25Hz publication alias paths matter:25Hz can fold toDC,24Hz to1Hz. Quantitative susceptibility computed, but actual aggressor amplitudes/spectrum and accuracy remain unmeasured.</x:v>
      </x:c>
      <x:c r="K129" s="104" t="str">
        <x:v>FR-03</x:v>
      </x:c>
    </x:row>
    <x:row r="130" ht="216" customHeight="1">
      <x:c r="A130" s="104" t="str">
        <x:v>ADC-08</x:v>
      </x:c>
      <x:c r="B130" s="104" t="str">
        <x:v>Oil sensor and analog acquisition</x:v>
      </x:c>
      <x:c r="C130" s="104" t="str">
        <x:v>HOLD</x:v>
      </x:c>
      <x:c r="D130"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x:v>
      </x:c>
      <x:c r="E130" s="104" t="str">
        <x:v>PENDING</x:v>
      </x:c>
      <x:c r="F130" s="104" t="str">
        <x:v>OPEN</x:v>
      </x:c>
      <x:c r="G130" s="104" t="str">
        <x:v>OPEN</x:v>
      </x:c>
      <x:c r="H130" s="104" t="str">
        <x:v>Native source/geometry checks, exact-source host tests or bounded models and controlled engineering disposition; specific evidence below. Original required evidence is preserved, not weakened.</x:v>
      </x:c>
      <x:c r="I130"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audit/online_resolution_rvb21/power_analog/OIL_SCHEDULER_TIMING.json
audit/online_resolution_rvb21/power_analog/OIL_SCHEDULER_PHASE_CANDIDATE.json
audit/online_resolution_rvb21/power_analog/REVIEW.md
audit/online_resolution_rvb21/firmware/OIL_CADENCE_CANDIDATE.json
audit/online_resolution_rvb21/firmware/FIRMWARE_VERIFICATION.md</x:v>
      </x:c>
      <x:c r="J130" s="104" t="str">
        <x:v>Validate actual sensor-to-phone pulses against existing &lt;=200ms95% step, &gt;=70%100ms dip and &gt;=45%50ms dip targets; physical hydraulic and phone delay remain unknown.</x:v>
      </x:c>
      <x:c r="K130" s="104" t="str">
        <x:v>FR-03</x:v>
      </x:c>
    </x:row>
    <x:row r="131" ht="370" customHeight="1">
      <x:c r="A131" s="104" t="str">
        <x:v>ADC-09</x:v>
      </x:c>
      <x:c r="B131" s="104" t="str">
        <x:v>Oil sensor and analog acquisition</x:v>
      </x:c>
      <x:c r="C131" s="104" t="str">
        <x:v>ANALYZED</x:v>
      </x:c>
      <x:c r="D131" s="104" t="str">
        <x:v>Finite-return OUT/RTN circuit model extended and source-bound. Existing isolated OIL_SIG+24 V/settled-board-off main-rail bound24.766 mV retained only under intact R154/no-other-source assumptions. Internal OPA off-state output and TPS RTN-to-GND transient behavior remain unspecified; no generalized partial-power or ADC-to-rail clamp guarantee. Separate 192-case extension includes the full 97.731 mm / 7 via post-R507 copper allocation (28.660–209.462 nH; zero/full73.546 mΩ resistance), with 0/25 nH return stress; all pass under assumed 0.1VRTN. No internal RTN or OPA-state guarantee is added.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131" s="104" t="str">
        <x:v>PENDING</x:v>
      </x:c>
      <x:c r="F131" s="104" t="str">
        <x:v>OPEN</x:v>
      </x:c>
      <x:c r="G131" s="104" t="str">
        <x:v>OPEN</x:v>
      </x:c>
      <x:c r="H131" s="104" t="str">
        <x:v>Source inspection, implemented candidate and/or bounded model; see lane-specific method and limitations.</x:v>
      </x:c>
      <x:c r="I131"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audit/board_vetting_20260908/lanes/ANALOG_THERMAL_BOARD_VETTING.md
audit/board_vetting_20260908/lanes/ANALOG_THERMAL_NATIVE_GEOMETRY.json
audit/board_vetting_20260908/lanes/ACTUAL_ANALOG_CALCULATIONS.json
evidence/manufacturer/tps2660.pdf.txt
audit/online_resolution_rvb21/power_analog/OIL_SIGNAL_RAIL_OFF_BOUND.json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131" s="104" t="str">
        <x:v>Actual transient clamp voltage/current/energy and instantaneous rail-sinking behavior for relevant multiple-source/partial-power states; exact die internal OPA/RTN unknowns cannot be filled by a generic macro-model.</x:v>
      </x:c>
      <x:c r="K131" s="104" t="str">
        <x:v>FR-03</x:v>
      </x:c>
    </x:row>
    <x:row r="132" ht="195" customHeight="1">
      <x:c r="A132" s="104" t="str">
        <x:v>ADC-10</x:v>
      </x:c>
      <x:c r="B132" s="104" t="str">
        <x:v>Oil sensor and analog acquisition</x:v>
      </x:c>
      <x:c r="C132" s="104" t="str">
        <x:v>CALCULATED</x:v>
      </x:c>
      <x:c r="D132" s="104" t="str">
        <x:v>Conditional2.675psibase plus~0.184psiboardground and≤0.107psiharness screens fitproposed3.5psitarget; actualcalibration/leakage/sensor-temperature errors unmeasured.</x:v>
      </x:c>
      <x:c r="E132" s="104" t="str">
        <x:v>PENDING</x:v>
      </x:c>
      <x:c r="F132" s="104" t="str">
        <x:v>OPEN</x:v>
      </x:c>
      <x:c r="G132" s="104" t="str">
        <x:v>OPEN</x:v>
      </x:c>
      <x:c r="H132" s="104" t="str">
        <x:v>Native source/geometry checks, exact-source host tests or bounded models and controlled engineering disposition; specific evidence below. Original required evidence is preserved, not weakened.</x:v>
      </x:c>
      <x:c r="I132"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2" s="104" t="str">
        <x:v>Allocate system/harness/reference uncertainty and measure full-range rising/falling residuals over temperature and radio modes.</x:v>
      </x:c>
      <x:c r="K132" s="104" t="str">
        <x:v>FR-03</x:v>
      </x:c>
    </x:row>
    <x:row r="133" ht="205" customHeight="1">
      <x:c r="A133" s="104" t="str">
        <x:v>ADC-11</x:v>
      </x:c>
      <x:c r="B133" s="104" t="str">
        <x:v>Oil sensor and analog acquisition</x:v>
      </x:c>
      <x:c r="C133" s="104" t="str">
        <x:v>IMPLEMENTED / HOST VERIFIED; TARGET UNBUILT</x:v>
      </x:c>
      <x:c r="D133" s="104" t="str">
        <x:v>Temporal fault-recovery hysteresis implemented: any raw fault enters immediately; three consecutive fully valid acquisitions clear it; current pressure seeds IIR. First good startup has no delay. Actual sample/service/encoding tests pass25244 assertions;400 prior valid/invalid transitions become one. Open and GND are not uniquely localized; plausible in-range stuck signal remains undetectable.</x:v>
      </x:c>
      <x:c r="E133" s="104" t="str">
        <x:v>PENDING</x:v>
      </x:c>
      <x:c r="F133" s="104" t="str">
        <x:v>OPEN</x:v>
      </x:c>
      <x:c r="G133" s="104" t="str">
        <x:v>OPEN</x:v>
      </x:c>
      <x:c r="H133" s="104" t="str">
        <x:v>Source inspection, implemented candidate and/or bounded model; see lane-specific method and limitations.</x:v>
      </x:c>
      <x:c r="I133"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audit/online_resolution_rvb21/adc_fault/ADC_FAULT_RESULTS.json
audit/online_resolution_rvb21/adc_fault/FOLLOWUP_REGRESSION_RESULTS.json
audit/online_resolution_rvb21/adc_fault/CRITERION_UPDATES.json</x:v>
      </x:c>
      <x:c r="J133" s="104" t="str">
        <x:v>Compile and adopt2.1.3; qualify actual ADC and connector open/GND/excitation boundaries, dynamic open decay and phone invalidity/recovery.</x:v>
      </x:c>
      <x:c r="K133" s="104" t="str">
        <x:v>FR-03</x:v>
      </x:c>
    </x:row>
    <x:row r="134" ht="195" customHeight="1">
      <x:c r="A134" s="104" t="str">
        <x:v>ADC-12</x:v>
      </x:c>
      <x:c r="B134" s="104" t="str">
        <x:v>Oil sensor and analog acquisition</x:v>
      </x:c>
      <x:c r="C134" s="104" t="str">
        <x:v>CALCULATED</x:v>
      </x:c>
      <x:c r="D134" s="104" t="str">
        <x:v>Groundtransfer andalias screens quantify susceptibility; no simulatedMCUradioaggressor replaces correlatedADCnoise testing.</x:v>
      </x:c>
      <x:c r="E134" s="104" t="str">
        <x:v>YES</x:v>
      </x:c>
      <x:c r="F134" s="104" t="str">
        <x:v>OPEN</x:v>
      </x:c>
      <x:c r="G134" s="104" t="str">
        <x:v>OPEN</x:v>
      </x:c>
      <x:c r="H134" s="104" t="str">
        <x:v>Native source/geometry checks, exact-source host tests or bounded models and controlled engineering disposition; specific evidence below. Original required evidence is preserved, not weakened.</x:v>
      </x:c>
      <x:c r="I134"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4" s="104" t="str">
        <x:v>Record both channels with fixed inputs and independent BLE/CAN/switcher aggressors; include resulting error in calibrated residuals.</x:v>
      </x:c>
      <x:c r="K134" s="104" t="str">
        <x:v>FR-03</x:v>
      </x:c>
    </x:row>
    <x:row r="135" ht="195" customHeight="1">
      <x:c r="A135" s="104" t="str">
        <x:v>ADC-13</x:v>
      </x:c>
      <x:c r="B135" s="104" t="str">
        <x:v>Oil sensor and analog acquisition</x:v>
      </x:c>
      <x:c r="C135" s="104" t="str">
        <x:v>CALCULATED</x:v>
      </x:c>
      <x:c r="D135" s="104" t="str">
        <x:v>Schema4moduleidentity/CRC andindependenttwochannelcalibration preserved; physicalunitconstants cannot begenerated bysimulation.</x:v>
      </x:c>
      <x:c r="E135" s="104" t="str">
        <x:v>YES</x:v>
      </x:c>
      <x:c r="F135" s="104" t="str">
        <x:v>OPEN</x:v>
      </x:c>
      <x:c r="G135" s="104" t="str">
        <x:v>OPEN</x:v>
      </x:c>
      <x:c r="H135" s="104" t="str">
        <x:v>Native source/geometry checks, exact-source host tests or bounded models and controlled engineering disposition; specific evidence below. Original required evidence is preserved, not weakened.</x:v>
      </x:c>
      <x:c r="I135"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5" s="104" t="str">
        <x:v>Execute per-unit channel calibration, reference uncertainty, wrong-unit record rejection and interrupted-write/recovery checks; retain serial/MAC/build identity.</x:v>
      </x:c>
      <x:c r="K135" s="104" t="str">
        <x:v>FR-03</x:v>
      </x:c>
    </x:row>
    <x:row r="136" ht="195" customHeight="1">
      <x:c r="A136" s="104" t="str">
        <x:v>ADC-14</x:v>
      </x:c>
      <x:c r="B136" s="104" t="str">
        <x:v>Oil sensor and analog acquisition</x:v>
      </x:c>
      <x:c r="C136" s="104" t="str">
        <x:v>CALCULATED</x:v>
      </x:c>
      <x:c r="D136" s="104" t="str">
        <x:v>ConnectorF1.7→conditioning→module39 andF1.8→excitation→module38 traced. This proves intendedcopperpath,not realpressurecalibration.</x:v>
      </x:c>
      <x:c r="E136" s="104" t="str">
        <x:v>YES</x:v>
      </x:c>
      <x:c r="F136" s="104" t="str">
        <x:v>OPEN</x:v>
      </x:c>
      <x:c r="G136" s="104" t="str">
        <x:v>OPEN</x:v>
      </x:c>
      <x:c r="H136" s="104" t="str">
        <x:v>Native source/geometry checks, exact-source host tests or bounded models and controlled engineering disposition; specific evidence below. Original required evidence is preserved, not weakened.</x:v>
      </x:c>
      <x:c r="I136" s="162" t="str">
        <x:v>audit/online_closure_20260908/simulations/oil_faults/RESULTS.json
audit/online_closure_20260908/simulations/oil_response/RESULTS.json
audit/online_closure_20260908/simulations/ground/RESULTS.json
calculations/OIL_PRESSURE_CALCULATIONS.md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36" s="104" t="str">
        <x:v>Execute three distinct levels with actual metrology, sweeps/faults, board identity and phone pressure comparison.</x:v>
      </x:c>
      <x:c r="K136" s="104" t="str">
        <x:v>FR-03</x:v>
      </x:c>
    </x:row>
    <x:row r="137" ht="195" customHeight="1">
      <x:c r="A137" s="104" t="str">
        <x:v>GPS-01</x:v>
      </x:c>
      <x:c r="B137" s="104" t="str">
        <x:v>GPS module, timing and external antenna</x:v>
      </x:c>
      <x:c r="C137" s="104" t="str">
        <x:v>VERIFIED</x:v>
      </x:c>
      <x:c r="D137" s="104" t="str">
        <x:v>PA1616D20padorientation/centralNPTH andpin1marks remain manufacturer-derived; currentnativefootprint andassemblyview unchanged.</x:v>
      </x:c>
      <x:c r="E137" s="104" t="str">
        <x:v>YES</x:v>
      </x:c>
      <x:c r="F137" s="104" t="str">
        <x:v>CLOSED</x:v>
      </x:c>
      <x:c r="G137" s="104" t="str">
        <x:v>CLOSED</x:v>
      </x:c>
      <x:c r="H137" s="104" t="str">
        <x:v>Native source/geometry checks, exact-source host tests or bounded models and controlled engineering disposition; specific evidence below. Original required evidence is preserved, not weakened.</x:v>
      </x:c>
      <x:c r="I137"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7" s="104" t="str">
        <x:v>Entire criterion addressed within its documentary/native design scope; no unperformed physical pass inferred.</x:v>
      </x:c>
      <x:c r="K137" s="104" t="str"/>
    </x:row>
    <x:row r="138" ht="195" customHeight="1">
      <x:c r="A138" s="104" t="str">
        <x:v>GPS-02</x:v>
      </x:c>
      <x:c r="B138" s="104" t="str">
        <x:v>GPS module, timing and external antenna</x:v>
      </x:c>
      <x:c r="C138" s="104" t="str">
        <x:v>VERIFIED</x:v>
      </x:c>
      <x:c r="D138" s="104" t="str">
        <x:v>TX0pad9→GPIO18/module11,RX0pad10←GPIO17/module10,PPS13→GPIO16/module9 throughcorrectreceiving-domainbuffers.</x:v>
      </x:c>
      <x:c r="E138" s="104" t="str">
        <x:v>YES</x:v>
      </x:c>
      <x:c r="F138" s="104" t="str">
        <x:v>CLOSED</x:v>
      </x:c>
      <x:c r="G138" s="104" t="str">
        <x:v>CLOSED</x:v>
      </x:c>
      <x:c r="H138" s="104" t="str">
        <x:v>Native source/geometry checks, exact-source host tests or bounded models and controlled engineering disposition; specific evidence below. Original required evidence is preserved, not weakened.</x:v>
      </x:c>
      <x:c r="I138"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8" s="104" t="str">
        <x:v>Entire criterion addressed within its documentary/native design scope; no unperformed physical pass inferred.</x:v>
      </x:c>
      <x:c r="K138" s="104" t="str"/>
    </x:row>
    <x:row r="139" ht="195" customHeight="1">
      <x:c r="A139" s="104" t="str">
        <x:v>GPS-03</x:v>
      </x:c>
      <x:c r="B139" s="104" t="str">
        <x:v>GPS module, timing and external antenna</x:v>
      </x:c>
      <x:c r="C139" s="104" t="str">
        <x:v>VERIFIED</x:v>
      </x:c>
      <x:c r="D139" s="104" t="str">
        <x:v>Controlledbackup strategy preserved withnoprimarycellchargingpath; warm/coldpersistence behavior remainsmodule-specificphysicalevidence.</x:v>
      </x:c>
      <x:c r="E139" s="104" t="str">
        <x:v>YES</x:v>
      </x:c>
      <x:c r="F139" s="104" t="str">
        <x:v>CLOSED</x:v>
      </x:c>
      <x:c r="G139" s="104" t="str">
        <x:v>CLOSED</x:v>
      </x:c>
      <x:c r="H139" s="104" t="str">
        <x:v>Native source/geometry checks, exact-source host tests or bounded models and controlled engineering disposition; specific evidence below. Original required evidence is preserved, not weakened.</x:v>
      </x:c>
      <x:c r="I139"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39" s="104" t="str">
        <x:v>Entire criterion addressed within its documentary/native design scope; no unperformed physical pass inferred.</x:v>
      </x:c>
      <x:c r="K139" s="104" t="str"/>
    </x:row>
    <x:row r="140" ht="216" customHeight="1">
      <x:c r="A140" s="104" t="str">
        <x:v>GPS-04</x:v>
      </x:c>
      <x:c r="B140" s="104" t="str">
        <x:v>GPS module, timing and external antenna</x:v>
      </x:c>
      <x:c r="C140" s="104" t="str">
        <x:v>VERIFIED</x:v>
      </x:c>
      <x:c r="D140" s="104" t="str">
        <x:v>Actualstate-machinebaudnegotiation retained;115200first before10Hz, observedUTCcadence determinesconfiguration. HardwarePMTKcompatibility notassumedfromcompile.
Automatic baud probes preserve GPS epoch ordering history; this prevents repeated reprobing from renewing an old stuck solution. Actual GP/GN duplicate epochs do not count toward, or erase, valid10Hz cadence;10newer100ms intervals still qualify.</x:v>
      </x:c>
      <x:c r="E140" s="104" t="str">
        <x:v>PENDING</x:v>
      </x:c>
      <x:c r="F140" s="104" t="str">
        <x:v>OPEN</x:v>
      </x:c>
      <x:c r="G140" s="104" t="str">
        <x:v>OPEN</x:v>
      </x:c>
      <x:c r="H140" s="104" t="str">
        <x:v>Native source/geometry checks, exact-source host tests or bounded models and controlled engineering disposition; specific evidence below. Original required evidence is preserved, not weakened.</x:v>
      </x:c>
      <x:c r="I140"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0" s="104" t="str">
        <x:v>Run exact module cold/warm/retained baud and interruption recovery cases.
Cold/warm/default/retained-baud and interruption behavior need exact-module target logs; candidate build/adoption pending.</x:v>
      </x:c>
      <x:c r="K140" s="104" t="str">
        <x:v>FR-01, FR-05, FR-06</x:v>
      </x:c>
    </x:row>
    <x:row r="141" ht="227" customHeight="1">
      <x:c r="A141" s="104" t="str">
        <x:v>GPS-05</x:v>
      </x:c>
      <x:c r="B141" s="104" t="str">
        <x:v>GPS module, timing and external antenna</x:v>
      </x:c>
      <x:c r="C141" s="104" t="str">
        <x:v>CALCULATED / HOST VERIFIED; TARGET UNBUILT</x:v>
      </x:c>
      <x:c r="D141" s="104" t="str">
        <x:v>Configured RMC+GGA 10Hz ceiling includes CR/LF:2440B/s,21.18% of115200 8N1. Full-line11520B/s arrivals at≤5ms complete service gap produce≤58 queued bytes vs2048 nominal ring and512-byte drain.612033 exact-consumer/parser assertions pass. Date-aware epoch correction separately prevents repeated solution refresh.</x:v>
      </x:c>
      <x:c r="E141" s="104" t="str">
        <x:v>PENDING</x:v>
      </x:c>
      <x:c r="F141" s="104" t="str">
        <x:v>OPEN</x:v>
      </x:c>
      <x:c r="G141" s="104" t="str">
        <x:v>OPEN</x:v>
      </x:c>
      <x:c r="H141" s="104" t="str">
        <x:v>Source inspection, implemented candidate and/or bounded model; see lane-specific method and limitations.</x:v>
      </x:c>
      <x:c r="I141"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audit/online_resolution_rvb21/adc_fault/GPS_BURST_BUDGET.json
audit/online_resolution_rvb21/adc_fault/GPS_EPOCH_RESULTS.json
audit/online_resolution_rvb21/adc_fault/CRITERION_UPDATES.json</x:v>
      </x:c>
      <x:c r="J141" s="104" t="str">
        <x:v>Measure actual module sentence/burst output, driver usable capacity and worst complete concurrent service gap/ISR behavior; verify configured output and target/phone freshness after candidate compile/adoption.</x:v>
      </x:c>
      <x:c r="K141" s="104" t="str">
        <x:v>FR-01, FR-05, FR-06</x:v>
      </x:c>
    </x:row>
    <x:row r="142" ht="216" customHeight="1">
      <x:c r="A142" s="104" t="str">
        <x:v>GPS-06</x:v>
      </x:c>
      <x:c r="B142" s="104" t="str">
        <x:v>GPS module, timing and external antenna</x:v>
      </x:c>
      <x:c r="C142" s="104" t="str">
        <x:v>VERIFIED</x:v>
      </x:c>
      <x:c r="D142" s="104" t="str">
        <x:v>SelectedRMC/GGA10Hz commands/checksums andcadence detection verified; no newconstellation/SBAScapability claim beyond exactmodulefirmware.
Dated epoch tests verify ten true100ms advances qualify10Hz and duplicate talkers do not increment sequence/rate count. No constellation/SBAS capability is inferred.</x:v>
      </x:c>
      <x:c r="E142" s="104" t="str">
        <x:v>PENDING</x:v>
      </x:c>
      <x:c r="F142" s="104" t="str">
        <x:v>OPEN</x:v>
      </x:c>
      <x:c r="G142" s="104" t="str">
        <x:v>OPEN</x:v>
      </x:c>
      <x:c r="H142" s="104" t="str">
        <x:v>Native source/geometry checks, exact-source host tests or bounded models and controlled engineering disposition; specific evidence below. Original required evidence is preserved, not weakened.</x:v>
      </x:c>
      <x:c r="I142"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2" s="104" t="str">
        <x:v>Record exact firmware/mode response and supported constellation/SBAS10Hz combination.
Exact module configuration compatibility and response remain external.</x:v>
      </x:c>
      <x:c r="K142" s="104" t="str">
        <x:v>FR-01, FR-05, FR-06</x:v>
      </x:c>
    </x:row>
    <x:row r="143" ht="216" customHeight="1">
      <x:c r="A143" s="104" t="str">
        <x:v>GPS-07</x:v>
      </x:c>
      <x:c r="B143" s="104" t="str">
        <x:v>GPS module, timing and external antenna</x:v>
      </x:c>
      <x:c r="C143" s="104" t="str">
        <x:v>VERIFIED</x:v>
      </x:c>
      <x:c r="D143" s="104" t="str">
        <x:v>PPSGPIO16route andISR timestamp source verified; realPPS-toNMEAepochassociation/latency requiresreferencecaptures.
Position retains accepted RMC date/time; duplicate or backward epochs cannot overwrite it. PPS ISR and its intentionally limited pulse-stream lock meaning are unchanged.</x:v>
      </x:c>
      <x:c r="E143" s="104" t="str">
        <x:v>PENDING</x:v>
      </x:c>
      <x:c r="F143" s="104" t="str">
        <x:v>OPEN</x:v>
      </x:c>
      <x:c r="G143" s="104" t="str">
        <x:v>OPEN</x:v>
      </x:c>
      <x:c r="H143" s="104" t="str">
        <x:v>Native source/geometry checks, exact-source host tests or bounded models and controlled engineering disposition; specific evidence below. Original required evidence is preserved, not weakened.</x:v>
      </x:c>
      <x:c r="I143"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3" s="104" t="str">
        <x:v>Capture PPS voltage/polarity/width and simultaneous UART epoch/interrupt correlation.
This is not PPS-to-UTC phase/latency correlation; real reference captures remain required.</x:v>
      </x:c>
      <x:c r="K143" s="104" t="str">
        <x:v>FR-01, FR-05, FR-06</x:v>
      </x:c>
    </x:row>
    <x:row r="144" ht="216" customHeight="1">
      <x:c r="A144" s="104" t="str">
        <x:v>GPS-08</x:v>
      </x:c>
      <x:c r="B144" s="104" t="str">
        <x:v>GPS module, timing and external antenna</x:v>
      </x:c>
      <x:c r="C144" s="104" t="str">
        <x:v>VERIFIED</x:v>
      </x:c>
      <x:c r="D144" s="104" t="str">
        <x:v>Actualparserchecksum/numeric/agevectors plusbinaryNUL/oversize/discontinuityfuzz pass; no stalevalidfix invented byhosttransport.
New actual-source counterexample supersedes any blanket stale-fix claim: canonical/pre-fix code refreshes a repeated epoch indefinitely. Candidate uses date-aware first/newer epochs,500ms age of accepted solution and prompt invalid-packet preparation on validity change;23actual parser/service/notification checks pass.</x:v>
      </x:c>
      <x:c r="E144" s="104" t="str">
        <x:v>PENDING</x:v>
      </x:c>
      <x:c r="F144" s="104" t="str">
        <x:v>OPEN</x:v>
      </x:c>
      <x:c r="G144" s="104" t="str">
        <x:v>OPEN</x:v>
      </x:c>
      <x:c r="H144" s="104" t="str">
        <x:v>Native source/geometry checks, exact-source host tests or bounded models and controlled engineering disposition; specific evidence below. Original required evidence is preserved, not weakened.</x:v>
      </x:c>
      <x:c r="I144"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44" s="104" t="str">
        <x:v>Actual GPS/phone antenna loss, stale/invalid and reconnect behavior must be observed.
Target compile/adoption, actual module lock loss/reacquisition and phone invalid/fresh display remain required.</x:v>
      </x:c>
      <x:c r="K144" s="104" t="str">
        <x:v>FR-01, FR-05, FR-06</x:v>
      </x:c>
    </x:row>
    <x:row r="145" ht="249" customHeight="1">
      <x:c r="A145" s="104" t="str">
        <x:v>GPS-09</x:v>
      </x:c>
      <x:c r="B145" s="104" t="str">
        <x:v>GPS module, timing and external antenna</x:v>
      </x:c>
      <x:c r="C145" s="104" t="str">
        <x:v>CALCULATED / CONDITIONAL CANDIDATE</x:v>
      </x:c>
      <x:c r="D145" s="104" t="str">
        <x:v>Exact antenna candidate TW2410 33-2410-00-3000 and CAB.011 pigtail reconciled to PA1616D bias allocation. Supply range 2.5–16 V and 12 mA published maximum fit nominal supply/current, but the 1574–1606 MHz band and typical 1.5 dB NF do not establish the full recommended band/strict NF contract. Minimum current, startup surge and bias-switch drop remain unknown. Four additional primary-source candidates were examined: PCTEL8117D closes the typical frequency-band mismatch, but none documents all required noise/current/connector guarantees. No alternative was promoted.</x:v>
      </x:c>
      <x:c r="E145" s="104" t="str">
        <x:v>PENDING</x:v>
      </x:c>
      <x:c r="F145" s="104" t="str">
        <x:v>OPEN</x:v>
      </x:c>
      <x:c r="G145" s="104" t="str">
        <x:v>OPEN</x:v>
      </x:c>
      <x:c r="H145" s="104" t="str">
        <x:v>Source inspection, implemented candidate and/or bounded model; see lane-specific method and limitations.</x:v>
      </x:c>
      <x:c r="I145"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45" s="104" t="str">
        <x:v>Exact accepted antenna specification covering required band/noise and bias detection minimum/startup/open/short/plug behavior; actual PA1616D bias-switch and cable limits. See antenna follow-up for later candidate selection.</x:v>
      </x:c>
      <x:c r="K145" s="104" t="str">
        <x:v>FR-01, FR-05, FR-06</x:v>
      </x:c>
    </x:row>
    <x:row r="146" ht="260" customHeight="1">
      <x:c r="A146" s="104" t="str">
        <x:v>GPS-10</x:v>
      </x:c>
      <x:c r="B146" s="104" t="str">
        <x:v>GPS module, timing and external antenna</x:v>
      </x:c>
      <x:c r="C146" s="104" t="str">
        <x:v>HOLD</x:v>
      </x:c>
      <x:c r="D146" s="104" t="str">
        <x:v>Staged L406 = Murata LQW18AS1N6J0ZD replaces R406 using revised pads. All 20,736 allocated cases pass both-port return loss and insertion loss; worst 10.7902 dB / 0.7054 dB. Twenty-one independent source/geometry checks pass. Canonical RF still has model misses: native KiCad gates, matching output regeneration, exact factory allocation and actual ports/stackup remain pending.</x:v>
      </x:c>
      <x:c r="E146" s="104" t="str">
        <x:v>PENDING</x:v>
      </x:c>
      <x:c r="F146" s="104" t="str">
        <x:v>OPEN</x:v>
      </x:c>
      <x:c r="G146" s="104" t="str">
        <x:v>OPEN</x:v>
      </x:c>
      <x:c r="H146" s="104" t="str">
        <x:v>Native source/geometry checks, exact-source host tests or bounded models and controlled engineering disposition; specific evidence below. Original required evidence is preserved, not weakened.</x:v>
      </x:c>
      <x:c r="I146"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audit/board_vetting_20260908/rf_ground/GEOMETRY_EVIDENCE.json
audit/board_vetting_20260908/rf_ground/GROUND_AND_RF_DISPOSITION.md
audit/erb_20260907/lanes/rf_ground_geometry.json
audit/productization/pcb/gps/RF_GEOMETRY_ESTIMATE.json
audit/online_resolution_rvb21/rf/RF_ECO_REVIEW.md
audit/online_resolution_rvb21/rf/RF_FINAL_SUMMARY.json
audit/online_resolution_rvb21/rf/RF_CANDIDATE_CHECKS.json</x:v>
      </x:c>
      <x:c r="J146" s="104" t="str">
        <x:v>ExactRVB21matching candidate has new footprint and part; current canonical network retains RFcorner failure. Native adoption and affected manufacturing/model evidence remain outstanding.</x:v>
      </x:c>
      <x:c r="K146" s="104" t="str">
        <x:v>FR-01, FR-05, FR-06</x:v>
      </x:c>
    </x:row>
    <x:row r="147" ht="195" customHeight="1">
      <x:c r="A147" s="104" t="str">
        <x:v>GPS-11</x:v>
      </x:c>
      <x:c r="B147" s="104" t="str">
        <x:v>GPS module, timing and external antenna</x:v>
      </x:c>
      <x:c r="C147" s="104" t="str">
        <x:v>VERIFIED</x:v>
      </x:c>
      <x:c r="D147" s="104" t="str">
        <x:v>R406DCcontinuity andnoDCblock preservePAantenna bias; exactESDworkingvoltage/leakage andRFcapacitance included.</x:v>
      </x:c>
      <x:c r="E147" s="104" t="str">
        <x:v>YES</x:v>
      </x:c>
      <x:c r="F147" s="104" t="str">
        <x:v>CLOSED</x:v>
      </x:c>
      <x:c r="G147" s="104" t="str">
        <x:v>CLOSED</x:v>
      </x:c>
      <x:c r="H147" s="104" t="str">
        <x:v>Native source/geometry checks, exact-source host tests or bounded models and controlled engineering disposition; specific evidence below. Original required evidence is preserved, not weakened.</x:v>
      </x:c>
      <x:c r="I147"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x:v>
      </x:c>
      <x:c r="J147" s="104" t="str">
        <x:v>Entire criterion addressed within its documentary/native design scope; no unperformed physical pass inferred.</x:v>
      </x:c>
      <x:c r="K147" s="104" t="str"/>
    </x:row>
    <x:row r="148" ht="249" customHeight="1">
      <x:c r="A148" s="104" t="str">
        <x:v>GPS-12</x:v>
      </x:c>
      <x:c r="B148" s="104" t="str">
        <x:v>GPS module, timing and external antenna</x:v>
      </x:c>
      <x:c r="C148" s="104" t="str">
        <x:v>CALCULATED / CONDITIONAL CANDIDATE</x:v>
      </x:c>
      <x:c r="D148" s="104" t="str">
        <x:v>Added 120 finite cascaded gain/noise scenarios including antenna gain/NF, 3 m lead loss, short pigtail and corrected board loss. CAB.011 nominal cable-only 2 GHz loss is 0.266 dB; full assembly and main cable losses remain allocations. Front-end NF calculations explicitly exclude unknown receiver NF and do not claim achieved C/N0.</x:v>
      </x:c>
      <x:c r="E148" s="104" t="str">
        <x:v>PENDING</x:v>
      </x:c>
      <x:c r="F148" s="104" t="str">
        <x:v>OPEN</x:v>
      </x:c>
      <x:c r="G148" s="104" t="str">
        <x:v>OPEN</x:v>
      </x:c>
      <x:c r="H148" s="104" t="str">
        <x:v>Source inspection, implemented candidate and/or bounded model; see lane-specific method and limitations.</x:v>
      </x:c>
      <x:c r="I148"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48" s="104" t="str">
        <x:v>Select and qualify exact antenna/cable electrical envelope, actual local interference and receiver mismatch/noise; representative internal-versus-external outdoor comparison remains required.</x:v>
      </x:c>
      <x:c r="K148" s="104" t="str">
        <x:v>FR-01, FR-05, FR-06</x:v>
      </x:c>
    </x:row>
    <x:row r="149" ht="195" customHeight="1">
      <x:c r="A149" s="104" t="str">
        <x:v>GPS-13</x:v>
      </x:c>
      <x:c r="B149" s="104" t="str">
        <x:v>GPS module, timing and external antenna</x:v>
      </x:c>
      <x:c r="C149" s="104" t="str">
        <x:v>VERIFIED</x:v>
      </x:c>
      <x:c r="D149" s="104" t="str">
        <x:v>GPSLDO50mVpprequirement,nominalthermal/ground/RFcouplingscreens andaggressor-on/offtestdefined; finalenclosuredesense stillunmeasured.</x:v>
      </x:c>
      <x:c r="E149" s="104" t="str">
        <x:v>YES</x:v>
      </x:c>
      <x:c r="F149" s="104" t="str">
        <x:v>OPEN</x:v>
      </x:c>
      <x:c r="G149" s="104" t="str">
        <x:v>OPEN</x:v>
      </x:c>
      <x:c r="H149" s="104" t="str">
        <x:v>Native source/geometry checks, exact-source host tests or bounded models and controlled engineering disposition; specific evidence below. Original required evidence is preserved, not weakened.</x:v>
      </x:c>
      <x:c r="I149"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149" s="104" t="str">
        <x:v>Measure pad-level ripple and GNSS performance with converters/BLE/CAN active in final enclosure.</x:v>
      </x:c>
      <x:c r="K149" s="104" t="str">
        <x:v>FR-01, FR-05, FR-06</x:v>
      </x:c>
    </x:row>
    <x:row r="150" ht="249" customHeight="1">
      <x:c r="A150" s="104" t="str">
        <x:v>GPS-14</x:v>
      </x:c>
      <x:c r="B150" s="104" t="str">
        <x:v>GPS module, timing and external antenna</x:v>
      </x:c>
      <x:c r="C150" s="104" t="str">
        <x:v>CALCULATED / CONDITIONAL CANDIDATE</x:v>
      </x:c>
      <x:c r="D150" s="104" t="str">
        <x:v>Exact TW2410 antenna and CAB.011 95 mm MHF-I/SMA bulkhead drawings support a concrete service scheme: panel bulkhead takes external load, slack/padded internal anchor keeps pull off J401, vertical mating/extraction and routine service at SMA. Bend radii and routing are stated as engineering allocations pending exact installation.</x:v>
      </x:c>
      <x:c r="E150" s="104" t="str">
        <x:v>PENDING</x:v>
      </x:c>
      <x:c r="F150" s="104" t="str">
        <x:v>OPEN</x:v>
      </x:c>
      <x:c r="G150" s="104" t="str">
        <x:v>OPEN</x:v>
      </x:c>
      <x:c r="H150" s="104" t="str">
        <x:v>Source inspection, implemented candidate and/or bounded model; see lane-specific method and limitations.</x:v>
      </x:c>
      <x:c r="I150" s="162" t="str">
        <x:v>audit/online_closure_20260908/simulations/rf/RESULTS.json
audit/online_closure_20260908/rf_ground/GEOMETRY_EVIDENCE.json
audit/online_closure_20260908/pcb/ADOPTED_CHANGE_RECORD.json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audit/online_resolution_rvb21/accessories/ANTENNA_FOLLOWUP.md
audit/online_resolution_rvb21/accessories/ANTENNA_FOLLOWUP.json
audit/online_resolution_rvb21/accessories/ROW_UPDATES.json</x:v>
      </x:c>
      <x:c r="J150" s="104" t="str">
        <x:v>Confirm the actual bulkhead wall, 95 mm routed fit, manufacturer retention/bend acceptance and installed pull/service behavior. A panel position or enclosure fit has not been invented.</x:v>
      </x:c>
      <x:c r="K150" s="104" t="str">
        <x:v>FR-01, FR-05, FR-06</x:v>
      </x:c>
    </x:row>
    <x:row r="151" ht="195" customHeight="1">
      <x:c r="A151" s="104" t="str">
        <x:v>BLE-01</x:v>
      </x:c>
      <x:c r="B151" s="104" t="str">
        <x:v>BLE RF and application transport</x:v>
      </x:c>
      <x:c r="C151" s="104" t="str">
        <x:v>VERIFIED</x:v>
      </x:c>
      <x:c r="D151" s="104" t="str">
        <x:v>AllfourlayerESPantenna keepout and6mmoverhang verified; actualinstalledmetal/enclosure/harnessclearvolume remains aninstallationrequirement.</x:v>
      </x:c>
      <x:c r="E151" s="104" t="str">
        <x:v>YES</x:v>
      </x:c>
      <x:c r="F151" s="104" t="str">
        <x:v>OPEN</x:v>
      </x:c>
      <x:c r="G151" s="104" t="str">
        <x:v>OPEN</x:v>
      </x:c>
      <x:c r="H151" s="104" t="str">
        <x:v>Native source/geometry checks, exact-source host tests or bounded models and controlled engineering disposition; specific evidence below. Original required evidence is preserved, not weakened.</x:v>
      </x:c>
      <x:c r="I15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1" s="104" t="str">
        <x:v>Assembled3D integration and installed antenna-clearance/range checks.</x:v>
      </x:c>
      <x:c r="K151" s="104" t="str">
        <x:v>FR-05, FR-08</x:v>
      </x:c>
    </x:row>
    <x:row r="152" ht="195" customHeight="1">
      <x:c r="A152" s="104" t="str">
        <x:v>BLE-02</x:v>
      </x:c>
      <x:c r="B152" s="104" t="str">
        <x:v>BLE RF and application transport</x:v>
      </x:c>
      <x:c r="C152" s="104" t="str">
        <x:v>VERIFIED</x:v>
      </x:c>
      <x:c r="D152" s="104" t="str">
        <x:v>GroundstitchesoutsideESPkeepout; currentGNDgraph connected. RFgroundandantennaclearance areseparateconstraints.</x:v>
      </x:c>
      <x:c r="E152" s="104" t="str">
        <x:v>YES</x:v>
      </x:c>
      <x:c r="F152" s="104" t="str">
        <x:v>CLOSED</x:v>
      </x:c>
      <x:c r="G152" s="104" t="str">
        <x:v>CLOSED</x:v>
      </x:c>
      <x:c r="H152" s="104" t="str">
        <x:v>Native source/geometry checks, exact-source host tests or bounded models and controlled engineering disposition; specific evidence below. Original required evidence is preserved, not weakened.</x:v>
      </x:c>
      <x:c r="I15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x:v>
      </x:c>
      <x:c r="J152" s="104" t="str">
        <x:v>Entire criterion addressed within its documentary/native design scope; no unperformed physical pass inferred.</x:v>
      </x:c>
      <x:c r="K152" s="104" t="str"/>
    </x:row>
    <x:row r="153" ht="195" customHeight="1">
      <x:c r="A153" s="104" t="str">
        <x:v>BLE-03</x:v>
      </x:c>
      <x:c r="B153" s="104" t="str">
        <x:v>BLE RF and application transport</x:v>
      </x:c>
      <x:c r="C153" s="104" t="str">
        <x:v>VERIFIED</x:v>
      </x:c>
      <x:c r="D153" s="104" t="str">
        <x:v>ActualGPS/regulator/ESPplacement retained; noactualmetal/dashboard orientation was supplied, sofieldradio range/desensecannotbepassed.</x:v>
      </x:c>
      <x:c r="E153" s="104" t="str">
        <x:v>YES</x:v>
      </x:c>
      <x:c r="F153" s="104" t="str">
        <x:v>OPEN</x:v>
      </x:c>
      <x:c r="G153" s="104" t="str">
        <x:v>OPEN</x:v>
      </x:c>
      <x:c r="H153" s="104" t="str">
        <x:v>Native source/geometry checks, exact-source host tests or bounded models and controlled engineering disposition; specific evidence below. Original required evidence is preserved, not weakened.</x:v>
      </x:c>
      <x:c r="I15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3" s="104" t="str">
        <x:v>Final orientation metal,harness,vehicle structure and simultaneous GPS/power/BLE measurements.</x:v>
      </x:c>
      <x:c r="K153" s="104" t="str">
        <x:v>FR-05, FR-08</x:v>
      </x:c>
    </x:row>
    <x:row r="154" ht="195" customHeight="1">
      <x:c r="A154" s="104" t="str">
        <x:v>BLE-04</x:v>
      </x:c>
      <x:c r="B154" s="104" t="str">
        <x:v>BLE RF and application transport</x:v>
      </x:c>
      <x:c r="C154" s="104" t="str">
        <x:v>VERIFIED</x:v>
      </x:c>
      <x:c r="D154" s="104" t="str">
        <x:v>Actualcache/notify/token model meets6requestedIDs10Hz+oil25Hz+GPS10Hz+time1Hz andoverload priority within120/scap; idealradiodelivery assumed.
Normal stable GPS10Hz/time1Hz and shared120/s budget remain; validity changes can add fault-transition notification demand. The new branch still calls the same bounded token/backoff transport and cannot bypass that shared budget.</x:v>
      </x:c>
      <x:c r="E154" s="104" t="str">
        <x:v>PENDING</x:v>
      </x:c>
      <x:c r="F154" s="104" t="str">
        <x:v>OPEN</x:v>
      </x:c>
      <x:c r="G154" s="104" t="str">
        <x:v>OPEN</x:v>
      </x:c>
      <x:c r="H154" s="104" t="str">
        <x:v>Native source/geometry checks, exact-source host tests or bounded models and controlled engineering disposition; specific evidence below. Original required evidence is preserved, not weakened.</x:v>
      </x:c>
      <x:c r="I15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54" s="104" t="str">
        <x:v>Measure target-phone payload/connection throughput for the already-corrected fractional120/s budget and6IDs10Hz+oil25Hz+GPS10Hz+time1Hz profile.
Normal-profile per-channel rates must not be guaranteed during fault-transition bursts; real simultaneous target-phone throughput remains unverified.</x:v>
      </x:c>
      <x:c r="K154" s="104" t="str">
        <x:v>FR-05, FR-08</x:v>
      </x:c>
    </x:row>
    <x:row r="155" ht="249" customHeight="1">
      <x:c r="A155" s="104" t="str">
        <x:v>BLE-05</x:v>
      </x:c>
      <x:c r="B155" s="104" t="str">
        <x:v>BLE RF and application transport</x:v>
      </x:c>
      <x:c r="C155" s="104" t="str">
        <x:v>OPEN</x:v>
      </x:c>
      <x:c r="D155" s="104" t="str">
        <x:v>New19actual-function tests verify synchronous rejection100msbackoff/latest cached retry/subscription guards/stale expiry/reserved credits. Target NimBLE blocking/callback ordering and real concurrency remain unverified.
On GPS validity changes, packet preparation no longer waits for the one-second heartbeat; a rejected notification remains pending because last-forwarded validity changes only on accepted notification or an unsubscribed local update. Existing notify/backoff functions are unchanged and rerun19checks pass.</x:v>
      </x:c>
      <x:c r="E155" s="104" t="str">
        <x:v>PENDING</x:v>
      </x:c>
      <x:c r="F155" s="104" t="str">
        <x:v>OPEN</x:v>
      </x:c>
      <x:c r="G155" s="104" t="str">
        <x:v>OPEN</x:v>
      </x:c>
      <x:c r="H155" s="104" t="str">
        <x:v>Native source/geometry checks, exact-source host tests or bounded models and controlled engineering disposition; specific evidence below. Original required evidence is preserved, not weakened.</x:v>
      </x:c>
      <x:c r="I15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audit/board_vetting_20260908/lanes/DIGITAL_NATIVE_INSPECTION.json
firmware/productization_candidate/cca_telemetry/cca_telemetry.ino
audit/erb_20260907/firmware_tests/can_cache_after.log
audit/board_vetting_20260908/lanes/BLE_TOKEN_BUDGET_PROBE.json
audit/board_vetting_20260908/lanes/DIGITAL_CAN_VETTING.md
audit/online_resolution_rvb21/firmware/NOTIFY_BACKPRESSURE_RESULTS.json
audit/online_resolution_rvb21/adc_fault/REVIEW.md
audit/online_resolution_rvb21/adc_fault/FOLLOWUP_REGRESSION_RESULTS.json
audit/online_resolution_rvb21/adc_fault/GPS_EPOCH_RESULTS.json</x:v>
      </x:c>
      <x:c r="J155" s="104" t="str">
        <x:v>New19actual-function tests verify synchronous rejection100msbackoff/latest cached retry/subscription guards/stale expiry/reserved credits. Target NimBLE blocking/callback ordering and real concurrency remain unverified.
Actual NimBLE blocking/callback/order, target concurrency and successful phone delivery remain external.</x:v>
      </x:c>
      <x:c r="K155" s="104" t="str">
        <x:v>FR-05, FR-08</x:v>
      </x:c>
    </x:row>
    <x:row r="156" ht="195" customHeight="1">
      <x:c r="A156" s="104" t="str">
        <x:v>BLE-06</x:v>
      </x:c>
      <x:c r="B156" s="104" t="str">
        <x:v>BLE RF and application transport</x:v>
      </x:c>
      <x:c r="C156" s="104" t="str">
        <x:v>VERIFIED</x:v>
      </x:c>
      <x:c r="D156" s="104" t="str">
        <x:v>Wrap-safe retry/state logic retained; phoneapp/background/screenlock/Bluetoothrestart matrix isprepared,notphysicallyexecuted.
The local characteristic value receives corrected invalid GPS fields when validity changes; this does not establish reconnect or app/background/screen-lock behavior.</x:v>
      </x:c>
      <x:c r="E156" s="104" t="str">
        <x:v>PENDING</x:v>
      </x:c>
      <x:c r="F156" s="104" t="str">
        <x:v>OPEN</x:v>
      </x:c>
      <x:c r="G156" s="104" t="str">
        <x:v>OPEN</x:v>
      </x:c>
      <x:c r="H156" s="104" t="str">
        <x:v>Native source/geometry checks, exact-source host tests or bounded models and controlled engineering disposition; specific evidence below. Original required evidence is preserved, not weakened.</x:v>
      </x:c>
      <x:c r="I15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56" s="104" t="str">
        <x:v>Out-of-range,screen lock,Bluetooth restart,app pause/reconnect matrix.
Actual phone reconnect/out-of-range/pause/restart matrix remains required.</x:v>
      </x:c>
      <x:c r="K156" s="104" t="str">
        <x:v>FR-05, FR-08</x:v>
      </x:c>
    </x:row>
    <x:row r="157" ht="195" customHeight="1">
      <x:c r="A157" s="104" t="str">
        <x:v>BLE-07</x:v>
      </x:c>
      <x:c r="B157" s="104" t="str">
        <x:v>BLE RF and application transport</x:v>
      </x:c>
      <x:c r="C157" s="104" t="str">
        <x:v>VERIFIED</x:v>
      </x:c>
      <x:c r="D157" s="104" t="str">
        <x:v>ExactpinnedNimBLE/versionbehavior andoldbondingworkaround arecontrolled; realphonepairing/bonding remainscompatibilityqualification.</x:v>
      </x:c>
      <x:c r="E157" s="104" t="str">
        <x:v>YES</x:v>
      </x:c>
      <x:c r="F157" s="104" t="str">
        <x:v>OPEN</x:v>
      </x:c>
      <x:c r="G157" s="104" t="str">
        <x:v>OPEN</x:v>
      </x:c>
      <x:c r="H157" s="104" t="str">
        <x:v>Native source/geometry checks, exact-source host tests or bounded models and controlled engineering disposition; specific evidence below. Original required evidence is preserved, not weakened.</x:v>
      </x:c>
      <x:c r="I15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7" s="104" t="str">
        <x:v>Exact target phone/RaceChrono regression evidence.</x:v>
      </x:c>
      <x:c r="K157" s="104" t="str">
        <x:v>FR-05, FR-08</x:v>
      </x:c>
    </x:row>
    <x:row r="158" ht="195" customHeight="1">
      <x:c r="A158" s="104" t="str">
        <x:v>BLE-08</x:v>
      </x:c>
      <x:c r="B158" s="104" t="str">
        <x:v>BLE RF and application transport</x:v>
      </x:c>
      <x:c r="C158" s="104" t="str">
        <x:v>VERIFIED</x:v>
      </x:c>
      <x:c r="D158" s="104" t="str">
        <x:v>SimultaneousESPburstallocation andCeff/droopscreen included; supply/ENoscilloscopecapturesnotmanufacturedbysimulation.</x:v>
      </x:c>
      <x:c r="E158" s="104" t="str">
        <x:v>YES</x:v>
      </x:c>
      <x:c r="F158" s="104" t="str">
        <x:v>OPEN</x:v>
      </x:c>
      <x:c r="G158" s="104" t="str">
        <x:v>OPEN</x:v>
      </x:c>
      <x:c r="H158" s="104" t="str">
        <x:v>Native source/geometry checks, exact-source host tests or bounded models and controlled engineering disposition; specific evidence below. Original required evidence is preserved, not weakened.</x:v>
      </x:c>
      <x:c r="I15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58" s="104" t="str">
        <x:v>Scope module3V3 and EN during advertising/connect/stream/load steps.</x:v>
      </x:c>
      <x:c r="K158" s="104" t="str">
        <x:v>FR-05, FR-08</x:v>
      </x:c>
    </x:row>
    <x:row r="159" ht="205" customHeight="1">
      <x:c r="A159" s="104" t="str">
        <x:v>BLE-09</x:v>
      </x:c>
      <x:c r="B159" s="104" t="str">
        <x:v>BLE RF and application transport</x:v>
      </x:c>
      <x:c r="C159" s="104" t="str">
        <x:v>VERIFIED</x:v>
      </x:c>
      <x:c r="D159" s="104" t="str">
        <x:v>The exact original asks for command permissions, malformed-input tests and separation from CAN transmission. The actual handler passed 316773 checks including 16640 invalid length/opcode cases and 200000 random writes. Existing release source/ELF has no CAN transmit API and R301 is absent. The stale remaining instruction asks to repeat completed malformed-handler testing.</x:v>
      </x:c>
      <x:c r="E159" s="104" t="str">
        <x:v>YES</x:v>
      </x:c>
      <x:c r="F159" s="104" t="str">
        <x:v>OPEN</x:v>
      </x:c>
      <x:c r="G159" s="104" t="str">
        <x:v>CLOSED</x:v>
      </x:c>
      <x:c r="H159" s="104" t="str">
        <x:v>actual application handler sanitizer tests plus release source/ELF permission inspection</x:v>
      </x:c>
      <x:c r="I15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
audit/online_resolution_rvb21/closure/ACCEPTANCE_CLARIFICATIONS.md
audit/online_resolution_rvb21/firmware/ACTUAL_SOURCE_TEST_RESULTS.json
audit/online_resolution_rvb21/firmware/RECOVERED_RELEASE_CHECKS.json
audit/online_resolution_rvb21/firmware/RECOVERED_BUILD_BINDING.json
audit/online_resolution_rvb21/firmware/FIRMWARE_VERIFICATION.md</x:v>
      </x:c>
      <x:c r="J159" s="104" t="str">
        <x:v>Confirm current-source applicability after any firmware adoption. FW-11 target concurrent-input behavior and CAN-02 independent bus observation remain open; no authentication certification is claimed.</x:v>
      </x:c>
      <x:c r="K159" s="104" t="str"/>
    </x:row>
    <x:row r="160" ht="195" customHeight="1">
      <x:c r="A160" s="104" t="str">
        <x:v>BLE-10</x:v>
      </x:c>
      <x:c r="B160" s="104" t="str">
        <x:v>BLE RF and application transport</x:v>
      </x:c>
      <x:c r="C160" s="104" t="str">
        <x:v>VERIFIED</x:v>
      </x:c>
      <x:c r="D160" s="104" t="str">
        <x:v>Market-specifichost/radioauthorizationneedsdistributionmarkets,antenna/enclosureconfiguration andqualifiedcompliancereview; moduleapprovalalonedoesnotcloserow.</x:v>
      </x:c>
      <x:c r="E160" s="104" t="str">
        <x:v>YES</x:v>
      </x:c>
      <x:c r="F160" s="104" t="str">
        <x:v>OPEN</x:v>
      </x:c>
      <x:c r="G160" s="104" t="str">
        <x:v>OPEN</x:v>
      </x:c>
      <x:c r="H160" s="104" t="str">
        <x:v>Native source/geometry checks, exact-source host tests or bounded models and controlled engineering disposition; specific evidence below. Original required evidence is preserved, not weakened.</x:v>
      </x:c>
      <x:c r="I16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audit/online_closure_20260908/simulations/rf/RESULTS.json
audit/online_closure_20260908/rf_ground/GEOMETRY_EVIDENCE.json
audit/online_closure_20260908/pcb/ADOPTED_CHANGE_RECORD.json
audit/online_resolution_rvb21/SOURCE_EFFECTIVITY.md
audit/online_resolution_rvb21/closure/CANDIDATE_DISPOSITIONS.json</x:v>
      </x:c>
      <x:c r="J160" s="104" t="str">
        <x:v>Qualified market-specific host integration and compliance evidence.</x:v>
      </x:c>
      <x:c r="K160" s="104" t="str">
        <x:v>FR-05, FR-08</x:v>
      </x:c>
    </x:row>
    <x:row r="161" ht="195" customHeight="1">
      <x:c r="A161" s="104" t="str">
        <x:v>MCU-01</x:v>
      </x:c>
      <x:c r="B161" s="104" t="str">
        <x:v>MCU, programming and debug</x:v>
      </x:c>
      <x:c r="C161" s="104" t="str">
        <x:v>VERIFIED</x:v>
      </x:c>
      <x:c r="D161" s="104" t="str">
        <x:v>ActualN8R2GPIO/pad/directioncontract regenerated; usedpins,EN,BOOT,UARToil/GPS/CANLEDs matchnativeandcompiledsource.</x:v>
      </x:c>
      <x:c r="E161" s="104" t="str">
        <x:v>YES</x:v>
      </x:c>
      <x:c r="F161" s="104" t="str">
        <x:v>CLOSED</x:v>
      </x:c>
      <x:c r="G161" s="104" t="str">
        <x:v>CLOSED</x:v>
      </x:c>
      <x:c r="H161" s="104" t="str">
        <x:v>Native source/geometry checks, exact-source host tests or bounded models and controlled engineering disposition; specific evidence below. Original required evidence is preserved, not weakened.</x:v>
      </x:c>
      <x:c r="I16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1" s="104" t="str">
        <x:v>Entire criterion addressed within its documentary/native design scope; no unperformed physical pass inferred.</x:v>
      </x:c>
      <x:c r="K161" s="104" t="str"/>
    </x:row>
    <x:row r="162" ht="195" customHeight="1">
      <x:c r="A162" s="104" t="str">
        <x:v>MCU-02</x:v>
      </x:c>
      <x:c r="B162" s="104" t="str">
        <x:v>MCU, programming and debug</x:v>
      </x:c>
      <x:c r="C162" s="104" t="str">
        <x:v>VERIFIED</x:v>
      </x:c>
      <x:c r="D162" s="104" t="str">
        <x:v>TC2030NLlocators/cableface/boardview andstraight-throughIDCpinmap remain explicit; actualadaptercontinuitystill needsfixture.</x:v>
      </x:c>
      <x:c r="E162" s="104" t="str">
        <x:v>YES</x:v>
      </x:c>
      <x:c r="F162" s="104" t="str">
        <x:v>OPEN</x:v>
      </x:c>
      <x:c r="G162" s="104" t="str">
        <x:v>OPEN</x:v>
      </x:c>
      <x:c r="H162" s="104" t="str">
        <x:v>Native source/geometry checks, exact-source host tests or bounded models and controlled engineering disposition; specific evidence below. Original required evidence is preserved, not weakened.</x:v>
      </x:c>
      <x:c r="I16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2" s="104" t="str">
        <x:v>Actual selected TC2030-IDC-NL adapter continuity including open-drain reset/boot.</x:v>
      </x:c>
      <x:c r="K162" s="104" t="str">
        <x:v>FR-05, FR-06</x:v>
      </x:c>
    </x:row>
    <x:row r="163" ht="195" customHeight="1">
      <x:c r="A163" s="104" t="str">
        <x:v>MCU-03</x:v>
      </x:c>
      <x:c r="B163" s="104" t="str">
        <x:v>MCU, programming and debug</x:v>
      </x:c>
      <x:c r="C163" s="104" t="str">
        <x:v>VERIFIED</x:v>
      </x:c>
      <x:c r="D163" s="104" t="str">
        <x:v>VTREFsenseonly,3.3Vlogic,open-drainEN/BOOT,correctUARTdirections andnoprog5Vboardfeed; drawingsandfixturecontractmatch.</x:v>
      </x:c>
      <x:c r="E163" s="104" t="str">
        <x:v>YES</x:v>
      </x:c>
      <x:c r="F163" s="104" t="str">
        <x:v>CLOSED</x:v>
      </x:c>
      <x:c r="G163" s="104" t="str">
        <x:v>CLOSED</x:v>
      </x:c>
      <x:c r="H163" s="104" t="str">
        <x:v>Native source/geometry checks, exact-source host tests or bounded models and controlled engineering disposition; specific evidence below. Original required evidence is preserved, not weakened.</x:v>
      </x:c>
      <x:c r="I16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3" s="104" t="str">
        <x:v>Entire criterion addressed within its documentary/native design scope; no unperformed physical pass inferred.</x:v>
      </x:c>
      <x:c r="K163" s="104" t="str"/>
    </x:row>
    <x:row r="164" ht="205" customHeight="1">
      <x:c r="A164" s="104" t="str">
        <x:v>MCU-04</x:v>
      </x:c>
      <x:c r="B164" s="104" t="str">
        <x:v>MCU, programming and debug</x:v>
      </x:c>
      <x:c r="C164" s="104" t="str">
        <x:v>VERIFIED</x:v>
      </x:c>
      <x:c r="D164" s="104" t="str">
        <x:v>EN/BOOTaccessiblethroughTagandmanualheaders; boot/programtruth table correct. Repeatedphysicalprogramming cannot beemulatedbycorrectpinmap. Candidate BOOT procedure now keeps GPIO0 low through supervisor recovery and at least3 ms after actual EN high until ROM download starts; manual EN sink must establish at least50 µs reset low.</x:v>
      </x:c>
      <x:c r="E164" s="104" t="str">
        <x:v>PENDING</x:v>
      </x:c>
      <x:c r="F164" s="104" t="str">
        <x:v>OPEN</x:v>
      </x:c>
      <x:c r="G164" s="104" t="str">
        <x:v>OPEN</x:v>
      </x:c>
      <x:c r="H164" s="104" t="str">
        <x:v>Native source/geometry checks, exact-source host tests or bounded models and controlled engineering disposition; specific evidence below. Original required evidence is preserved, not weakened.</x:v>
      </x:c>
      <x:c r="I16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
audit/online_resolution_rvb21/reset/RESET_REVIEW.md
audit/online_resolution_rvb21/reset/RESET_MODEL.json</x:v>
      </x:c>
      <x:c r="J164" s="104" t="str">
        <x:v>Native candidate adoption and actual adapter/reset/BOOT timing plus repeated programming cycles. Physical supervisor reset is not separately latched as a brownout cause.</x:v>
      </x:c>
      <x:c r="K164" s="104" t="str">
        <x:v>FR-05, FR-06</x:v>
      </x:c>
    </x:row>
    <x:row r="165" ht="195" customHeight="1">
      <x:c r="A165" s="104" t="str">
        <x:v>MCU-05</x:v>
      </x:c>
      <x:c r="B165" s="104" t="str">
        <x:v>MCU, programming and debug</x:v>
      </x:c>
      <x:c r="C165" s="104" t="str">
        <x:v>VERIFIED</x:v>
      </x:c>
      <x:c r="D165" s="104" t="str">
        <x:v>NativeTagpad/locator/probeclearance screened; actualselectedcableclip/installedaccess remainmechanicalvalidation.</x:v>
      </x:c>
      <x:c r="E165" s="104" t="str">
        <x:v>YES</x:v>
      </x:c>
      <x:c r="F165" s="104" t="str">
        <x:v>OPEN</x:v>
      </x:c>
      <x:c r="G165" s="104" t="str">
        <x:v>OPEN</x:v>
      </x:c>
      <x:c r="H165" s="104" t="str">
        <x:v>Native source/geometry checks, exact-source host tests or bounded models and controlled engineering disposition; specific evidence below. Original required evidence is preserved, not weakened.</x:v>
      </x:c>
      <x:c r="I16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5" s="104" t="str">
        <x:v>Complete selected cable/contact envelope and physical after-assembly access check.</x:v>
      </x:c>
      <x:c r="K165" s="104" t="str">
        <x:v>FR-05, FR-06</x:v>
      </x:c>
    </x:row>
    <x:row r="166" ht="195" customHeight="1">
      <x:c r="A166" s="104" t="str">
        <x:v>MCU-06</x:v>
      </x:c>
      <x:c r="B166" s="104" t="str">
        <x:v>MCU, programming and debug</x:v>
      </x:c>
      <x:c r="C166" s="104" t="str">
        <x:v>VERIFIED</x:v>
      </x:c>
      <x:c r="D166" s="104" t="str">
        <x:v>J202/J203electricallyoptionalRESET/BOOTduplicates,stillfactoryfitted. Tagcontainsrequiredsignals; noowner-solderoperation isneededfortheseheaders.</x:v>
      </x:c>
      <x:c r="E166" s="104" t="str">
        <x:v>YES</x:v>
      </x:c>
      <x:c r="F166" s="104" t="str">
        <x:v>CLOSED</x:v>
      </x:c>
      <x:c r="G166" s="104" t="str">
        <x:v>CLOSED</x:v>
      </x:c>
      <x:c r="H166" s="104" t="str">
        <x:v>Native source/geometry checks, exact-source host tests or bounded models and controlled engineering disposition; specific evidence below. Original required evidence is preserved, not weakened.</x:v>
      </x:c>
      <x:c r="I16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6" s="104" t="str">
        <x:v>Entire criterion addressed within its documentary/native design scope; no unperformed physical pass inferred.</x:v>
      </x:c>
      <x:c r="K166" s="104" t="str"/>
    </x:row>
    <x:row r="167" ht="195" customHeight="1">
      <x:c r="A167" s="104" t="str">
        <x:v>MCU-07</x:v>
      </x:c>
      <x:c r="B167" s="104" t="str">
        <x:v>MCU, programming and debug</x:v>
      </x:c>
      <x:c r="C167" s="104" t="str">
        <x:v>VERIFIED</x:v>
      </x:c>
      <x:c r="D167" s="104" t="str">
        <x:v>ROMdownloadmode remainsaccessibleindependentofapplication; exactsplit/mergedflashoffsetsverified. Interruptedflashingrecovery isapreparedphysicaltest.</x:v>
      </x:c>
      <x:c r="E167" s="104" t="str">
        <x:v>YES</x:v>
      </x:c>
      <x:c r="F167" s="104" t="str">
        <x:v>OPEN</x:v>
      </x:c>
      <x:c r="G167" s="104" t="str">
        <x:v>OPEN</x:v>
      </x:c>
      <x:c r="H167" s="104" t="str">
        <x:v>Native source/geometry checks, exact-source host tests or bounded models and controlled engineering disposition; specific evidence below. Original required evidence is preserved, not weakened.</x:v>
      </x:c>
      <x:c r="I16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7" s="104" t="str">
        <x:v>Actual interrupted-flash and invalid-app recovery cycles.</x:v>
      </x:c>
      <x:c r="K167" s="104" t="str">
        <x:v>FR-05, FR-06</x:v>
      </x:c>
    </x:row>
    <x:row r="168" ht="195" customHeight="1">
      <x:c r="A168" s="104" t="str">
        <x:v>MCU-08</x:v>
      </x:c>
      <x:c r="B168" s="104" t="str">
        <x:v>MCU, programming and debug</x:v>
      </x:c>
      <x:c r="C168" s="104" t="str">
        <x:v>VERIFIED</x:v>
      </x:c>
      <x:c r="D168" s="104" t="str">
        <x:v>Passivepopulation andsinglelisten-onlyreleasebuildboundservicepaths; programmingperformeddisconnectedfromvehicle,normaldefaultsrestored.</x:v>
      </x:c>
      <x:c r="E168" s="104" t="str">
        <x:v>YES</x:v>
      </x:c>
      <x:c r="F168" s="104" t="str">
        <x:v>CLOSED</x:v>
      </x:c>
      <x:c r="G168" s="104" t="str">
        <x:v>CLOSED</x:v>
      </x:c>
      <x:c r="H168" s="104" t="str">
        <x:v>Native source/geometry checks, exact-source host tests or bounded models and controlled engineering disposition; specific evidence below. Original required evidence is preserved, not weakened.</x:v>
      </x:c>
      <x:c r="I16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x:v>
      </x:c>
      <x:c r="J168" s="104" t="str">
        <x:v>Entire criterion addressed within its documentary/native design scope; no unperformed physical pass inferred.</x:v>
      </x:c>
      <x:c r="K168" s="104" t="str"/>
    </x:row>
    <x:row r="169" ht="195" customHeight="1">
      <x:c r="A169" s="104" t="str">
        <x:v>MCU-09</x:v>
      </x:c>
      <x:c r="B169" s="104" t="str">
        <x:v>MCU, programming and debug</x:v>
      </x:c>
      <x:c r="C169" s="104" t="str">
        <x:v>VERIFIED</x:v>
      </x:c>
      <x:c r="D169" s="104" t="str">
        <x:v>Bootstrappinsunloadedwithrequiredpulls;GPSstartupinputglitch/partialpower remainsdefinedrecovery/testingcondition.</x:v>
      </x:c>
      <x:c r="E169" s="104" t="str">
        <x:v>YES</x:v>
      </x:c>
      <x:c r="F169" s="104" t="str">
        <x:v>OPEN</x:v>
      </x:c>
      <x:c r="G169" s="104" t="str">
        <x:v>OPEN</x:v>
      </x:c>
      <x:c r="H169" s="104" t="str">
        <x:v>Native source/geometry checks, exact-source host tests or bounded models and controlled engineering disposition; specific evidence below. Original required evidence is preserved, not weakened.</x:v>
      </x:c>
      <x:c r="I16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x:v>
      </x:c>
      <x:c r="J169" s="104" t="str">
        <x:v>Verify startup with all attached peripherals and programmer in each allowed state.</x:v>
      </x:c>
      <x:c r="K169" s="104" t="str">
        <x:v>FR-05, FR-06</x:v>
      </x:c>
    </x:row>
    <x:row r="170" ht="271" customHeight="1">
      <x:c r="A170" s="104" t="str">
        <x:v>MCU-10</x:v>
      </x:c>
      <x:c r="B170" s="104" t="str">
        <x:v>MCU, programming and debug</x:v>
      </x:c>
      <x:c r="C170" s="104" t="str">
        <x:v>HOLD</x:v>
      </x:c>
      <x:c r="D170"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170" s="104" t="str">
        <x:v>PENDING</x:v>
      </x:c>
      <x:c r="F170" s="104" t="str">
        <x:v>OPEN</x:v>
      </x:c>
      <x:c r="G170" s="104" t="str">
        <x:v>OPEN</x:v>
      </x:c>
      <x:c r="H170" s="104" t="str">
        <x:v>Native source/geometry checks, exact-source host tests or bounded models and controlled engineering disposition; specific evidence below. Original required evidence is preserved, not weakened.</x:v>
      </x:c>
      <x:c r="I17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audit/board_vetting_20260908/lanes/mechanics_geometry/MECHANICAL_VETTING_GEOMETRY.json
audit/erb_20260907/F1_HARNESS_ASSEMBLY_SPEC.md
qualification/CONNECTOR_PLACED_VIEWS.pdf
audit/online_resolution_rvb21/SOURCE_EFFECTIVITY.md
audit/online_resolution_rvb21/closure/CANDIDATE_DISPOSITIONS.json
audit/board_vetting_20260908/lanes/DIGITAL_NATIVE_INSPECTION.json
firmware/productization_candidate/cca_telemetry/cca_telemetry.ino
firmware/productization_candidate/PROGRAMMING_AND_CALIBRATION.md
audit/board_vetting_20260908/lanes/DIGITAL_CALCULATIONS.json
audit/board_vetting_20260908/lanes/DIGITAL_CAN_VETTING.md
audit/online_resolution_rvb21/firmware/FIRMWARE_VERIFICATION.md
audit/online_resolution_rvb21/firmware/LOSS_OBSERVABILITY_RESULTS.json
audit/online_resolution_rvb21/firmware/CANDIDATE_SOURCE_CHECKS.json</x:v>
      </x:c>
      <x:c r="J170" s="104" t="str">
        <x:v>2.1.3source-candidate diagnostic fixes pass host checks; compiled2.1.2baseline still loses acquisition counts. Exact target compile/adoption and fault-to-indicator demonstration remain outstanding.</x:v>
      </x:c>
      <x:c r="K170" s="104" t="str">
        <x:v>FR-05, FR-06</x:v>
      </x:c>
    </x:row>
    <x:row r="171" ht="195" customHeight="1">
      <x:c r="A171" s="104" t="str">
        <x:v>FW-01</x:v>
      </x:c>
      <x:c r="B171" s="104" t="str">
        <x:v>Firmware, timing and data integrity</x:v>
      </x:c>
      <x:c r="C171" s="104" t="str">
        <x:v>VERIFIED</x:v>
      </x:c>
      <x:c r="D171" s="104" t="str">
        <x:v>Currentphysicalpin/polarity/scale/bootcontractexplicitlyreplaceshistoricalfirmwaredocument; originalRevAconstantsarenot silentlyreused.
Pins, wire field sizes, PID0x710 sentinel and calibration schema remain compatible; candidate recovery semantics hold the latest oil fault mask and GPS freshness uses accepted dated epochs. Candidate instructions explicitly distinguish those semantics from compiled2.1.2.</x:v>
      </x:c>
      <x:c r="E171" s="104" t="str">
        <x:v>YES</x:v>
      </x:c>
      <x:c r="F171" s="104" t="str">
        <x:v>CLOSED</x:v>
      </x:c>
      <x:c r="G171" s="104" t="str">
        <x:v>CLOSED</x:v>
      </x:c>
      <x:c r="H171" s="104" t="str">
        <x:v>Native source/geometry checks, exact-source host tests or bounded models and controlled engineering disposition; specific evidence below. Original required evidence is preserved, not weakened.</x:v>
      </x:c>
      <x:c r="I17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audit/online_resolution_rvb21/adc_fault/REVIEW.md
audit/online_resolution_rvb21/adc_fault/FOLLOWUP_REGRESSION_RESULTS.json
audit/online_resolution_rvb21/adc_fault/GPS_EPOCH_RESULTS.json</x:v>
      </x:c>
      <x:c r="J171" s="104" t="str">
        <x:v>Entire criterion addressed within its documentary/native design scope; no unperformed physical pass inferred.
No hardware/pin-contract closure is expanded to candidate execution.</x:v>
      </x:c>
      <x:c r="K171" s="104" t="str"/>
    </x:row>
    <x:row r="172" ht="195" customHeight="1">
      <x:c r="A172" s="104" t="str">
        <x:v>FW-02</x:v>
      </x:c>
      <x:c r="B172" s="104" t="str">
        <x:v>Firmware, timing and data integrity</x:v>
      </x:c>
      <x:c r="C172" s="104" t="str">
        <x:v>VERIFIED</x:v>
      </x:c>
      <x:c r="D172" s="104" t="str">
        <x:v>Inherited 2.1.2 build identity, source/image manifest and exact N8R2 target evidence are reverified. Native/embedded toolchains are unavailable in RVB-21; the staged 2.1.3 source remains unbuilt and cannot inherit the 2.1.2 compilation result.
Canonical compiled2.1.2 provenance remains intact. Final candidate is30source files, no images; prior28-file2.1.3snapshot is preserved and all original hashes verified.</x:v>
      </x:c>
      <x:c r="E172" s="104" t="str">
        <x:v>YES</x:v>
      </x:c>
      <x:c r="F172" s="104" t="str">
        <x:v>CLOSED</x:v>
      </x:c>
      <x:c r="G172" s="104" t="str">
        <x:v>CLOSED</x:v>
      </x:c>
      <x:c r="H172" s="104" t="str">
        <x:v>Native source/geometry checks, exact-source host tests or bounded models and controlled engineering disposition; specific evidence below. Original required evidence is preserved, not weakened.</x:v>
      </x:c>
      <x:c r="I17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audit/online_resolution_rvb21/firmware/RECOVERED_BUILD_BINDING.json
audit/online_resolution_rvb21/firmware/RECOVERED_RELEASE_CHECKS.json
audit/online_resolution_rvb21/runtime/RUNTIME_RECOVERY_RESULT.json
audit/online_resolution_rvb21/adc_fault/REVIEW.md
audit/online_resolution_rvb21/adc_fault/FOLLOWUP_REGRESSION_RESULTS.json
audit/online_resolution_rvb21/adc_fault/GPS_EPOCH_RESULTS.json</x:v>
      </x:c>
      <x:c r="J172" s="104" t="str">
        <x:v>Entire criterion addressed within its documentary/native design scope; no unperformed physical pass inferred.
Existing closure applies to canonical2.1.2 reproducible binary only. Candidate target compile and new source/image manifest remain pending.</x:v>
      </x:c>
      <x:c r="K172" s="104" t="str"/>
    </x:row>
    <x:row r="173" ht="260" customHeight="1">
      <x:c r="A173" s="104" t="str">
        <x:v>FW-03</x:v>
      </x:c>
      <x:c r="B173" s="104" t="str">
        <x:v>Firmware, timing and data integrity</x:v>
      </x:c>
      <x:c r="C173" s="104" t="str">
        <x:v>HOLD</x:v>
      </x:c>
      <x:c r="D173"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
New GPS epoch comparison and fault qualifier add fixed bounded source work; none proves target WCET. Full-line UART model at&lt;=5ms total service gap passes, and oil cadence900106assertions remain source-bound to final candidate.</x:v>
      </x:c>
      <x:c r="E173" s="104" t="str">
        <x:v>PENDING</x:v>
      </x:c>
      <x:c r="F173" s="104" t="str">
        <x:v>OPEN</x:v>
      </x:c>
      <x:c r="G173" s="104" t="str">
        <x:v>OPEN</x:v>
      </x:c>
      <x:c r="H173" s="104" t="str">
        <x:v>Native source/geometry checks, exact-source host tests or bounded models and controlled engineering disposition; specific evidence below. Original required evidence is preserved, not weakened.</x:v>
      </x:c>
      <x:c r="I173"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audit/online_resolution_rvb21/firmware/FIRMWARE_VERIFICATION.md
audit/online_resolution_rvb21/power_analog/OIL_SCHEDULER_TIMING.json
audit/online_resolution_rvb21/power_analog/OIL_SCHEDULER_PHASE_CANDIDATE.json
audit/online_resolution_rvb21/power_analog/REVIEW.md
audit/online_resolution_rvb21/firmware/OIL_CADENCE_CANDIDATE.json
audit/online_resolution_rvb21/adc_fault/REVIEW.md
audit/online_resolution_rvb21/adc_fault/FOLLOWUP_REGRESSION_RESULTS.json
audit/online_resolution_rvb21/adc_fault/GPS_EPOCH_RESULTS.json</x:v>
      </x:c>
      <x:c r="J173" s="104" t="str">
        <x:v>Actual source utility/scheduling evidence strengthened, but target FreeRTOS/NVS/radio WCET remains unmeasured and diagnostic2.1.3candidate still needs exact-target build/release.
The&lt;=5ms envelope includes complete simultaneous loop work; separate host passes cannot establish integrated worst-case target scheduling.</x:v>
      </x:c>
      <x:c r="K173" s="104" t="str">
        <x:v>FR-05</x:v>
      </x:c>
    </x:row>
    <x:row r="174" ht="195" customHeight="1">
      <x:c r="A174" s="104" t="str">
        <x:v>FW-04</x:v>
      </x:c>
      <x:c r="B174" s="104" t="str">
        <x:v>Firmware, timing and data integrity</x:v>
      </x:c>
      <x:c r="C174" s="104" t="str">
        <x:v>VERIFIED</x:v>
      </x:c>
      <x:c r="D174" s="104" t="str">
        <x:v>Fixedqueue/bufferandISRarchitecture retained; actualByteQueue/TokenBucket14.6Massertions plusUARTframingfuzz demonstrateboundedhostmemorybehavior.
Actual512-byte consumer and nominal2048-byte RX ring now have a full-line11520B/s queue model:&lt;=58arrivals per5ms, with612033host assertions. Deliberate178ms worst-phase empty-ring stalls demonstrate nominal overflow.</x:v>
      </x:c>
      <x:c r="E174" s="104" t="str">
        <x:v>PENDING</x:v>
      </x:c>
      <x:c r="F174" s="104" t="str">
        <x:v>OPEN</x:v>
      </x:c>
      <x:c r="G174" s="104" t="str">
        <x:v>OPEN</x:v>
      </x:c>
      <x:c r="H174" s="104" t="str">
        <x:v>Native source/geometry checks, exact-source host tests or bounded models and controlled engineering disposition; specific evidence below. Original required evidence is preserved, not weakened.</x:v>
      </x:c>
      <x:c r="I174"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4" s="104" t="str">
        <x:v>Size queue to agreed burst+delay envelope,instrument overflow,and stress load/heap/long run.
Driver usable capacity, FIFO/ISR latency, heap/long-duration behavior and real simultaneous stalls remain unverified.</x:v>
      </x:c>
      <x:c r="K174" s="104" t="str">
        <x:v>FR-05</x:v>
      </x:c>
    </x:row>
    <x:row r="175" ht="195" customHeight="1">
      <x:c r="A175" s="104" t="str">
        <x:v>FW-05</x:v>
      </x:c>
      <x:c r="B175" s="104" t="str">
        <x:v>Firmware, timing and data integrity</x:v>
      </x:c>
      <x:c r="C175" s="104" t="str">
        <x:v>VERIFIED</x:v>
      </x:c>
      <x:c r="D175" s="104" t="str">
        <x:v>Unsignedmilliswrap/tokenrefill/RTCbackofftestsanddefinedGPSPPSdomainsretained; nomisleadingglobalmonotonic-timeclaimacrosspowerloss.
Solution UTC/date and local monotonic millis reception/age are separated. Date-aware epoch ordering covers midnight/leap/year transitions; actual age checks cover millis rollover. Backward GPS epochs invalidate until a newer epoch than last accepted or MCU reboot; automatic probes do not rebaseline.</x:v>
      </x:c>
      <x:c r="E175" s="104" t="str">
        <x:v>PENDING</x:v>
      </x:c>
      <x:c r="F175" s="104" t="str">
        <x:v>OPEN</x:v>
      </x:c>
      <x:c r="G175" s="104" t="str">
        <x:v>OPEN</x:v>
      </x:c>
      <x:c r="H175" s="104" t="str">
        <x:v>Native source/geometry checks, exact-source host tests or bounded models and controlled engineering disposition; specific evidence below. Original required evidence is preserved, not weakened.</x:v>
      </x:c>
      <x:c r="I175"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5" s="104" t="str">
        <x:v>Retain the repaired token arithmetic; complete explicit timestamp-domain/wrap/reboot/GPS-loss tests and actual target latency/jitter validation.
No global monotonic clock across reboot, authenticated GNSS time, leap-second support beyond existing parser, or PPS phase accuracy is claimed.</x:v>
      </x:c>
      <x:c r="K175" s="104" t="str">
        <x:v>FR-05</x:v>
      </x:c>
    </x:row>
    <x:row r="176" ht="195" customHeight="1">
      <x:c r="A176" s="104" t="str">
        <x:v>FW-06</x:v>
      </x:c>
      <x:c r="B176" s="104" t="str">
        <x:v>Firmware, timing and data integrity</x:v>
      </x:c>
      <x:c r="C176" s="104" t="str">
        <x:v>VERIFIED</x:v>
      </x:c>
      <x:c r="D176" s="104" t="str">
        <x:v>Actualoilfaultsentinels,GPSinvalid/age andCANfreshness/cache tests preserveexplicitinvalidoutputs; phoneprotocolinterpretation needsend-to-endtesting.
Candidate oil faults encode0xFFFF through qualification and seed fresh pressure on clear. Duplicate/backward GPS epochs cannot renew old position validity; local expiry prepares invalid fields immediately rather than waiting for heartbeat. Actual service/encoding assertions cover both paths.</x:v>
      </x:c>
      <x:c r="E176" s="104" t="str">
        <x:v>PENDING</x:v>
      </x:c>
      <x:c r="F176" s="104" t="str">
        <x:v>OPEN</x:v>
      </x:c>
      <x:c r="G176" s="104" t="str">
        <x:v>OPEN</x:v>
      </x:c>
      <x:c r="H176" s="104" t="str">
        <x:v>Native source/geometry checks, exact-source host tests or bounded models and controlled engineering disposition; specific evidence below. Original required evidence is preserved, not weakened.</x:v>
      </x:c>
      <x:c r="I176"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76" s="104" t="str">
        <x:v>Exercise end-to-end stale/invalid/saturation and display semantics with target app.
No actual RaceChrono/phone interpretation, transport latency or physical acquisition freshness is established.</x:v>
      </x:c>
      <x:c r="K176" s="104" t="str">
        <x:v>FR-05</x:v>
      </x:c>
    </x:row>
    <x:row r="177" ht="195" customHeight="1">
      <x:c r="A177" s="104" t="str">
        <x:v>FW-07</x:v>
      </x:c>
      <x:c r="B177" s="104" t="str">
        <x:v>Firmware, timing and data integrity</x:v>
      </x:c>
      <x:c r="C177" s="104" t="str">
        <x:v>VERIFIED</x:v>
      </x:c>
      <x:c r="D177" s="104" t="str">
        <x:v>Runtimeconfig atomicrecord/schema/CRC andcalibrationidentityvalidationretained; actualflash interruption/wear behavior not inferredfromhostserialization.</x:v>
      </x:c>
      <x:c r="E177" s="104" t="str">
        <x:v>YES</x:v>
      </x:c>
      <x:c r="F177" s="104" t="str">
        <x:v>OPEN</x:v>
      </x:c>
      <x:c r="G177" s="104" t="str">
        <x:v>OPEN</x:v>
      </x:c>
      <x:c r="H177" s="104" t="str">
        <x:v>Native source/geometry checks, exact-source host tests or bounded models and controlled engineering disposition; specific evidence below. Original required evidence is preserved, not weakened.</x:v>
      </x:c>
      <x:c r="I177"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77" s="104" t="str">
        <x:v>Power-cut interrupted-write and recovery campaign on realNVS.</x:v>
      </x:c>
      <x:c r="K177" s="104" t="str">
        <x:v>FR-05</x:v>
      </x:c>
    </x:row>
    <x:row r="178" ht="195" customHeight="1">
      <x:c r="A178" s="104" t="str">
        <x:v>FW-08</x:v>
      </x:c>
      <x:c r="B178" s="104" t="str">
        <x:v>Firmware, timing and data integrity</x:v>
      </x:c>
      <x:c r="C178" s="104" t="str">
        <x:v>VERIFIED</x:v>
      </x:c>
      <x:c r="D178" s="104" t="str">
        <x:v>Wrong-board/schema/CRCcalibrationisrejectedandobservable; currentRevBbinarydoesnotuseoldunboundcalibration.</x:v>
      </x:c>
      <x:c r="E178" s="104" t="str">
        <x:v>PENDING</x:v>
      </x:c>
      <x:c r="F178" s="104" t="str">
        <x:v>OPEN</x:v>
      </x:c>
      <x:c r="G178" s="104" t="str">
        <x:v>OPEN</x:v>
      </x:c>
      <x:c r="H178" s="104" t="str">
        <x:v>Native source/geometry checks, exact-source host tests or bounded models and controlled engineering disposition; specific evidence below. Original required evidence is preserved, not weakened.</x:v>
      </x:c>
      <x:c r="I178"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78" s="104" t="str">
        <x:v>Control assembly/flash station effectivity and test wrongcalibration/wrongimage recovery; state no automatic physical-revision identification.</x:v>
      </x:c>
      <x:c r="K178" s="104" t="str">
        <x:v>FR-05</x:v>
      </x:c>
    </x:row>
    <x:row r="179" ht="238" customHeight="1">
      <x:c r="A179" s="104" t="str">
        <x:v>FW-09</x:v>
      </x:c>
      <x:c r="B179" s="104" t="str">
        <x:v>Firmware, timing and data integrity</x:v>
      </x:c>
      <x:c r="C179" s="104" t="str">
        <x:v>HOLD</x:v>
      </x:c>
      <x:c r="D179"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
Adds boot-lifetime saturating duplicate/backward RMC epoch counters and accepted-solution age in SHOW STATS, separate from sentence reception age and UART loss. Existing CAN loss/notify/cadence reports rerun against final source.</x:v>
      </x:c>
      <x:c r="E179" s="104" t="str">
        <x:v>PENDING</x:v>
      </x:c>
      <x:c r="F179" s="104" t="str">
        <x:v>OPEN</x:v>
      </x:c>
      <x:c r="G179" s="104" t="str">
        <x:v>OPEN</x:v>
      </x:c>
      <x:c r="H179" s="104" t="str">
        <x:v>Native source/geometry checks, exact-source host tests or bounded models and controlled engineering disposition; specific evidence below. Original required evidence is preserved, not weakened.</x:v>
      </x:c>
      <x:c r="I179"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audit/board_vetting_20260908/lanes/DIGITAL_NATIVE_INSPECTION.json
firmware/productization_candidate/cca_telemetry/cca_telemetry.ino
BRING_UP_PLAN.md
audit/board_vetting_20260908/lanes/DIGITAL_CALCULATIONS.json
audit/board_vetting_20260908/lanes/DIGITAL_CAN_VETTING.md
audit/online_resolution_rvb21/firmware/LOSS_OBSERVABILITY_RESULTS.json
audit/online_resolution_rvb21/firmware/FIRMWARE_VERIFICATION.md
audit/online_resolution_rvb21/firmware/CANDIDATE_SOURCE_CHECKS.json
audit/online_resolution_rvb21/adc_fault/REVIEW.md
audit/online_resolution_rvb21/adc_fault/FOLLOWUP_REGRESSION_RESULTS.json
audit/online_resolution_rvb21/adc_fault/GPS_EPOCH_RESULTS.json</x:v>
      </x:c>
      <x:c r="J179" s="104" t="str">
        <x:v>Corrected source preserves counters across epochs and includes FIFO-overrun/queue observations; it is staged2.1.3,not the compiled2.1.2release. Target build/adoption and independent source/analyzer reconciliation remain open.
These counters are observed protocol events, not counts of physical lost fixes or proof of independent analyzer reconciliation.</x:v>
      </x:c>
      <x:c r="K179" s="104" t="str">
        <x:v>FR-05</x:v>
      </x:c>
    </x:row>
    <x:row r="180" ht="195" customHeight="1">
      <x:c r="A180" s="104" t="str">
        <x:v>FW-10</x:v>
      </x:c>
      <x:c r="B180" s="104" t="str">
        <x:v>Firmware, timing and data integrity</x:v>
      </x:c>
      <x:c r="C180" s="104" t="str">
        <x:v>VERIFIED</x:v>
      </x:c>
      <x:c r="D180" s="104" t="str">
        <x:v>SourceandELFcontainreceivebutnoTXAPI; R301physicalopen defeatsGPIOdrive. Hardwarebusshortsremainexternalfaults.</x:v>
      </x:c>
      <x:c r="E180" s="104" t="str">
        <x:v>YES</x:v>
      </x:c>
      <x:c r="F180" s="104" t="str">
        <x:v>OPEN</x:v>
      </x:c>
      <x:c r="G180" s="104" t="str">
        <x:v>OPEN</x:v>
      </x:c>
      <x:c r="H180" s="104" t="str">
        <x:v>Native source/geometry checks, exact-source host tests or bounded models and controlled engineering disposition; specific evidence below. Original required evidence is preserved, not weakened.</x:v>
      </x:c>
      <x:c r="I180"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180" s="104" t="str">
        <x:v>Independent bus observation across startup/flash/recovery/malformedinput states.</x:v>
      </x:c>
      <x:c r="K180" s="104" t="str">
        <x:v>FR-05</x:v>
      </x:c>
    </x:row>
    <x:row r="181" ht="195" customHeight="1">
      <x:c r="A181" s="104" t="str">
        <x:v>FW-11</x:v>
      </x:c>
      <x:c r="B181" s="104" t="str">
        <x:v>Firmware, timing and data integrity</x:v>
      </x:c>
      <x:c r="C181" s="104" t="str">
        <x:v>VERIFIED</x:v>
      </x:c>
      <x:c r="D181" s="104" t="str">
        <x:v>ActualBLElength/opcodefuzzand10.24MBGPSframingfuzzpassASAN/UBSAN; noheap/bufferbugfoundwithinthesescope-limitedhostcases.
Existing parser bytes are unchanged; epoch handling consumes only checksum/field-validated RMC objects. New actual parser/service/notification tests run with ASAN/UBSAN and cover duplicate/backward/invalid-status state paths.</x:v>
      </x:c>
      <x:c r="E181" s="104" t="str">
        <x:v>PENDING</x:v>
      </x:c>
      <x:c r="F181" s="104" t="str">
        <x:v>OPEN</x:v>
      </x:c>
      <x:c r="G181" s="104" t="str">
        <x:v>OPEN</x:v>
      </x:c>
      <x:c r="H181" s="104" t="str">
        <x:v>Native source/geometry checks, exact-source host tests or bounded models and controlled engineering disposition; specific evidence below. Original required evidence is preserved, not weakened.</x:v>
      </x:c>
      <x:c r="I181"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181" s="104" t="str">
        <x:v>Fuzz representative raw UART/CAN/BLE streams and concurrent startup/reconnect; count overflow/rejection.
No broader target concurrency, radio callback or universal malformed-stream acceptance claim.</x:v>
      </x:c>
      <x:c r="K181" s="104" t="str">
        <x:v>FR-05</x:v>
      </x:c>
    </x:row>
    <x:row r="182" ht="195" customHeight="1">
      <x:c r="A182" s="104" t="str">
        <x:v>FW-12</x:v>
      </x:c>
      <x:c r="B182" s="104" t="str">
        <x:v>Firmware, timing and data integrity</x:v>
      </x:c>
      <x:c r="C182" s="104" t="str">
        <x:v>VERIFIED</x:v>
      </x:c>
      <x:c r="D182" s="104" t="str">
        <x:v>Unmodifiedoldfirmware isnotapproved: RevBneedsGPIO2ratiometriccalibration,LEDstraps,passiveCAN,GPSlogic andnewdiagnostic/timingbehavior. Pincontinuitydoesnotestablishbinarycompatibility.</x:v>
      </x:c>
      <x:c r="E182" s="104" t="str">
        <x:v>YES</x:v>
      </x:c>
      <x:c r="F182" s="104" t="str">
        <x:v>CLOSED</x:v>
      </x:c>
      <x:c r="G182" s="104" t="str">
        <x:v>CLOSED</x:v>
      </x:c>
      <x:c r="H182" s="104" t="str">
        <x:v>Native source/geometry checks, exact-source host tests or bounded models and controlled engineering disposition; specific evidence below. Original required evidence is preserved, not weakened.</x:v>
      </x:c>
      <x:c r="I182" s="162" t="str">
        <x:v>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182" s="104" t="str">
        <x:v>Entire criterion addressed within its documentary/native design scope; no unperformed physical pass inferred.</x:v>
      </x:c>
      <x:c r="K182" s="104" t="str"/>
    </x:row>
    <x:row r="183" ht="195" customHeight="1">
      <x:c r="A183" s="104" t="str">
        <x:v>HAR-01</x:v>
      </x:c>
      <x:c r="B183" s="104" t="str">
        <x:v>Connectors and harness</x:v>
      </x:c>
      <x:c r="C183" s="104" t="str">
        <x:v>DESIGN INTENT</x:v>
      </x:c>
      <x:c r="D183" s="104" t="str">
        <x:v>ExacttinMolex0430451200/0430251200/0430300007or0001identitiescontrolled;oldgoldfinishsystemsuperseded.</x:v>
      </x:c>
      <x:c r="E183" s="104" t="str">
        <x:v>YES</x:v>
      </x:c>
      <x:c r="F183" s="104" t="str">
        <x:v>CLOSED</x:v>
      </x:c>
      <x:c r="G183" s="104" t="str">
        <x:v>CLOSED</x:v>
      </x:c>
      <x:c r="H183" s="104" t="str">
        <x:v>Native source/geometry checks, exact-source host tests or bounded models and controlled engineering disposition; specific evidence below. Original required evidence is preserved, not weakened.</x:v>
      </x:c>
      <x:c r="I183"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83" s="104" t="str">
        <x:v>Entire criterion addressed within its documentary/native design scope; no unperformed physical pass inferred.</x:v>
      </x:c>
      <x:c r="K183" s="104" t="str"/>
    </x:row>
    <x:row r="184" ht="195" customHeight="1">
      <x:c r="A184" s="104" t="str">
        <x:v>HAR-02</x:v>
      </x:c>
      <x:c r="B184" s="104" t="str">
        <x:v>Connectors and harness</x:v>
      </x:c>
      <x:c r="C184" s="104" t="str">
        <x:v>DESIGN INTENT</x:v>
      </x:c>
      <x:c r="D184" s="104" t="str">
        <x:v>Allfiveviews/latch/cavitynumbersareconsistentwithnativeplacedpads; actualmoldedhousingandfinishedharnesscontinuityremainphysical.</x:v>
      </x:c>
      <x:c r="E184" s="104" t="str">
        <x:v>YES</x:v>
      </x:c>
      <x:c r="F184" s="104" t="str">
        <x:v>OPEN</x:v>
      </x:c>
      <x:c r="G184" s="104" t="str">
        <x:v>OPEN</x:v>
      </x:c>
      <x:c r="H184" s="104" t="str">
        <x:v>Native source/geometry checks, exact-source host tests or bounded models and controlled engineering disposition; specific evidence below. Original required evidence is preserved, not weakened.</x:v>
      </x:c>
      <x:c r="I184"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4" s="104" t="str">
        <x:v>Finished harness must be checked against all numbered cavities, not wire color.</x:v>
      </x:c>
      <x:c r="K184" s="104" t="str">
        <x:v>FR-04, FR-06</x:v>
      </x:c>
    </x:row>
    <x:row r="185" ht="195" customHeight="1">
      <x:c r="A185" s="104" t="str">
        <x:v>HAR-03</x:v>
      </x:c>
      <x:c r="B185" s="104" t="str">
        <x:v>Connectors and harness</x:v>
      </x:c>
      <x:c r="C185" s="104" t="str">
        <x:v>DESIGN INTENT</x:v>
      </x:c>
      <x:c r="D185" s="104" t="str">
        <x:v>F1.5CANL/.6CANH/.7signal/.8sensor5V/.9sensorGNDretained; .4IGNand.11formerGNDnowNC; .3mustbefusedswitchedfeed.</x:v>
      </x:c>
      <x:c r="E185" s="104" t="str">
        <x:v>YES</x:v>
      </x:c>
      <x:c r="F185" s="104" t="str">
        <x:v>CLOSED</x:v>
      </x:c>
      <x:c r="G185" s="104" t="str">
        <x:v>CLOSED</x:v>
      </x:c>
      <x:c r="H185" s="104" t="str">
        <x:v>Native source/geometry checks, exact-source host tests or bounded models and controlled engineering disposition; specific evidence below. Original required evidence is preserved, not weakened.</x:v>
      </x:c>
      <x:c r="I185"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85" s="104" t="str">
        <x:v>Entire criterion addressed within its documentary/native design scope; no unperformed physical pass inferred.</x:v>
      </x:c>
      <x:c r="K185" s="104" t="str"/>
    </x:row>
    <x:row r="186" ht="195" customHeight="1">
      <x:c r="A186" s="104" t="str">
        <x:v>HAR-04</x:v>
      </x:c>
      <x:c r="B186" s="104" t="str">
        <x:v>Connectors and harness</x:v>
      </x:c>
      <x:c r="C186" s="104" t="str">
        <x:v>CALCULATED / CONDITIONAL CANDIDATE</x:v>
      </x:c>
      <x:c r="D186" s="104" t="str">
        <x:v>Selected conditional construction: Alpha 5856 20 AWG input/return and 5855 22 AWG oil wires fit the terminal maximum insulation diameter. Each 2.5 m oil path at 65 C plus 0.04 Ω contact/splice allocation is 0.17514 Ω versus 0.20 Ω requirement. Belden 9841 24 AWG is a documented CAN candidate deviation with 120 Ω nominal impedance and 0.30 m tap; exact source-fuse and wire-fault bounds are provided.</x:v>
      </x:c>
      <x:c r="E186" s="104" t="str">
        <x:v>PENDING</x:v>
      </x:c>
      <x:c r="F186" s="104" t="str">
        <x:v>OPEN</x:v>
      </x:c>
      <x:c r="G186" s="104" t="str">
        <x:v>OPEN</x:v>
      </x:c>
      <x:c r="H186" s="104" t="str">
        <x:v>Source inspection, implemented candidate and/or bounded model; see lane-specific method and limitations.</x:v>
      </x:c>
      <x:c r="I186"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audit/online_resolution_rvb21/accessories/REVIEW.md
audit/online_resolution_rvb21/accessories/ACCESSORY_BOUNDS.json
audit/online_resolution_rvb21/accessories/RF_ACCESSORY_SENSITIVITY.json
audit/online_resolution_rvb21/accessories/ROW_UPDATES.json</x:v>
      </x:c>
      <x:c r="J186" s="104" t="str">
        <x:v>Adopt actual lengths, contact/splice resistance, source fuse/holder thermal and full-clearing limits; qualify CAN wire deviation, maximum insulation, final crimp and installed-temperature/bundle conditions.</x:v>
      </x:c>
      <x:c r="K186" s="104" t="str">
        <x:v>FR-04, FR-06</x:v>
      </x:c>
    </x:row>
    <x:row r="187" ht="195" customHeight="1">
      <x:c r="A187" s="104" t="str">
        <x:v>HAR-05</x:v>
      </x:c>
      <x:c r="B187" s="104" t="str">
        <x:v>Connectors and harness</x:v>
      </x:c>
      <x:c r="C187" s="104" t="str">
        <x:v>DESIGN INTENT</x:v>
      </x:c>
      <x:c r="D187" s="104" t="str">
        <x:v>Exactterminalfamilyselected; manufacturer-qualifiedcrimpwire/toolsettingsandpulltestcannotbeinventedfromgauges. Constructioninstructionincludesrequiredrecords.</x:v>
      </x:c>
      <x:c r="E187" s="104" t="str">
        <x:v>PENDING</x:v>
      </x:c>
      <x:c r="F187" s="104" t="str">
        <x:v>OPEN</x:v>
      </x:c>
      <x:c r="G187" s="104" t="str">
        <x:v>OPEN</x:v>
      </x:c>
      <x:c r="H187" s="104" t="str">
        <x:v>Native source/geometry checks, exact-source host tests or bounded models and controlled engineering disposition; specific evidence below. Original required evidence is preserved, not weakened.</x:v>
      </x:c>
      <x:c r="I187"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7" s="104" t="str">
        <x:v>Exact wire/tool setup and measured retention/pull evidence.</x:v>
      </x:c>
      <x:c r="K187" s="104" t="str">
        <x:v>FR-04, FR-06</x:v>
      </x:c>
    </x:row>
    <x:row r="188" ht="195" customHeight="1">
      <x:c r="A188" s="104" t="str">
        <x:v>HAR-06</x:v>
      </x:c>
      <x:c r="B188" s="104" t="str">
        <x:v>Connectors and harness</x:v>
      </x:c>
      <x:c r="C188" s="104" t="str">
        <x:v>VERIFIED</x:v>
      </x:c>
      <x:c r="D188" s="104" t="str">
        <x:v>Original required evidence is a harness routing/drawing SPECIFICATION of pair handling and maximum branch geometry. The addendum makes the existing 0.30 m summed branch/15 mm untwist/120-ohm pair/F1.5-F1.6 requirements explicit as construction instructions. Actual OEM endpoint and finished-harness checks remain in separate original rows.</x:v>
      </x:c>
      <x:c r="E188" s="104" t="str">
        <x:v>YES</x:v>
      </x:c>
      <x:c r="F188" s="104" t="str">
        <x:v>OPEN</x:v>
      </x:c>
      <x:c r="G188" s="104" t="str">
        <x:v>CLOSED</x:v>
      </x:c>
      <x:c r="H188" s="104" t="str">
        <x:v>documented harness interface definition</x:v>
      </x:c>
      <x:c r="I188"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audit/online_resolution_rvb21/closure/ACCEPTANCE_CLARIFICATIONS.md</x:v>
      </x:c>
      <x:c r="J188" s="104" t="str">
        <x:v>Actual cable identity, OEM bus splice, finished length and continuity are still required under REQ-02, CAN-06 and HAR-02/04/05/09.</x:v>
      </x:c>
      <x:c r="K188" s="104" t="str"/>
    </x:row>
    <x:row r="189" ht="195" customHeight="1">
      <x:c r="A189" s="104" t="str">
        <x:v>HAR-07</x:v>
      </x:c>
      <x:c r="B189" s="104" t="str">
        <x:v>Connectors and harness</x:v>
      </x:c>
      <x:c r="C189" s="104" t="str">
        <x:v>DESIGN INTENT</x:v>
      </x:c>
      <x:c r="D189" s="104" t="str">
        <x:v>16nearest-padbridgecasesremaintraced;power-toGNDprotectedbyupstreamfuse,oilH/Lshortsnotuniversallybenign. Keyingdoesnotmakewrongvoltageimpossible.</x:v>
      </x:c>
      <x:c r="E189" s="104" t="str">
        <x:v>PENDING</x:v>
      </x:c>
      <x:c r="F189" s="104" t="str">
        <x:v>OPEN</x:v>
      </x:c>
      <x:c r="G189" s="104" t="str">
        <x:v>OPEN</x:v>
      </x:c>
      <x:c r="H189" s="104" t="str">
        <x:v>Native source/geometry checks, exact-source host tests or bounded models and controlled engineering disposition; specific evidence below. Original required evidence is preserved, not weakened.</x:v>
      </x:c>
      <x:c r="I189"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89" s="104" t="str">
        <x:v>Resolve upstream protection, exact sensor back-drive, vehicle ground return and protected harness fixture acceptance.</x:v>
      </x:c>
      <x:c r="K189" s="104" t="str">
        <x:v>FR-04, FR-06</x:v>
      </x:c>
    </x:row>
    <x:row r="190" ht="195" customHeight="1">
      <x:c r="A190" s="104" t="str">
        <x:v>HAR-08</x:v>
      </x:c>
      <x:c r="B190" s="104" t="str">
        <x:v>Connectors and harness</x:v>
      </x:c>
      <x:c r="C190" s="104" t="str">
        <x:v>DESIGN INTENT</x:v>
      </x:c>
      <x:c r="D190" s="104" t="str">
        <x:v>Only1,2,3,5,6,7,8,9populatedharnesscavities;4,10,11,12empty/NC. Noenergizedsparesorimplicitchassisvariant.</x:v>
      </x:c>
      <x:c r="E190" s="104" t="str">
        <x:v>YES</x:v>
      </x:c>
      <x:c r="F190" s="104" t="str">
        <x:v>CLOSED</x:v>
      </x:c>
      <x:c r="G190" s="104" t="str">
        <x:v>CLOSED</x:v>
      </x:c>
      <x:c r="H190" s="104" t="str">
        <x:v>Native source/geometry checks, exact-source host tests or bounded models and controlled engineering disposition; specific evidence below. Original required evidence is preserved, not weakened.</x:v>
      </x:c>
      <x:c r="I190"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90" s="104" t="str">
        <x:v>Entire criterion addressed within its documentary/native design scope; no unperformed physical pass inferred.</x:v>
      </x:c>
      <x:c r="K190" s="104" t="str"/>
    </x:row>
    <x:row r="191" ht="195" customHeight="1">
      <x:c r="A191" s="104" t="str">
        <x:v>HAR-09</x:v>
      </x:c>
      <x:c r="B191" s="104" t="str">
        <x:v>Connectors and harness</x:v>
      </x:c>
      <x:c r="C191" s="104" t="str">
        <x:v>DESIGN INTENT</x:v>
      </x:c>
      <x:c r="D191" s="104" t="str">
        <x:v>Carrier/harness/coaxmustcarrystrainindependentlyofCCA; actualbendradius/anchor/serviceloopdictatedbyselectedwireandinstallation.</x:v>
      </x:c>
      <x:c r="E191" s="104" t="str">
        <x:v>YES</x:v>
      </x:c>
      <x:c r="F191" s="104" t="str">
        <x:v>OPEN</x:v>
      </x:c>
      <x:c r="G191" s="104" t="str">
        <x:v>OPEN</x:v>
      </x:c>
      <x:c r="H191" s="104" t="str">
        <x:v>Native source/geometry checks, exact-source host tests or bounded models and controlled engineering disposition; specific evidence below. Original required evidence is preserved, not weakened.</x:v>
      </x:c>
      <x:c r="I191"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1" s="104" t="str">
        <x:v>Actual strain relief, cable bend radius, service loop and vibration retention.</x:v>
      </x:c>
      <x:c r="K191" s="104" t="str">
        <x:v>FR-04, FR-06</x:v>
      </x:c>
    </x:row>
    <x:row r="192" ht="195" customHeight="1">
      <x:c r="A192" s="104" t="str">
        <x:v>HAR-10</x:v>
      </x:c>
      <x:c r="B192" s="104" t="str">
        <x:v>Connectors and harness</x:v>
      </x:c>
      <x:c r="C192" s="104" t="str">
        <x:v>DESIGN INTENT</x:v>
      </x:c>
      <x:c r="D192" s="104" t="str">
        <x:v>F1pin1/functions andprobelegendsreadableincontrolleddrawing; actualinstalledaccess/latch/labelvisibilityremainfitchecks.</x:v>
      </x:c>
      <x:c r="E192" s="104" t="str">
        <x:v>YES</x:v>
      </x:c>
      <x:c r="F192" s="104" t="str">
        <x:v>OPEN</x:v>
      </x:c>
      <x:c r="G192" s="104" t="str">
        <x:v>OPEN</x:v>
      </x:c>
      <x:c r="H192" s="104" t="str">
        <x:v>Native source/geometry checks, exact-source host tests or bounded models and controlled engineering disposition; specific evidence below. Original required evidence is preserved, not weakened.</x:v>
      </x:c>
      <x:c r="I192"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2" s="104" t="str">
        <x:v>Installed readability and troubleshooting access demonstration.</x:v>
      </x:c>
      <x:c r="K192" s="104" t="str">
        <x:v>FR-04, FR-06</x:v>
      </x:c>
    </x:row>
    <x:row r="193" ht="195" customHeight="1">
      <x:c r="A193" s="104" t="str">
        <x:v>MECH-01</x:v>
      </x:c>
      <x:c r="B193" s="104" t="str">
        <x:v>Mechanical fit and installation</x:v>
      </x:c>
      <x:c r="C193" s="104" t="str">
        <x:v>CONDITIONAL_CARRIER_CANDIDATE</x:v>
      </x:c>
      <x:c r="D193"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3" s="104" t="str">
        <x:v>PENDING</x:v>
      </x:c>
      <x:c r="F193" s="104" t="str">
        <x:v>OPEN</x:v>
      </x:c>
      <x:c r="G193" s="104" t="str">
        <x:v>OPEN</x:v>
      </x:c>
      <x:c r="H193" s="104" t="str">
        <x:v>Source inspection, implemented candidate and/or bounded model; see lane-specific method and limitations.</x:v>
      </x:c>
      <x:c r="I193"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3" s="104" t="str">
        <x:v>Full populated STEP and actual enclosure/vehicle mount/plug/tool/cable geometry, native CAD solid validation, positive XY retention and installed fit.</x:v>
      </x:c>
      <x:c r="K193" s="104" t="str">
        <x:v>FR-06</x:v>
      </x:c>
    </x:row>
    <x:row r="194" ht="195" customHeight="1">
      <x:c r="A194" s="104" t="str">
        <x:v>MECH-02</x:v>
      </x:c>
      <x:c r="B194" s="104" t="str">
        <x:v>Mechanical fit and installation</x:v>
      </x:c>
      <x:c r="C194" s="104" t="str">
        <x:v>DESIGN INTENT</x:v>
      </x:c>
      <x:c r="D194" s="104" t="str">
        <x:v>Outline88.254766x41.288863mmretained;F1rotated/repositioned,ESPoverhang6mm,two-sidedpopulationand~94.985mmenvelopeareexplicitdeltas.</x:v>
      </x:c>
      <x:c r="E194" s="104" t="str">
        <x:v>YES</x:v>
      </x:c>
      <x:c r="F194" s="104" t="str">
        <x:v>CLOSED</x:v>
      </x:c>
      <x:c r="G194" s="104" t="str">
        <x:v>CLOSED</x:v>
      </x:c>
      <x:c r="H194" s="104" t="str">
        <x:v>Native source/geometry checks, exact-source host tests or bounded models and controlled engineering disposition; specific evidence below. Original required evidence is preserved, not weakened.</x:v>
      </x:c>
      <x:c r="I194"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x:v>
      </x:c>
      <x:c r="J194" s="104" t="str">
        <x:v>Entire criterion addressed within its documentary/native design scope; no unperformed physical pass inferred.</x:v>
      </x:c>
      <x:c r="K194" s="104" t="str"/>
    </x:row>
    <x:row r="195" ht="195" customHeight="1">
      <x:c r="A195" s="104" t="str">
        <x:v>MECH-03</x:v>
      </x:c>
      <x:c r="B195" s="104" t="str">
        <x:v>Mechanical fit and installation</x:v>
      </x:c>
      <x:c r="C195" s="104" t="str">
        <x:v>CONDITIONAL_CARRIER_CANDIDATE</x:v>
      </x:c>
      <x:c r="D195"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5" s="104" t="str">
        <x:v>PENDING</x:v>
      </x:c>
      <x:c r="F195" s="104" t="str">
        <x:v>OPEN</x:v>
      </x:c>
      <x:c r="G195" s="104" t="str">
        <x:v>OPEN</x:v>
      </x:c>
      <x:c r="H195" s="104" t="str">
        <x:v>Source inspection, implemented candidate and/or bounded model; see lane-specific method and limitations.</x:v>
      </x:c>
      <x:c r="I195"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5" s="104" t="str">
        <x:v>Complete tolerated component/lead/solder/warp/fastener and actual housing stack;6mmunder/16mmabove remain allocations.</x:v>
      </x:c>
      <x:c r="K195" s="104" t="str">
        <x:v>FR-06</x:v>
      </x:c>
    </x:row>
    <x:row r="196" ht="195" customHeight="1">
      <x:c r="A196" s="104" t="str">
        <x:v>MECH-04</x:v>
      </x:c>
      <x:c r="B196" s="104" t="str">
        <x:v>Mechanical fit and installation</x:v>
      </x:c>
      <x:c r="C196" s="104" t="str">
        <x:v>DESIGN INTENT</x:v>
      </x:c>
      <x:c r="D196" s="104" t="str">
        <x:v>BottomSMTfirst/topsecond,ESPonlysecondpass;F1/headersfactorylocal/selectivesolder. Actualsupplierprofile/support/AOIacceptancepending.</x:v>
      </x:c>
      <x:c r="E196" s="104" t="str">
        <x:v>YES</x:v>
      </x:c>
      <x:c r="F196" s="104" t="str">
        <x:v>OPEN</x:v>
      </x:c>
      <x:c r="G196" s="104" t="str">
        <x:v>OPEN</x:v>
      </x:c>
      <x:c r="H196" s="104" t="str">
        <x:v>Native source/geometry checks, exact-source host tests or bounded models and controlled engineering disposition; specific evidence below. Original required evidence is preserved, not weakened.</x:v>
      </x:c>
      <x:c r="I196"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196" s="104" t="str">
        <x:v>Assembler approval of retention, second reflow, selective THT protection and rework access.</x:v>
      </x:c>
      <x:c r="K196" s="104" t="str">
        <x:v>FR-06</x:v>
      </x:c>
    </x:row>
    <x:row r="197" ht="195" customHeight="1">
      <x:c r="A197" s="104" t="str">
        <x:v>MECH-05</x:v>
      </x:c>
      <x:c r="B197" s="104" t="str">
        <x:v>Mechanical fit and installation</x:v>
      </x:c>
      <x:c r="C197" s="104" t="str">
        <x:v>CONDITIONAL_CARRIER_CANDIDATE</x:v>
      </x:c>
      <x:c r="D197"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7" s="104" t="str">
        <x:v>PENDING</x:v>
      </x:c>
      <x:c r="F197" s="104" t="str">
        <x:v>OPEN</x:v>
      </x:c>
      <x:c r="G197" s="104" t="str">
        <x:v>OPEN</x:v>
      </x:c>
      <x:c r="H197" s="104" t="str">
        <x:v>Source inspection, implemented candidate and/or bounded model; see lane-specific method and limitations.</x:v>
      </x:c>
      <x:c r="I197"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7" s="104" t="str">
        <x:v>Positive board XY retention and complete component/vehicle-bracket envelopes to sustain declared hardware keepouts; exact material/hardware procurement and installation validation.</x:v>
      </x:c>
      <x:c r="K197" s="104" t="str">
        <x:v>FR-06</x:v>
      </x:c>
    </x:row>
    <x:row r="198" ht="195" customHeight="1">
      <x:c r="A198" s="104" t="str">
        <x:v>MECH-06</x:v>
      </x:c>
      <x:c r="B198" s="104" t="str">
        <x:v>Mechanical fit and installation</x:v>
      </x:c>
      <x:c r="C198" s="104" t="str">
        <x:v>CONDITIONAL_CARRIER_CANDIDATE</x:v>
      </x:c>
      <x:c r="D198"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8" s="104" t="str">
        <x:v>PENDING</x:v>
      </x:c>
      <x:c r="F198" s="104" t="str">
        <x:v>OPEN</x:v>
      </x:c>
      <x:c r="G198" s="104" t="str">
        <x:v>OPEN</x:v>
      </x:c>
      <x:c r="H198" s="104" t="str">
        <x:v>Source inspection, implemented candidate and/or bounded model; see lane-specific method and limitations.</x:v>
      </x:c>
      <x:c r="I198"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8" s="104" t="str">
        <x:v>Positive X-retention, selected hardware torque, ceramic strain and actual mass/load distribution and connector/cable force bounds; illustrative50g-at-edge20g case exceeds0.10mm allocation.</x:v>
      </x:c>
      <x:c r="K198" s="104" t="str">
        <x:v>FR-06</x:v>
      </x:c>
    </x:row>
    <x:row r="199" ht="195" customHeight="1">
      <x:c r="A199" s="104" t="str">
        <x:v>MECH-07</x:v>
      </x:c>
      <x:c r="B199" s="104" t="str">
        <x:v>Mechanical fit and installation</x:v>
      </x:c>
      <x:c r="C199" s="104" t="str">
        <x:v>CONDITIONAL_CARRIER_CANDIDATE</x:v>
      </x:c>
      <x:c r="D199" s="104" t="str">
        <x:v>C01revisionB defines six edge contacts, NP510A FR-4/HT800cushions, external nylon-only hardware/no washers, full fastener/tool dimensional envelopes and12deterministic geometry checks. Combined candidate footprints screened. Minimum clearance0.175mm after0.60mm geometric+thermal allocation;0.14mm minimum bearing. POM trial rejected for CTE mismatch. Positive X-retention and full3D/vehicle fit remain unresolved; no physical/nativeCAD pass claimed.</x:v>
      </x:c>
      <x:c r="E199" s="104" t="str">
        <x:v>PENDING</x:v>
      </x:c>
      <x:c r="F199" s="104" t="str">
        <x:v>OPEN</x:v>
      </x:c>
      <x:c r="G199" s="104" t="str">
        <x:v>OPEN</x:v>
      </x:c>
      <x:c r="H199" s="104" t="str">
        <x:v>Source inspection, implemented candidate and/or bounded model; see lane-specific method and limitations.</x:v>
      </x:c>
      <x:c r="I199"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
audit/online_resolution_rvb21/drawing_process/carrier_candidate/REVIEW.md
audit/online_resolution_rvb21/drawing_process/carrier_candidate/GR86_RVB_CARRIER_C01.scad
audit/online_resolution_rvb21/drawing_process/carrier_candidate/CARRIER_GEOMETRY_AND_LOAD_SCREEN.json
audit/online_resolution_rvb21/drawing_process/carrier_candidate/CONTACT_REVIEW.svg
audit/online_resolution_rvb21/drawing_process/carrier_candidate/CONTACT_REVIEW.png
audit/online_resolution_rvb21/drawing_process/ROW_UPDATES.json</x:v>
      </x:c>
      <x:c r="J199" s="104" t="str">
        <x:v>Manufacturer-compatible GPS/patch/heavy-module retention method plus actual mounting-location load and qualification plan.</x:v>
      </x:c>
      <x:c r="K199" s="104" t="str">
        <x:v>FR-06</x:v>
      </x:c>
    </x:row>
    <x:row r="200" ht="195" customHeight="1">
      <x:c r="A200" s="104" t="str">
        <x:v>MECH-08</x:v>
      </x:c>
      <x:c r="B200" s="104" t="str">
        <x:v>Mechanical fit and installation</x:v>
      </x:c>
      <x:c r="C200" s="104" t="str">
        <x:v>DESIGN INTENT</x:v>
      </x:c>
      <x:c r="D200" s="104" t="str">
        <x:v>SkyviewandBLEclearvolumeareinstallationcontract; dashpositiondoesnotestablishactualRFclearance/skyvisibility.</x:v>
      </x:c>
      <x:c r="E200" s="104" t="str">
        <x:v>YES</x:v>
      </x:c>
      <x:c r="F200" s="104" t="str">
        <x:v>OPEN</x:v>
      </x:c>
      <x:c r="G200" s="104" t="str">
        <x:v>OPEN</x:v>
      </x:c>
      <x:c r="H200" s="104" t="str">
        <x:v>Native source/geometry checks, exact-source host tests or bounded models and controlled engineering disposition; specific evidence below. Original required evidence is preserved, not weakened.</x:v>
      </x:c>
      <x:c r="I200"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0" s="104" t="str">
        <x:v>Installation/accessory choice plus in-situ GPS/BLE evidence.</x:v>
      </x:c>
      <x:c r="K200" s="104" t="str">
        <x:v>FR-06</x:v>
      </x:c>
    </x:row>
    <x:row r="201" ht="195" customHeight="1">
      <x:c r="A201" s="104" t="str">
        <x:v>MECH-09</x:v>
      </x:c>
      <x:c r="B201" s="104" t="str">
        <x:v>Mechanical fit and installation</x:v>
      </x:c>
      <x:c r="C201" s="104" t="str">
        <x:v>DESIGN INTENT</x:v>
      </x:c>
      <x:c r="D201" s="104" t="str">
        <x:v>Tagand37probecontactsaccessibleinCADscreen; realcable/fixture/serviceaccessandmatingcyclesremainfieldfitacceptance.</x:v>
      </x:c>
      <x:c r="E201" s="104" t="str">
        <x:v>YES</x:v>
      </x:c>
      <x:c r="F201" s="104" t="str">
        <x:v>OPEN</x:v>
      </x:c>
      <x:c r="G201" s="104" t="str">
        <x:v>OPEN</x:v>
      </x:c>
      <x:c r="H201" s="104" t="str">
        <x:v>Native source/geometry checks, exact-source host tests or bounded models and controlled engineering disposition; specific evidence below. Original required evidence is preserved, not weakened.</x:v>
      </x:c>
      <x:c r="I201"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1" s="104" t="str">
        <x:v>Actual fixture/cable/enclosure access and safe removal sequence.</x:v>
      </x:c>
      <x:c r="K201" s="104" t="str">
        <x:v>FR-06</x:v>
      </x:c>
    </x:row>
    <x:row r="202" ht="195" customHeight="1">
      <x:c r="A202" s="104" t="str">
        <x:v>MECH-10</x:v>
      </x:c>
      <x:c r="B202" s="104" t="str">
        <x:v>Mechanical fit and installation</x:v>
      </x:c>
      <x:c r="C202" s="104" t="str">
        <x:v>DESIGN INTENT</x:v>
      </x:c>
      <x:c r="D202" s="104" t="str">
        <x:v>Dryprotectedcabininstallationselected; nopromisedingress/condensationrating. Enclosurevent/drain/materialdecisionsawaitactualinstalledhousing.</x:v>
      </x:c>
      <x:c r="E202" s="104" t="str">
        <x:v>PENDING</x:v>
      </x:c>
      <x:c r="F202" s="104" t="str">
        <x:v>OPEN</x:v>
      </x:c>
      <x:c r="G202" s="104" t="str">
        <x:v>OPEN</x:v>
      </x:c>
      <x:c r="H202" s="104" t="str">
        <x:v>Native source/geometry checks, exact-source host tests or bounded models and controlled engineering disposition; specific evidence below. Original required evidence is preserved, not weakened.</x:v>
      </x:c>
      <x:c r="I202" s="162" t="str">
        <x:v>audit/board_vetting_20260908/lanes/mechanics_geometry/MECHANICAL_VETTING_GEOMETRY.json
audit/erb_20260907/F1_HARNESS_ASSEMBLY_SPEC.md
qualification/CONNECTOR_PLACED_VIEWS.pdf
audit/online_closure_20260908/ONLINE_VERIFICATION_CONTRACT.md
audit/online_closure_20260908/FINAL_REVIEW_ITEMS.json
audit/online_resolution_rvb21/SOURCE_EFFECTIVITY.md
audit/online_resolution_rvb21/closure/CANDIDATE_DISPOSITIONS.json</x:v>
      </x:c>
      <x:c r="J202" s="104" t="str">
        <x:v>Enclosure/vent/drain strategy, contamination/condensation requirement and installed test.</x:v>
      </x:c>
      <x:c r="K202" s="104" t="str">
        <x:v>FR-06</x:v>
      </x:c>
    </x:row>
    <x:row r="203" ht="195" customHeight="1">
      <x:c r="A203" s="104" t="str">
        <x:v>THERM-01</x:v>
      </x:c>
      <x:c r="B203" s="104" t="str">
        <x:v>Thermal and environmental reliability</x:v>
      </x:c>
      <x:c r="C203" s="104" t="str">
        <x:v>CALCULATED</x:v>
      </x:c>
      <x:c r="D203" s="104" t="str">
        <x:v>User≤48.9Cdashboardestimate and65Clocalanalysisscreenexplicit; noenginebayorfullpart−40..125Csystemclaim.</x:v>
      </x:c>
      <x:c r="E203" s="104" t="str">
        <x:v>YES</x:v>
      </x:c>
      <x:c r="F203" s="104" t="str">
        <x:v>CLOSED</x:v>
      </x:c>
      <x:c r="G203" s="104" t="str">
        <x:v>CLOSED</x:v>
      </x:c>
      <x:c r="H203" s="104" t="str">
        <x:v>Native source/geometry checks, exact-source host tests or bounded models and controlled engineering disposition; specific evidence below. Original required evidence is preserved, not weakened.</x:v>
      </x:c>
      <x:c r="I203"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203" s="104" t="str">
        <x:v>Entire criterion addressed within its documentary/native design scope; no unperformed physical pass inferred.</x:v>
      </x:c>
      <x:c r="K203" s="104" t="str"/>
    </x:row>
    <x:row r="204" ht="195" customHeight="1">
      <x:c r="A204" s="104" t="str">
        <x:v>THERM-02</x:v>
      </x:c>
      <x:c r="B204" s="104" t="str">
        <x:v>Thermal and environmental reliability</x:v>
      </x:c>
      <x:c r="C204" s="104" t="str">
        <x:v>CALCULATED</x:v>
      </x:c>
      <x:c r="D204" s="104" t="str">
        <x:v>Actualgroundcopperplusreference/allocatedtheta thermalcalcscompleted; GPS118.19Cat65Creference,5Vlossup to1.1545W. No3Dthermal/IRmeasurementclaimed.</x:v>
      </x:c>
      <x:c r="E204" s="104" t="str">
        <x:v>YES</x:v>
      </x:c>
      <x:c r="F204" s="104" t="str">
        <x:v>OPEN</x:v>
      </x:c>
      <x:c r="G204" s="104" t="str">
        <x:v>OPEN</x:v>
      </x:c>
      <x:c r="H204" s="104" t="str">
        <x:v>Native source/geometry checks, exact-source host tests or bounded models and controlled engineering disposition; specific evidence below. Original required evidence is preserved, not weakened.</x:v>
      </x:c>
      <x:c r="I204"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4" s="104" t="str">
        <x:v>Measure worst 10 Hz/antenna current and final-enclosure case/board temperatures; demonstrate thermal margin or revise supply/thermal design.</x:v>
      </x:c>
      <x:c r="K204" s="104" t="str">
        <x:v>FR-02, FR-08</x:v>
      </x:c>
    </x:row>
    <x:row r="205" ht="195" customHeight="1">
      <x:c r="A205" s="104" t="str">
        <x:v>THERM-03</x:v>
      </x:c>
      <x:c r="B205" s="104" t="str">
        <x:v>Thermal and environmental reliability</x:v>
      </x:c>
      <x:c r="C205" s="104" t="str">
        <x:v>CALCULATED</x:v>
      </x:c>
      <x:c r="D205" s="104" t="str">
        <x:v>Current63resistor thermal-resistance ceilings and general/extended drift-mode limits added;46capacitor bias/aging cases,coilhot-DCR andLEDthermal bounds documented. R110corrected6Vlocalinput screen0.45679W remainsbelow0.815W; requiredfilm-to65Ctheta&lt;=229.87K/W. Opposite0.1%precisionresistordrift can shift ratio0.2002%.</x:v>
      </x:c>
      <x:c r="E205" s="104" t="str">
        <x:v>YES</x:v>
      </x:c>
      <x:c r="F205" s="104" t="str">
        <x:v>OPEN</x:v>
      </x:c>
      <x:c r="G205" s="104" t="str">
        <x:v>OPEN</x:v>
      </x:c>
      <x:c r="H205" s="104" t="str">
        <x:v>Source inspection, implemented candidate and/or bounded model; see lane-specific method and limitations.</x:v>
      </x:c>
      <x:c r="I205"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
audit/online_resolution_rvb21/derating/PASSIVE_THERMAL_LIFE_BOUNDS.json
audit/online_resolution_rvb21/derating/CONVERTER_INDUCTOR_BOUNDS.json
audit/online_resolution_rvb21/derating/CAPACITOR_BOUNDS.json
audit/online_resolution_rvb21/derating/LED_BOUNDS.json
audit/online_resolution_rvb21/derating/ROW_UPDATES.json</x:v>
      </x:c>
      <x:c r="J205" s="104" t="str">
        <x:v>Select a product life duration and establish installed thermal/aging conditions, contact duty and repetitivefault profile; vendor qualification test durations are not product lifetime predictions.</x:v>
      </x:c>
      <x:c r="K205" s="104" t="str">
        <x:v>FR-02, FR-08</x:v>
      </x:c>
    </x:row>
    <x:row r="206" ht="195" customHeight="1">
      <x:c r="A206" s="104" t="str">
        <x:v>THERM-04</x:v>
      </x:c>
      <x:c r="B206" s="104" t="str">
        <x:v>Thermal and environmental reliability</x:v>
      </x:c>
      <x:c r="C206" s="104" t="str">
        <x:v>CALCULATED</x:v>
      </x:c>
      <x:c r="D206" s="104" t="str">
        <x:v>Oilnoise/errorandGPSripple/accuracytargetsnowquantitative; nohot/coldADC/RFmeasurementcanbecreatedfromdigitalbootpass.</x:v>
      </x:c>
      <x:c r="E206" s="104" t="str">
        <x:v>YES</x:v>
      </x:c>
      <x:c r="F206" s="104" t="str">
        <x:v>OPEN</x:v>
      </x:c>
      <x:c r="G206" s="104" t="str">
        <x:v>OPEN</x:v>
      </x:c>
      <x:c r="H206" s="104" t="str">
        <x:v>Native source/geometry checks, exact-source host tests or bounded models and controlled engineering disposition; specific evidence below. Original required evidence is preserved, not weakened.</x:v>
      </x:c>
      <x:c r="I206"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6" s="104" t="str">
        <x:v>Run cold/room/hot full simultaneous operation with calibrated inputs and RF metrics; digital boot is insufficient.</x:v>
      </x:c>
      <x:c r="K206" s="104" t="str">
        <x:v>FR-02, FR-08</x:v>
      </x:c>
    </x:row>
    <x:row r="207" ht="195" customHeight="1">
      <x:c r="A207" s="104" t="str">
        <x:v>THERM-05</x:v>
      </x:c>
      <x:c r="B207" s="104" t="str">
        <x:v>Thermal and environmental reliability</x:v>
      </x:c>
      <x:c r="C207" s="104" t="str">
        <x:v>CALCULATED</x:v>
      </x:c>
      <x:c r="D207" s="104" t="str">
        <x:v>Noassemblythermal-cycleresultsavailable; matchingmanufacturerpackage/reflowlimits andplannedcontrolledfunctionalcyclesarepreparation,notqualification.</x:v>
      </x:c>
      <x:c r="E207" s="104" t="str">
        <x:v>PENDING</x:v>
      </x:c>
      <x:c r="F207" s="104" t="str">
        <x:v>OPEN</x:v>
      </x:c>
      <x:c r="G207" s="104" t="str">
        <x:v>OPEN</x:v>
      </x:c>
      <x:c r="H207" s="104" t="str">
        <x:v>Native source/geometry checks, exact-source host tests or bounded models and controlled engineering disposition; specific evidence below. Original required evidence is preserved, not weakened.</x:v>
      </x:c>
      <x:c r="I207"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7" s="104" t="str">
        <x:v>Define installation-relevant cycling and joint inspection/continuity/function limits; correlate actual construction.</x:v>
      </x:c>
      <x:c r="K207" s="104" t="str">
        <x:v>FR-02, FR-08</x:v>
      </x:c>
    </x:row>
    <x:row r="208" ht="195" customHeight="1">
      <x:c r="A208" s="104" t="str">
        <x:v>THERM-06</x:v>
      </x:c>
      <x:c r="B208" s="104" t="str">
        <x:v>Thermal and environmental reliability</x:v>
      </x:c>
      <x:c r="C208" s="104" t="str">
        <x:v>CALCULATED</x:v>
      </x:c>
      <x:c r="D208" s="104" t="str">
        <x:v>Dashboardcarrier-dependentvibration/shockmustuseactualmountprofile; arbitraryunrelatedaccelerationnumberswouldnotproveinstalledsurvival.</x:v>
      </x:c>
      <x:c r="E208" s="104" t="str">
        <x:v>PENDING</x:v>
      </x:c>
      <x:c r="F208" s="104" t="str">
        <x:v>OPEN</x:v>
      </x:c>
      <x:c r="G208" s="104" t="str">
        <x:v>OPEN</x:v>
      </x:c>
      <x:c r="H208" s="104" t="str">
        <x:v>Native source/geometry checks, exact-source host tests or bounded models and controlled engineering disposition; specific evidence below. Original required evidence is preserved, not weakened.</x:v>
      </x:c>
      <x:c r="I208"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8" s="104" t="str">
        <x:v>Freeze mount/strain relief then define pre/post joint, continuity and live-functional vibration/shock acceptance.</x:v>
      </x:c>
      <x:c r="K208" s="104" t="str">
        <x:v>FR-02, FR-08</x:v>
      </x:c>
    </x:row>
    <x:row r="209" ht="195" customHeight="1">
      <x:c r="A209" s="104" t="str">
        <x:v>THERM-07</x:v>
      </x:c>
      <x:c r="B209" s="104" t="str">
        <x:v>Thermal and environmental reliability</x:v>
      </x:c>
      <x:c r="C209" s="104" t="str">
        <x:v>CALCULATED</x:v>
      </x:c>
      <x:c r="D209" s="104" t="str">
        <x:v>Dryprotectedcabinuseexcludesunqualifiedfluid/condensationexposure; explicitinstallation/enclosureexposurematrixawaitsactualhousing.</x:v>
      </x:c>
      <x:c r="E209" s="104" t="str">
        <x:v>PENDING</x:v>
      </x:c>
      <x:c r="F209" s="104" t="str">
        <x:v>OPEN</x:v>
      </x:c>
      <x:c r="G209" s="104" t="str">
        <x:v>OPEN</x:v>
      </x:c>
      <x:c r="H209" s="104" t="str">
        <x:v>Native source/geometry checks, exact-source host tests or bounded models and controlled engineering disposition; specific evidence below. Original required evidence is preserved, not weakened.</x:v>
      </x:c>
      <x:c r="I209"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09" s="104" t="str">
        <x:v>Define condensation/dust/cleaner/ingress exposure and enclosure/material controls, then test agreed conditions.</x:v>
      </x:c>
      <x:c r="K209" s="104" t="str">
        <x:v>FR-02, FR-08</x:v>
      </x:c>
    </x:row>
    <x:row r="210" ht="195" customHeight="1">
      <x:c r="A210" s="104" t="str">
        <x:v>THERM-08</x:v>
      </x:c>
      <x:c r="B210" s="104" t="str">
        <x:v>Thermal and environmental reliability</x:v>
      </x:c>
      <x:c r="C210" s="104" t="str">
        <x:v>CALCULATED</x:v>
      </x:c>
      <x:c r="D210" s="104" t="str">
        <x:v>Noconformalcoatingselected. A futurecoatingneedsexactprocess/materialandmasksforantennas,contacts,U.FL,Tagandtestpads.</x:v>
      </x:c>
      <x:c r="E210" s="104" t="str">
        <x:v>YES</x:v>
      </x:c>
      <x:c r="F210" s="104" t="str">
        <x:v>CLOSED</x:v>
      </x:c>
      <x:c r="G210" s="104" t="str">
        <x:v>CLOSED</x:v>
      </x:c>
      <x:c r="H210" s="104" t="str">
        <x:v>Native source/geometry checks, exact-source host tests or bounded models and controlled engineering disposition; specific evidence below. Original required evidence is preserved, not weakened.</x:v>
      </x:c>
      <x:c r="I210"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x:v>
      </x:c>
      <x:c r="J210" s="104" t="str">
        <x:v>Entire criterion addressed within its documentary/native design scope; no unperformed physical pass inferred.</x:v>
      </x:c>
      <x:c r="K210" s="104" t="str"/>
    </x:row>
    <x:row r="211" ht="195" customHeight="1">
      <x:c r="A211" s="104" t="str">
        <x:v>THERM-09</x:v>
      </x:c>
      <x:c r="B211" s="104" t="str">
        <x:v>Thermal and environmental reliability</x:v>
      </x:c>
      <x:c r="C211" s="104" t="str">
        <x:v>CALCULATED</x:v>
      </x:c>
      <x:c r="D211" s="104" t="str">
        <x:v>Molex/U.FL/servicecontactcyclesandcableloadrestrictionsdocumented; supportandretentioncannotbephysicallyverifiedwithoutaccessories.</x:v>
      </x:c>
      <x:c r="E211" s="104" t="str">
        <x:v>PENDING</x:v>
      </x:c>
      <x:c r="F211" s="104" t="str">
        <x:v>OPEN</x:v>
      </x:c>
      <x:c r="G211" s="104" t="str">
        <x:v>OPEN</x:v>
      </x:c>
      <x:c r="H211" s="104" t="str">
        <x:v>Native source/geometry checks, exact-source host tests or bounded models and controlled engineering disposition; specific evidence below. Original required evidence is preserved, not weakened.</x:v>
      </x:c>
      <x:c r="I211"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11" s="104" t="str">
        <x:v>Control retention, permitted mating cycles/procedure and mechanical support; test exact installed accessories.</x:v>
      </x:c>
      <x:c r="K211" s="104" t="str">
        <x:v>FR-02, FR-08</x:v>
      </x:c>
    </x:row>
    <x:row r="212" ht="195" customHeight="1">
      <x:c r="A212" s="104" t="str">
        <x:v>THERM-10</x:v>
      </x:c>
      <x:c r="B212" s="104" t="str">
        <x:v>Thermal and environmental reliability</x:v>
      </x:c>
      <x:c r="C212" s="104" t="str">
        <x:v>CALCULATED</x:v>
      </x:c>
      <x:c r="D212" s="104" t="str">
        <x:v>Boundedhoststressandnewinstrumentationprepare24h/72hsoakdiagnostics; noelapsedhostsimulationisreportedasaRevBhardwarelongsoak.</x:v>
      </x:c>
      <x:c r="E212" s="104" t="str">
        <x:v>YES</x:v>
      </x:c>
      <x:c r="F212" s="104" t="str">
        <x:v>OPEN</x:v>
      </x:c>
      <x:c r="G212" s="104" t="str">
        <x:v>OPEN</x:v>
      </x:c>
      <x:c r="H212" s="104" t="str">
        <x:v>Native source/geometry checks, exact-source host tests or bounded models and controlled engineering disposition; specific evidence below. Original required evidence is preserved, not weakened.</x:v>
      </x:c>
      <x:c r="I212" s="162" t="str">
        <x:v>audit/online_closure_20260908/simulations/power/RESULTS.json
calculations/POWER_ARCHITECTURE_REVIEW.md
audit/board_vetting_20260908/lanes/power_evidence/CURRENT_PASSIVE_STRESS.json
audit/online_closure_20260908/ONLINE_VERIFICATION_CONTRACT.md
audit/online_closure_20260908/FINAL_REVIEW_ITEMS.json
audit/online_resolution_rvb21/SOURCE_EFFECTIVITY.md
audit/online_resolution_rvb21/closure/CANDIDATE_DISPOSITIONS.json</x:v>
      </x:c>
      <x:c r="J212" s="104" t="str">
        <x:v>Run frozen-board/build/accessory soak with rails, hot spots, reset reason, calibration, CAN/GPS/BLE loss and recovery logging.</x:v>
      </x:c>
      <x:c r="K212" s="104" t="str">
        <x:v>FR-02, FR-08</x:v>
      </x:c>
    </x:row>
    <x:row r="213" ht="195" customHeight="1">
      <x:c r="A213" s="104" t="str">
        <x:v>EMC-01</x:v>
      </x:c>
      <x:c r="B213" s="104" t="str">
        <x:v>EMC, ESD and self-interference</x:v>
      </x:c>
      <x:c r="C213" s="104" t="str">
        <x:v>DESIGN INTENT</x:v>
      </x:c>
      <x:c r="D213" s="104" t="str">
        <x:v>Waveform/functionalstatuscontractprepared;applicablestandards/editions/marketsandseveritycannotbedeterminedfromanunspecifieddistributionmarket. NoISO/radioapprovalclaimed.</x:v>
      </x:c>
      <x:c r="E213" s="104" t="str">
        <x:v>PENDING</x:v>
      </x:c>
      <x:c r="F213" s="104" t="str">
        <x:v>OPEN</x:v>
      </x:c>
      <x:c r="G213" s="104" t="str">
        <x:v>OPEN</x:v>
      </x:c>
      <x:c r="H213" s="104" t="str">
        <x:v>Native source/geometry checks, exact-source host tests or bounded models and controlled engineering disposition; specific evidence below. Original required evidence is preserved, not weakened.</x:v>
      </x:c>
      <x:c r="I213"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3" s="104" t="str">
        <x:v>Define installation/product-market applicability, representative harness/accessories and pass/fail states before EMC qualification.</x:v>
      </x:c>
      <x:c r="K213" s="104" t="str">
        <x:v>FR-08</x:v>
      </x:c>
    </x:row>
    <x:row r="214" ht="195" customHeight="1">
      <x:c r="A214" s="104" t="str">
        <x:v>EMC-02</x:v>
      </x:c>
      <x:c r="B214" s="104" t="str">
        <x:v>EMC, ESD and self-interference</x:v>
      </x:c>
      <x:c r="C214" s="104" t="str">
        <x:v>DESIGN INTENT</x:v>
      </x:c>
      <x:c r="D214" s="104" t="str">
        <x:v>Actualswitchingloops/inputfilterandcurrentbudgetsreviewed; noLISNconductedemissionsmeasurementorspectralfieldmodelavailable.</x:v>
      </x:c>
      <x:c r="E214" s="104" t="str">
        <x:v>YES</x:v>
      </x:c>
      <x:c r="F214" s="104" t="str">
        <x:v>OPEN</x:v>
      </x:c>
      <x:c r="G214" s="104" t="str">
        <x:v>OPEN</x:v>
      </x:c>
      <x:c r="H214" s="104" t="str">
        <x:v>Native source/geometry checks, exact-source host tests or bounded models and controlled engineering disposition; specific evidence below. Original required evidence is preserved, not weakened.</x:v>
      </x:c>
      <x:c r="I214"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4" s="104" t="str">
        <x:v>Measure worst-mode conducted emissions with final harness, detector/bandwidth and exact supply/load configuration.</x:v>
      </x:c>
      <x:c r="K214" s="104" t="str">
        <x:v>FR-08</x:v>
      </x:c>
    </x:row>
    <x:row r="215" ht="195" customHeight="1">
      <x:c r="A215" s="104" t="str">
        <x:v>EMC-03</x:v>
      </x:c>
      <x:c r="B215" s="104" t="str">
        <x:v>EMC, ESD and self-interference</x:v>
      </x:c>
      <x:c r="C215" s="104" t="str">
        <x:v>DESIGN INTENT</x:v>
      </x:c>
      <x:c r="D215" s="104" t="str">
        <x:v>RF/feed/returngeometryandcableconstraintsinspected; radiatedemissionsrequiresactualenclosure/harness/antennaconfigurationandmeasurement.</x:v>
      </x:c>
      <x:c r="E215" s="104" t="str">
        <x:v>YES</x:v>
      </x:c>
      <x:c r="F215" s="104" t="str">
        <x:v>OPEN</x:v>
      </x:c>
      <x:c r="G215" s="104" t="str">
        <x:v>OPEN</x:v>
      </x:c>
      <x:c r="H215" s="104" t="str">
        <x:v>Native source/geometry checks, exact-source host tests or bounded models and controlled engineering disposition; specific evidence below. Original required evidence is preserved, not weakened.</x:v>
      </x:c>
      <x:c r="I215"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5" s="104" t="str">
        <x:v>Measure agreed bands/configurations in idle and simultaneous worst activity with final accessories.</x:v>
      </x:c>
      <x:c r="K215" s="104" t="str">
        <x:v>FR-08</x:v>
      </x:c>
    </x:row>
    <x:row r="216" ht="195" customHeight="1">
      <x:c r="A216" s="104" t="str">
        <x:v>EMC-04</x:v>
      </x:c>
      <x:c r="B216" s="104" t="str">
        <x:v>EMC, ESD and self-interference</x:v>
      </x:c>
      <x:c r="C216" s="104" t="str">
        <x:v>DESIGN INTENT</x:v>
      </x:c>
      <x:c r="D216" s="104" t="str">
        <x:v>Immunitycriteriondistinguishesrecoverabletelemetrygapfromdamage/unsafeCANloading; sourcescreenscannotprovefieldimmunity.</x:v>
      </x:c>
      <x:c r="E216" s="104" t="str">
        <x:v>YES</x:v>
      </x:c>
      <x:c r="F216" s="104" t="str">
        <x:v>OPEN</x:v>
      </x:c>
      <x:c r="G216" s="104" t="str">
        <x:v>OPEN</x:v>
      </x:c>
      <x:c r="H216" s="104" t="str">
        <x:v>Native source/geometry checks, exact-source host tests or bounded models and controlled engineering disposition; specific evidence below. Original required evidence is preserved, not weakened.</x:v>
      </x:c>
      <x:c r="I216"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6" s="104" t="str">
        <x:v>Monitor bus non-interference, rail stress, oil validity/reset/recovery and retained data during defined immunity exposure.</x:v>
      </x:c>
      <x:c r="K216" s="104" t="str">
        <x:v>FR-08</x:v>
      </x:c>
    </x:row>
    <x:row r="217" ht="195" customHeight="1">
      <x:c r="A217" s="104" t="str">
        <x:v>EMC-05</x:v>
      </x:c>
      <x:c r="B217" s="104" t="str">
        <x:v>EMC, ESD and self-interference</x:v>
      </x:c>
      <x:c r="C217" s="104" t="str">
        <x:v>DESIGN INTENT</x:v>
      </x:c>
      <x:c r="D217" s="104" t="str">
        <x:v>F1,U.FL,TagandservicepointsincludedinESDplan;shortlocalreturnschecked. ComponentIECratingsarenotboard-levelESDpasses.</x:v>
      </x:c>
      <x:c r="E217" s="104" t="str">
        <x:v>PENDING</x:v>
      </x:c>
      <x:c r="F217" s="104" t="str">
        <x:v>OPEN</x:v>
      </x:c>
      <x:c r="G217" s="104" t="str">
        <x:v>OPEN</x:v>
      </x:c>
      <x:c r="H217" s="104" t="str">
        <x:v>Native source/geometry checks, exact-source host tests or bounded models and controlled engineering disposition; specific evidence below. Original required evidence is preserved, not weakened.</x:v>
      </x:c>
      <x:c r="I217"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7" s="104" t="str">
        <x:v>Freeze enclosure/service accessibility and create the exact contact/air-discharge location matrix, with powered/off functional criteria.</x:v>
      </x:c>
      <x:c r="K217" s="104" t="str">
        <x:v>FR-08</x:v>
      </x:c>
    </x:row>
    <x:row r="218" ht="392" customHeight="1">
      <x:c r="A218" s="104" t="str">
        <x:v>EMC-06</x:v>
      </x:c>
      <x:c r="B218" s="104" t="str">
        <x:v>EMC, ESD and self-interference</x:v>
      </x:c>
      <x:c r="C218" s="104" t="str">
        <x:v>ANALYZED</x:v>
      </x:c>
      <x:c r="D218" s="104" t="str">
        <x:v>Completed exact entry-to-protector/circuit route inspection and branch/return parasitic sensitivity. D501 oil entry uses2.8629/2.3560mm shunt branches; D301/D402 are on main paths. Vadded=Lbranch+return times dI/dt is explicit;1nH at10A/ns adds10V before diode clamp. No measured robustness claim. Corrected in isolated combined candidate d0b78f5d: both oil connector bypasses removed; exact D501 pad-cut test disconnects all protected loads; minimum new foreign fixed-copper clearance0.175mm. Native fill remains pending.
Actual entry-to-protection branches and GND attachments are directly inspected. D501 OIL_SIG/OIL_5 V shunt branches2.863/2.356 mm; ground via0.862 mm away.192 finite-return fault cases are excitation-fault sensitivities, not an ESD simulation.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218" s="104" t="str">
        <x:v>PENDING</x:v>
      </x:c>
      <x:c r="F218" s="104" t="str">
        <x:v>OPEN</x:v>
      </x:c>
      <x:c r="G218" s="104" t="str">
        <x:v>OPEN</x:v>
      </x:c>
      <x:c r="H218" s="104" t="str">
        <x:v>Source inspection, implemented candidate and/or bounded model; see lane-specific method and limitations.</x:v>
      </x:c>
      <x:c r="I218"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
audit/online_resolution_rvb21/return_paths/REVIEW.md
audit/online_resolution_rvb21/return_paths/RETURN_PATH_RESULTS.json
audit/online_resolution_rvb21/return_paths/CURRENT_PATH_INDEX.csv
audit/online_resolution_rvb21/return_paths/POWER_ANALOG_COPPER_MAP.svg
audit/online_resolution_rvb21/return_paths/INTERFACES_COPPER_MAP.svg
audit/online_resolution_rvb21/return_paths/ENTRY_BRANCH_MAP.svg
audit/online_resolution_rvb21/return_paths/d501_flowthrough/REVIEW.md
audit/online_resolution_rvb21/return_paths/d501_flowthrough/D501_CANDIDATE_RESULTS.json
audit/online_resolution_rvb21/return_paths/d501_flowthrough/COMBINED_SOURCE_BINDING.json
audit/online_resolution_rvb21/return_paths/ROW_UPDATES.json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audit/online_resolution_rvb21/oil_return/FINAL_CANDIDATE_REBINDING.json
audit/online_resolution_rvb21/oil_return/ROW_UPDATES.json</x:v>
      </x:c>
      <x:c r="J218" s="104" t="str">
        <x:v>Native refill/DRC and physical residual-voltage/coupling/robustness at actual entries and installed bonding. Connector flow-through source correction is implemented; no physical pass inferred.
D501 on-main-route correction is staged in the final combined candidate, with ordinary-fault consequences modeled. Native refill and electrical gates remain; applicable ESD waveform/dynamic clamp/coupled-return analysis or measured robustness still required at actual entries.</x:v>
      </x:c>
      <x:c r="K218" s="104" t="str">
        <x:v>FR-08</x:v>
      </x:c>
    </x:row>
    <x:row r="219" ht="195" customHeight="1">
      <x:c r="A219" s="104" t="str">
        <x:v>EMC-07</x:v>
      </x:c>
      <x:c r="B219" s="104" t="str">
        <x:v>EMC, ESD and self-interference</x:v>
      </x:c>
      <x:c r="C219" s="104" t="str">
        <x:v>DESIGN INTENT</x:v>
      </x:c>
      <x:c r="D219" s="104" t="str">
        <x:v>Groundtransfer/alias/RFparasiticsprovidequantifiedself-interferenceestimates; realBLE/switcherGPSCN0/ADCcorrelationremainsphysical.</x:v>
      </x:c>
      <x:c r="E219" s="104" t="str">
        <x:v>YES</x:v>
      </x:c>
      <x:c r="F219" s="104" t="str">
        <x:v>OPEN</x:v>
      </x:c>
      <x:c r="G219" s="104" t="str">
        <x:v>OPEN</x:v>
      </x:c>
      <x:c r="H219" s="104" t="str">
        <x:v>Native source/geometry checks, exact-source host tests or bounded models and controlled engineering disposition; specific evidence below. Original required evidence is preserved, not weakened.</x:v>
      </x:c>
      <x:c r="I219"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19" s="104" t="str">
        <x:v>Measure controlled aggressor on/off ADC error and GNSS acquisition/CN0 with exact antenna, enclosure and rails.</x:v>
      </x:c>
      <x:c r="K219" s="104" t="str">
        <x:v>FR-08</x:v>
      </x:c>
    </x:row>
    <x:row r="220" ht="195" customHeight="1">
      <x:c r="A220" s="104" t="str">
        <x:v>EMC-08</x:v>
      </x:c>
      <x:c r="B220" s="104" t="str">
        <x:v>EMC, ESD and self-interference</x:v>
      </x:c>
      <x:c r="C220" s="104" t="str">
        <x:v>DESIGN INTENT</x:v>
      </x:c>
      <x:c r="D220" s="104" t="str">
        <x:v>Singlecontrolledpopulationandinstallation/accessorycontractdefined; anycable/enclosure/antennachangeinvalidatesaffectedfieldqualification.</x:v>
      </x:c>
      <x:c r="E220" s="104" t="str">
        <x:v>PENDING</x:v>
      </x:c>
      <x:c r="F220" s="104" t="str">
        <x:v>OPEN</x:v>
      </x:c>
      <x:c r="G220" s="104" t="str">
        <x:v>OPEN</x:v>
      </x:c>
      <x:c r="H220" s="104" t="str">
        <x:v>Native source/geometry checks, exact-source host tests or bounded models and controlled engineering disposition; specific evidence below. Original required evidence is preserved, not weakened.</x:v>
      </x:c>
      <x:c r="I220"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20" s="104" t="str">
        <x:v>Freeze tested configuration and material-change retest rules for harness, grounding, antenna, enclosure and mounting.</x:v>
      </x:c>
      <x:c r="K220" s="104" t="str">
        <x:v>FR-08</x:v>
      </x:c>
    </x:row>
    <x:row r="221" ht="195" customHeight="1">
      <x:c r="A221" s="104" t="str">
        <x:v>EMC-09</x:v>
      </x:c>
      <x:c r="B221" s="104" t="str">
        <x:v>EMC, ESD and self-interference</x:v>
      </x:c>
      <x:c r="C221" s="104" t="str">
        <x:v>DESIGN INTENT</x:v>
      </x:c>
      <x:c r="D221" s="104" t="str">
        <x:v>StatusA/B/recoveryanddamage/busdisturbanceconsequencesareseparated; rebootallowedoncrankdoesnotmeanallEMCfailurespass.</x:v>
      </x:c>
      <x:c r="E221" s="104" t="str">
        <x:v>YES</x:v>
      </x:c>
      <x:c r="F221" s="104" t="str">
        <x:v>CLOSED</x:v>
      </x:c>
      <x:c r="G221" s="104" t="str">
        <x:v>CLOSED</x:v>
      </x:c>
      <x:c r="H221" s="104" t="str">
        <x:v>Native source/geometry checks, exact-source host tests or bounded models and controlled engineering disposition; specific evidence below. Original required evidence is preserved, not weakened.</x:v>
      </x:c>
      <x:c r="I221"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x:v>
      </x:c>
      <x:c r="J221" s="104" t="str">
        <x:v>Entire criterion addressed within its documentary/native design scope; no unperformed physical pass inferred.</x:v>
      </x:c>
      <x:c r="K221" s="104" t="str"/>
    </x:row>
    <x:row r="222" ht="195" customHeight="1">
      <x:c r="A222" s="104" t="str">
        <x:v>EMC-10</x:v>
      </x:c>
      <x:c r="B222" s="104" t="str">
        <x:v>EMC, ESD and self-interference</x:v>
      </x:c>
      <x:c r="C222" s="104" t="str">
        <x:v>DESIGN INTENT</x:v>
      </x:c>
      <x:c r="D222" s="104" t="str">
        <x:v>R302dampingandRF/ADC-returnchangeshavemodel/nativecomparisons; noEMCfilter/frequency/drivechangesclaimedwithoutcorrespondingtests.</x:v>
      </x:c>
      <x:c r="E222" s="104" t="str">
        <x:v>PENDING</x:v>
      </x:c>
      <x:c r="F222" s="104" t="str">
        <x:v>OPEN</x:v>
      </x:c>
      <x:c r="G222" s="104" t="str">
        <x:v>OPEN</x:v>
      </x:c>
      <x:c r="H222" s="104" t="str">
        <x:v>Native source/geometry checks, exact-source host tests or bounded models and controlled engineering disposition; specific evidence below. Original required evidence is preserved, not weakened.</x:v>
      </x:c>
      <x:c r="I222" s="162" t="str">
        <x:v>audit/online_closure_20260908/ONLINE_VERIFICATION_CONTRACT.md
audit/online_closure_20260908/FINAL_REVIEW_ITEMS.json
audit/online_closure_20260908/simulations/rf/RESULTS.json
audit/online_closure_20260908/rf_ground/GEOMETRY_EVIDENCE.json
audit/online_closure_20260908/pcb/ADOPTED_CHANGE_RECORD.json
audit/online_closure_20260908/simulations/power/RESULTS.json
calculations/POWER_ARCHITECTURE_REVIEW.md
audit/board_vetting_20260908/lanes/power_evidence/CURRENT_PASSIVE_STRESS.json
audit/online_resolution_rvb21/SOURCE_EFFECTIVITY.md
audit/online_resolution_rvb21/closure/CANDIDATE_DISPOSITIONS.json</x:v>
      </x:c>
      <x:c r="J222" s="104" t="str">
        <x:v>After measurements, control each mitigation and repeat power, RF, ADC, passive CAN and manufacturing regression checks.</x:v>
      </x:c>
      <x:c r="K222" s="104" t="str">
        <x:v>FR-08</x:v>
      </x:c>
    </x:row>
    <x:row r="223" ht="195" customHeight="1">
      <x:c r="A223" s="104" t="str">
        <x:v>LAY-01</x:v>
      </x:c>
      <x:c r="B223" s="104" t="str">
        <x:v>Placement and power-layout review</x:v>
      </x:c>
      <x:c r="C223" s="104" t="str">
        <x:v>VERIFIED</x:v>
      </x:c>
      <x:c r="D223" s="104" t="str">
        <x:v>ActualU121/U151hotloopgeometryre-viewedagainstmanufacturerlayoutbasis; localproxyareas3.41/3.05mm2aregeometric,notEMextracted.</x:v>
      </x:c>
      <x:c r="E223" s="104" t="str">
        <x:v>YES</x:v>
      </x:c>
      <x:c r="F223" s="104" t="str">
        <x:v>CLOSED</x:v>
      </x:c>
      <x:c r="G223" s="104" t="str">
        <x:v>CLOSED</x:v>
      </x:c>
      <x:c r="H223" s="104" t="str">
        <x:v>Native source/geometry checks, exact-source host tests or bounded models and controlled engineering disposition; specific evidence below. Original required evidence is preserved, not weakened.</x:v>
      </x:c>
      <x:c r="I223"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3" s="104" t="str">
        <x:v>Entire criterion addressed within its documentary/native design scope; no unperformed physical pass inferred.</x:v>
      </x:c>
      <x:c r="K223" s="104" t="str"/>
    </x:row>
    <x:row r="224" ht="195" customHeight="1">
      <x:c r="A224" s="104" t="str">
        <x:v>LAY-02</x:v>
      </x:c>
      <x:c r="B224" s="104" t="str">
        <x:v>Placement and power-layout review</x:v>
      </x:c>
      <x:c r="C224" s="104" t="str">
        <x:v>VERIFIED</x:v>
      </x:c>
      <x:c r="D224" s="104" t="str">
        <x:v>ActualSWcopper/feedback/analog/RFspacingunchanged; noanalogfilteredroutecrossestheswitchnode. Commonimpedancecouplingremainsquantified.</x:v>
      </x:c>
      <x:c r="E224" s="104" t="str">
        <x:v>YES</x:v>
      </x:c>
      <x:c r="F224" s="104" t="str">
        <x:v>CLOSED</x:v>
      </x:c>
      <x:c r="G224" s="104" t="str">
        <x:v>CLOSED</x:v>
      </x:c>
      <x:c r="H224" s="104" t="str">
        <x:v>Native source/geometry checks, exact-source host tests or bounded models and controlled engineering disposition; specific evidence below. Original required evidence is preserved, not weakened.</x:v>
      </x:c>
      <x:c r="I224"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4" s="104" t="str">
        <x:v>Entire criterion addressed within its documentary/native design scope; no unperformed physical pass inferred.</x:v>
      </x:c>
      <x:c r="K224" s="104" t="str"/>
    </x:row>
    <x:row r="225" ht="195" customHeight="1">
      <x:c r="A225" s="104" t="str">
        <x:v>LAY-03</x:v>
      </x:c>
      <x:c r="B225" s="104" t="str">
        <x:v>Placement and power-layout review</x:v>
      </x:c>
      <x:c r="C225" s="104" t="str">
        <x:v>VERIFIED</x:v>
      </x:c>
      <x:c r="D225" s="104" t="str">
        <x:v>Exactbuckfeedbackandanalogpost-seriesDCfeedback/localACcompensationroutesretained; nofeedbackcollapseorunintendedsensenode.</x:v>
      </x:c>
      <x:c r="E225" s="104" t="str">
        <x:v>YES</x:v>
      </x:c>
      <x:c r="F225" s="104" t="str">
        <x:v>CLOSED</x:v>
      </x:c>
      <x:c r="G225" s="104" t="str">
        <x:v>CLOSED</x:v>
      </x:c>
      <x:c r="H225" s="104" t="str">
        <x:v>Native source/geometry checks, exact-source host tests or bounded models and controlled engineering disposition; specific evidence below. Original required evidence is preserved, not weakened.</x:v>
      </x:c>
      <x:c r="I225"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5" s="104" t="str">
        <x:v>Entire criterion addressed within its documentary/native design scope; no unperformed physical pass inferred.</x:v>
      </x:c>
      <x:c r="K225" s="104" t="str"/>
    </x:row>
    <x:row r="226" ht="195" customHeight="1">
      <x:c r="A226" s="104" t="str">
        <x:v>LAY-04</x:v>
      </x:c>
      <x:c r="B226" s="104" t="str">
        <x:v>Placement and power-layout review</x:v>
      </x:c>
      <x:c r="C226" s="104" t="str">
        <x:v>VERIFIED</x:v>
      </x:c>
      <x:c r="D226" s="104" t="str">
        <x:v>Actualsupply-pin/cap/returnpathsretainedandre-viewed; finitecap/ESLandlooplimitationsincludedratherthanclaimingeverycapideal.</x:v>
      </x:c>
      <x:c r="E226" s="104" t="str">
        <x:v>YES</x:v>
      </x:c>
      <x:c r="F226" s="104" t="str">
        <x:v>CLOSED</x:v>
      </x:c>
      <x:c r="G226" s="104" t="str">
        <x:v>CLOSED</x:v>
      </x:c>
      <x:c r="H226" s="104" t="str">
        <x:v>Native source/geometry checks, exact-source host tests or bounded models and controlled engineering disposition; specific evidence below. Original required evidence is preserved, not weakened.</x:v>
      </x:c>
      <x:c r="I226"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26" s="104" t="str">
        <x:v>Entire criterion addressed within its documentary/native design scope; no unperformed physical pass inferred.</x:v>
      </x:c>
      <x:c r="K226" s="104" t="str"/>
    </x:row>
    <x:row r="227" ht="326" customHeight="1">
      <x:c r="A227" s="104" t="str">
        <x:v>LAY-05</x:v>
      </x:c>
      <x:c r="B227" s="104" t="str">
        <x:v>Placement and power-layout review</x:v>
      </x:c>
      <x:c r="C227" s="104" t="str">
        <x:v>ANALYZED</x:v>
      </x:c>
      <x:c r="D227" s="104" t="str">
        <x:v>Canonical oil/ADC geometry is now bound to the original 48-case source: 52 footprints, 373 segments, 38 vias and 4 zones unchanged.192 finite-return cases pass for added 25 nH/25 mΩ but 8 added 100 nH/100 mΩ stress cases miss; worst OUT−GND−0.562883 V. D501 is a short entry shunt branch, not on the entry-to-load main path. No physical survival inferred. Separate 192-case extension includes the full 97.731 mm / 7 via post-R507 copper allocation (28.660–209.462 nH; zero/full73.546 mΩ resistance), with 0/25 nH return stress; all pass under assumed 0.1VRTN. No internal RTN or OPA-state guarantee is added. Final combined candidate d0b78f5d91297a07ee3783d0d1e3ae3d66c71459b2ed2c9669c8780bac7624cc includes D501 on-main-route correction. Candidate-bound 192-case post-R507 extension passes its assumed envelope (30.669–211.584 nH added copper, zero/full 80.222 mΩ, 0/25 nH return stress). Six OUT-model footprints,37 segments,9 vias and RTN zone definitions are unchanged; 5 stale RTN fill polygons were intentionally cleared. Native refill/gates NOTRUN; no candidate filled-plane or physical survival claim. The final R302 metadata correction leaves every modeled oil input/result identical to the preserved8484 predecessor;192cases were rerun on the final source.</x:v>
      </x:c>
      <x:c r="E227" s="104" t="str">
        <x:v>PENDING</x:v>
      </x:c>
      <x:c r="F227" s="104" t="str">
        <x:v>OPEN</x:v>
      </x:c>
      <x:c r="G227" s="104" t="str">
        <x:v>OPEN</x:v>
      </x:c>
      <x:c r="H227" s="104" t="str">
        <x:v>Source inspection, implemented candidate and/or bounded model; see lane-specific method and limitations.</x:v>
      </x:c>
      <x:c r="I227"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227" s="104" t="str">
        <x:v>The D501 route correction is implemented in an isolated combined candidate. Native refill/validation and candidate adoption remain; the actual distributed return/current-slope/device-capacitance envelope and die-level RTN-to-GND transient response are still unqualified. Passing ordinary-fault RLC cases do not qualify ESD clamp behavior.</x:v>
      </x:c>
      <x:c r="K227" s="104" t="str">
        <x:v>FR-01, FR-02, FR-03</x:v>
      </x:c>
    </x:row>
    <x:row r="228" ht="205" customHeight="1">
      <x:c r="A228" s="104" t="str">
        <x:v>LAY-06</x:v>
      </x:c>
      <x:c r="B228" s="104" t="str">
        <x:v>Placement and power-layout review</x:v>
      </x:c>
      <x:c r="C228" s="104" t="str">
        <x:v>CALCULATED</x:v>
      </x:c>
      <x:c r="D228" s="104" t="str">
        <x:v>Allactualsegment net/layer widths reviewed at56umouter/24uminner selectedminimum,20%widthloss, with75%/50%foil sensitivities belowacceptance. Minimumcross-sectionresistance andadiabaticI2tpernet/layer calculated; no fictitious all-tracks-in-series path or equalvia current split is used.</x:v>
      </x:c>
      <x:c r="E228" s="104" t="str">
        <x:v>YES</x:v>
      </x:c>
      <x:c r="F228" s="104" t="str">
        <x:v>OPEN</x:v>
      </x:c>
      <x:c r="G228" s="104" t="str">
        <x:v>OPEN</x:v>
      </x:c>
      <x:c r="H228" s="104" t="str">
        <x:v>Source inspection, implemented candidate and/or bounded model; see lane-specific method and limitations.</x:v>
      </x:c>
      <x:c r="I228"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audit/online_resolution_rvb21/derating/COPPER_VIA_BOUNDS.json
audit/online_resolution_rvb21/derating/PASSIVE_THERMAL_LIFE_BOUNDS.json
audit/online_resolution_rvb21/derating/ROW_UPDATES.json</x:v>
      </x:c>
      <x:c r="J228" s="104" t="str">
        <x:v>Bind actual fuse clearing/current path and steady copper-plane heat removal to the exact installed construction; lowoverload survival cannot be proven from adiabaticI2t alone.</x:v>
      </x:c>
      <x:c r="K228" s="104" t="str">
        <x:v>FR-01, FR-02, FR-03</x:v>
      </x:c>
    </x:row>
    <x:row r="229" ht="337" customHeight="1">
      <x:c r="A229" s="104" t="str">
        <x:v>LAY-07</x:v>
      </x:c>
      <x:c r="B229" s="104" t="str">
        <x:v>Placement and power-layout review</x:v>
      </x:c>
      <x:c r="C229" s="104" t="str">
        <x:v>VERIFIED</x:v>
      </x:c>
      <x:c r="D229" s="104" t="str">
        <x:v>Verified deliberate layout partition on unchanged canonical geometry: D501 provides a 2.863 mm OIL_SIG entry shunt branch; receiver-side divider/amplifier and ADC conditioning remain near U201, with C513.1 only 1.872 mm from U201.39. All 52 oil/ADC/connector/rail-bleed footprints and 373 oil/ADCsegments match the prior inspected source. This closes the original layout-partition criterion; it does not assert transient survival, RF-noise or acquisition acceptance.</x:v>
      </x:c>
      <x:c r="E229" s="104" t="str">
        <x:v>YES</x:v>
      </x:c>
      <x:c r="F229" s="104" t="str">
        <x:v>OPEN</x:v>
      </x:c>
      <x:c r="G229" s="104" t="str">
        <x:v>CLOSED</x:v>
      </x:c>
      <x:c r="H229" s="104" t="str">
        <x:v>Source inspection, implemented candidate and/or bounded model; see lane-specific method and limitations.</x:v>
      </x:c>
      <x:c r="I229"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
audit/online_resolution_rvb21/oil_return/REVIEW.md
audit/online_resolution_rvb21/oil_return/SOURCE_AND_RTN_GEOMETRY.json
audit/online_resolution_rvb21/oil_return/FINITE_RETURN_SENSITIVITY.json
audit/online_resolution_rvb21/oil_return/RTN_CONTROL_SENSITIVITY.json
audit/online_resolution_rvb21/oil_return/INDEPENDENT_TRANSIENT_CHECK.json
audit/online_resolution_rvb21/return_paths/RETURN_PATH_RESULTS.json
audit/online_resolution_rvb21/return_paths/OIL_GROUND_SPACING.json
audit/board_vetting_20260908/lanes/ANALOG_THERMAL_NATIVE_GEOMETRY.json
audit/online_resolution_rvb21/oil_return/BASELINE_POST_R507_SENSITIVITY.json
audit/online_resolution_rvb21/oil_return/RTN_PASSIVE_CURRENT_SCREEN.json
audit/online_resolution_rvb21/oil_return/D501_CANDIDATE_FAULT_BINDING.json
audit/online_resolution_rvb21/oil_return/CANDIDATE_PRECHECK_FINDING.json
audit/online_resolution_rvb21/return_paths/d501_flowthrough/D501_CANDIDATE_RESULTS.json
audit/online_resolution_rvb21/oil_return/FINAL_CANDIDATE_REBINDING.json
audit/online_resolution_rvb21/oil_return/ROW_UPDATES.json</x:v>
      </x:c>
      <x:c r="J229" s="104" t="str">
        <x:v>None for the original layout-partition criterion. ADC-09/EMC-06 continue to track transient fault behavior and independent ADC criteria retain acquisition/noise qualification.</x:v>
      </x:c>
      <x:c r="K229" s="104" t="str"/>
    </x:row>
    <x:row r="230" ht="195" customHeight="1">
      <x:c r="A230" s="104" t="str">
        <x:v>LAY-08</x:v>
      </x:c>
      <x:c r="B230" s="104" t="str">
        <x:v>Placement and power-layout review</x:v>
      </x:c>
      <x:c r="C230" s="104" t="str">
        <x:v>VERIFIED</x:v>
      </x:c>
      <x:c r="D230" s="104" t="str">
        <x:v>ESPboard-edgeoverhang/GPSregionandkeepoutsretained; actualenclosure/vehiclemetalfitisnotavailableforcollisionorRFpass.</x:v>
      </x:c>
      <x:c r="E230" s="104" t="str">
        <x:v>PENDING</x:v>
      </x:c>
      <x:c r="F230" s="104" t="str">
        <x:v>OPEN</x:v>
      </x:c>
      <x:c r="G230" s="104" t="str">
        <x:v>OPEN</x:v>
      </x:c>
      <x:c r="H230" s="104" t="str">
        <x:v>Native source/geometry checks, exact-source host tests or bounded models and controlled engineering disposition; specific evidence below. Original required evidence is preserved, not weakened.</x:v>
      </x:c>
      <x:c r="I230"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
audit/online_resolution_rvb21/closure/CANDIDATE_DISPOSITIONS.json</x:v>
      </x:c>
      <x:c r="J230" s="104" t="str">
        <x:v>Need actual enclosure/cable geometry and portable component envelopes; verify installed clearances and RF performance.</x:v>
      </x:c>
      <x:c r="K230" s="104" t="str">
        <x:v>FR-01, FR-02, FR-03</x:v>
      </x:c>
    </x:row>
    <x:row r="231" ht="195" customHeight="1">
      <x:c r="A231" s="104" t="str">
        <x:v>LAY-09</x:v>
      </x:c>
      <x:c r="B231" s="104" t="str">
        <x:v>Placement and power-layout review</x:v>
      </x:c>
      <x:c r="C231" s="104" t="str">
        <x:v>VERIFIED</x:v>
      </x:c>
      <x:c r="D231" s="104" t="str">
        <x:v>All37TPsandvisiblelegend/courtyard/pastegeometryrechecked; newGNDviaavoidsopposite-sidecomponentsandactivepaste.</x:v>
      </x:c>
      <x:c r="E231" s="104" t="str">
        <x:v>YES</x:v>
      </x:c>
      <x:c r="F231" s="104" t="str">
        <x:v>CLOSED</x:v>
      </x:c>
      <x:c r="G231" s="104" t="str">
        <x:v>CLOSED</x:v>
      </x:c>
      <x:c r="H231" s="104" t="str">
        <x:v>Native source/geometry checks, exact-source host tests or bounded models and controlled engineering disposition; specific evidence below. Original required evidence is preserved, not weakened.</x:v>
      </x:c>
      <x:c r="I231"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31" s="104" t="str">
        <x:v>Entire criterion addressed within its documentary/native design scope; no unperformed physical pass inferred.</x:v>
      </x:c>
      <x:c r="K231" s="104" t="str"/>
    </x:row>
    <x:row r="232" ht="195" customHeight="1">
      <x:c r="A232" s="104" t="str">
        <x:v>LAY-10</x:v>
      </x:c>
      <x:c r="B232" s="104" t="str">
        <x:v>Placement and power-layout review</x:v>
      </x:c>
      <x:c r="C232" s="104" t="str">
        <x:v>VERIFIED</x:v>
      </x:c>
      <x:c r="D232" s="104" t="str">
        <x:v>FinalnativePCBsourceandnewGerber/drill/paneloutputshashbound; oneaddedvia andR302partchange cannotbeleftinstaleRVB18artwork.</x:v>
      </x:c>
      <x:c r="E232" s="104" t="str">
        <x:v>YES</x:v>
      </x:c>
      <x:c r="F232" s="104" t="str">
        <x:v>CLOSED</x:v>
      </x:c>
      <x:c r="G232" s="104" t="str">
        <x:v>CLOSED</x:v>
      </x:c>
      <x:c r="H232" s="104" t="str">
        <x:v>Native source/geometry checks, exact-source host tests or bounded models and controlled engineering disposition; specific evidence below. Original required evidence is preserved, not weakened.</x:v>
      </x:c>
      <x:c r="I232" s="162" t="str">
        <x:v>audit/product_schematic/PRODUCT_SCHEMATIC_CHECKS.json
audit/product_pcb/PRODUCT_PCB_CHECKS.json
audit/online_closure_20260908/pcb/FINAL_GEOMETRY_EQUIVALENCE.json
audit/online_closure_20260908/simulations/rf/RESULTS.json
audit/online_closure_20260908/rf_ground/GEOMETRY_EVIDENCE.json
audit/online_closure_20260908/pcb/ADOPTED_CHANGE_RECORD.json
audit/online_closure_20260908/simulations/oil_faults/RESULTS.json
audit/online_closure_20260908/simulations/oil_response/RESULTS.json
audit/online_closure_20260908/simulations/ground/RESULTS.json
calculations/OIL_PRESSURE_CALCULATIONS.md
audit/online_resolution_rvb21/SOURCE_EFFECTIVITY.md</x:v>
      </x:c>
      <x:c r="J232" s="104" t="str">
        <x:v>Entire criterion addressed within its documentary/native design scope; no unperformed physical pass inferred.</x:v>
      </x:c>
      <x:c r="K232" s="104" t="str"/>
    </x:row>
    <x:row r="233" ht="195" customHeight="1">
      <x:c r="A233" s="104" t="str">
        <x:v>DFM-01</x:v>
      </x:c>
      <x:c r="B233" s="104" t="str">
        <x:v>PCB fabrication and assembly</x:v>
      </x:c>
      <x:c r="C233" s="104" t="str">
        <x:v>DESIGN INTENT</x:v>
      </x:c>
      <x:c r="D233" s="104" t="str">
        <x:v>Selected4layer2oz/Tg170/ENIGandnativegeometrymeetcurrentdeclaredfabricationrules; actualsupplierjob/stackup/processacceptanceunobtained.</x:v>
      </x:c>
      <x:c r="E233" s="104" t="str">
        <x:v>PENDING</x:v>
      </x:c>
      <x:c r="F233" s="104" t="str">
        <x:v>OPEN</x:v>
      </x:c>
      <x:c r="G233" s="104" t="str">
        <x:v>OPEN</x:v>
      </x:c>
      <x:c r="H233" s="104" t="str">
        <x:v>Native source/geometry checks, exact-source host tests or bounded models and controlled engineering disposition; specific evidence below. Original required evidence is preserved, not weakened.</x:v>
      </x:c>
      <x:c r="I233"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3" s="104" t="str">
        <x:v>Obtain actual stackup/process acceptance and tolerance allocation; specify controlled impedance if required by final RF contract.</x:v>
      </x:c>
      <x:c r="K233" s="104" t="str">
        <x:v>FR-07</x:v>
      </x:c>
    </x:row>
    <x:row r="234" ht="195" customHeight="1">
      <x:c r="A234" s="104" t="str">
        <x:v>DFM-02</x:v>
      </x:c>
      <x:c r="B234" s="104" t="str">
        <x:v>PCB fabrication and assembly</x:v>
      </x:c>
      <x:c r="C234" s="104" t="str">
        <x:v>REVIEWED_WITH_OPEN_LIMITS</x:v>
      </x:c>
      <x:c r="D234" s="104" t="str">
        <x:v>Finished-hole schedule and primary connector tolerances now explicit: F1PTH1.02±0.05/pegs3.00±0.05; header1.10±0.15.20µmbarrel and proposed general hole-location/diameter bounds are stated as engineering requirements, not supplier capability.</x:v>
      </x:c>
      <x:c r="E234" s="104" t="str">
        <x:v>YES</x:v>
      </x:c>
      <x:c r="F234" s="104" t="str">
        <x:v>OPEN</x:v>
      </x:c>
      <x:c r="G234" s="104" t="str">
        <x:v>OPEN</x:v>
      </x:c>
      <x:c r="H234" s="104" t="str">
        <x:v>Source inspection, implemented candidate and/or bounded model; see lane-specific method and limitations.</x:v>
      </x:c>
      <x:c r="I234"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audit/online_resolution_rvb21/drawing_process/FABRICATION_SUPPLEMENT.md
audit/online_resolution_rvb21/drawing_process/SOURCE_BINDING.json
audit/online_resolution_rvb21/drawing_process/MANUFACTURER_PROCESS_SOURCES.json
audit/online_resolution_rvb21/drawing_process/ROW_UPDATES.json</x:v>
      </x:c>
      <x:c r="J234" s="104" t="str">
        <x:v>Actual supplier process/DFM acceptance of finished drilling/plating and combined annulus/registration bounds; first-article mating verification remains required.</x:v>
      </x:c>
      <x:c r="K234" s="104" t="str">
        <x:v>FR-07</x:v>
      </x:c>
    </x:row>
    <x:row r="235" ht="195" customHeight="1">
      <x:c r="A235" s="104" t="str">
        <x:v>DFM-03</x:v>
      </x:c>
      <x:c r="B235" s="104" t="str">
        <x:v>PCB fabrication and assembly</x:v>
      </x:c>
      <x:c r="C235" s="104" t="str">
        <x:v>DESIGN INTENT</x:v>
      </x:c>
      <x:c r="D235" s="104" t="str">
        <x:v>Nativeoutline/PTH/NPTH/edgeandindependentExcellonparityregenerated; noimplicitmountingslotorscrewhole.</x:v>
      </x:c>
      <x:c r="E235" s="104" t="str">
        <x:v>YES</x:v>
      </x:c>
      <x:c r="F235" s="104" t="str">
        <x:v>CLOSED</x:v>
      </x:c>
      <x:c r="G235" s="104" t="str">
        <x:v>CLOSED</x:v>
      </x:c>
      <x:c r="H235" s="104" t="str">
        <x:v>Native source/geometry checks, exact-source host tests or bounded models and controlled engineering disposition; specific evidence below. Original required evidence is preserved, not weakened.</x:v>
      </x:c>
      <x:c r="I235"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35" s="104" t="str">
        <x:v>Entire criterion addressed within its documentary/native design scope; no unperformed physical pass inferred.</x:v>
      </x:c>
      <x:c r="K235" s="104" t="str"/>
    </x:row>
    <x:row r="236" ht="195" customHeight="1">
      <x:c r="A236" s="104" t="str">
        <x:v>DFM-04</x:v>
      </x:c>
      <x:c r="B236" s="104" t="str">
        <x:v>PCB fabrication and assembly</x:v>
      </x:c>
      <x:c r="C236" s="104" t="str">
        <x:v>DESIGN INTENT</x:v>
      </x:c>
      <x:c r="D236" s="104" t="str">
        <x:v>FreshDRCchecksactualcopperedge/mask/padclearances; sixexactgraphiclibraryexceptionsarepreservedwithoutwaivingelectricalfaults.</x:v>
      </x:c>
      <x:c r="E236" s="104" t="str">
        <x:v>YES</x:v>
      </x:c>
      <x:c r="F236" s="104" t="str">
        <x:v>CLOSED</x:v>
      </x:c>
      <x:c r="G236" s="104" t="str">
        <x:v>CLOSED</x:v>
      </x:c>
      <x:c r="H236" s="104" t="str">
        <x:v>Native source/geometry checks, exact-source host tests or bounded models and controlled engineering disposition; specific evidence below. Original required evidence is preserved, not weakened.</x:v>
      </x:c>
      <x:c r="I236"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36" s="104" t="str">
        <x:v>Entire criterion addressed within its documentary/native design scope; no unperformed physical pass inferred.</x:v>
      </x:c>
      <x:c r="K236" s="104" t="str"/>
    </x:row>
    <x:row r="237" ht="195" customHeight="1">
      <x:c r="A237" s="104" t="str">
        <x:v>DFM-05</x:v>
      </x:c>
      <x:c r="B237" s="104" t="str">
        <x:v>PCB fabrication and assembly</x:v>
      </x:c>
      <x:c r="C237" s="104" t="str">
        <x:v>DESIGN INTENT</x:v>
      </x:c>
      <x:c r="D237" s="104" t="str">
        <x:v>Qualifiedlandpatternsandfactory-onlypasteapertureschecked; stencil/reflow/voidacceptanceisactualassemblerprocesswork.</x:v>
      </x:c>
      <x:c r="E237" s="104" t="str">
        <x:v>YES</x:v>
      </x:c>
      <x:c r="F237" s="104" t="str">
        <x:v>OPEN</x:v>
      </x:c>
      <x:c r="G237" s="104" t="str">
        <x:v>OPEN</x:v>
      </x:c>
      <x:c r="H237" s="104" t="str">
        <x:v>Native source/geometry checks, exact-source host tests or bounded models and controlled engineering disposition; specific evidence below. Original required evidence is preserved, not weakened.</x:v>
      </x:c>
      <x:c r="I237"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7" s="104" t="str">
        <x:v>Reconcile package document and obtain assembler aperture/deposit/reflow acceptance; inspect first article.</x:v>
      </x:c>
      <x:c r="K237" s="104" t="str">
        <x:v>FR-07</x:v>
      </x:c>
    </x:row>
    <x:row r="238" ht="195" customHeight="1">
      <x:c r="A238" s="104" t="str">
        <x:v>DFM-06</x:v>
      </x:c>
      <x:c r="B238" s="104" t="str">
        <x:v>PCB fabrication and assembly</x:v>
      </x:c>
      <x:c r="C238" s="104" t="str">
        <x:v>DESIGN INTENT</x:v>
      </x:c>
      <x:c r="D238" s="104" t="str">
        <x:v>One-upcarrier/fiducials/toolingandunitoutline regenerated; factorydepanel/supportandfixtureapprovalremainprocessconditions.</x:v>
      </x:c>
      <x:c r="E238" s="104" t="str">
        <x:v>YES</x:v>
      </x:c>
      <x:c r="F238" s="104" t="str">
        <x:v>OPEN</x:v>
      </x:c>
      <x:c r="G238" s="104" t="str">
        <x:v>OPEN</x:v>
      </x:c>
      <x:c r="H238" s="104" t="str">
        <x:v>Native source/geometry checks, exact-source host tests or bounded models and controlled engineering disposition; specific evidence below. Original required evidence is preserved, not weakened.</x:v>
      </x:c>
      <x:c r="I238"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8" s="104" t="str">
        <x:v>Supplier fixture/support/depanel acceptance with bottom components and connector access required.</x:v>
      </x:c>
      <x:c r="K238" s="104" t="str">
        <x:v>FR-07</x:v>
      </x:c>
    </x:row>
    <x:row r="239" ht="195" customHeight="1">
      <x:c r="A239" s="104" t="str">
        <x:v>DFM-07</x:v>
      </x:c>
      <x:c r="B239" s="104" t="str">
        <x:v>PCB fabrication and assembly</x:v>
      </x:c>
      <x:c r="C239" s="104" t="str">
        <x:v>DESIGN INTENT</x:v>
      </x:c>
      <x:c r="D239" s="104" t="str">
        <x:v>ExistingthermalPTHsandpasteclearancegovern; nonewselectivefill/via-in-padserviceissilentlyrequested. Supplierregistrationacceptanceremainsopen.</x:v>
      </x:c>
      <x:c r="E239" s="104" t="str">
        <x:v>YES</x:v>
      </x:c>
      <x:c r="F239" s="104" t="str">
        <x:v>OPEN</x:v>
      </x:c>
      <x:c r="G239" s="104" t="str">
        <x:v>OPEN</x:v>
      </x:c>
      <x:c r="H239" s="104" t="str">
        <x:v>Native source/geometry checks, exact-source host tests or bounded models and controlled engineering disposition; specific evidence below. Original required evidence is preserved, not weakened.</x:v>
      </x:c>
      <x:c r="I239"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39" s="104" t="str">
        <x:v>Confirm tenting and nominal0.15 mm drill-to-paste margin with supplier; verify solder coverage/voids.</x:v>
      </x:c>
      <x:c r="K239" s="104" t="str">
        <x:v>FR-07</x:v>
      </x:c>
    </x:row>
    <x:row r="240" ht="195" customHeight="1">
      <x:c r="A240" s="104" t="str">
        <x:v>DFM-08</x:v>
      </x:c>
      <x:c r="B240" s="104" t="str">
        <x:v>PCB fabrication and assembly</x:v>
      </x:c>
      <x:c r="C240" s="104" t="str">
        <x:v>REVIEWED_WITH_OPEN_LIMITS</x:v>
      </x:c>
      <x:c r="D240" s="104" t="str">
        <x:v>Per-reference reflow exposure counts verify planned ESP one pass, GPS zero factory passes and LED/U.FL at most two. New source review finds F101top-side recommended255–260°C versus ESP235–250°C. Lower fuse peak or local selective260°C/3s process requires qualification; no process silently adopted. Exact combined-candidate matrix adds69MPNs/147positions, including TI TPS3808 and actual Murata LQW18AS1N6J0ZD process controls; 21MPNs have primary MSL. Candidate exports/actual process remain unaccepted.</x:v>
      </x:c>
      <x:c r="E240" s="104" t="str">
        <x:v>PENDING</x:v>
      </x:c>
      <x:c r="F240" s="104" t="str">
        <x:v>OPEN</x:v>
      </x:c>
      <x:c r="G240" s="104" t="str">
        <x:v>OPEN</x:v>
      </x:c>
      <x:c r="H240" s="104" t="str">
        <x:v>Source inspection, implemented candidate and/or bounded model; see lane-specific method and limitations.</x:v>
      </x:c>
      <x:c r="I240"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audit/online_resolution_rvb21/drawing_process/CHECKS.json
audit/online_resolution_rvb21/drawing_process/CANDIDATE_PER_MPN_PROCESS_LIFECYCLE.json
audit/online_resolution_rvb21/drawing_process/CANDIDATE_PROCESS_DELTA.md
audit/online_resolution_rvb21/drawing_process/ROW_UPDATES.json</x:v>
      </x:c>
      <x:c r="J240" s="104" t="str">
        <x:v>Qualify and adopt exact F101 heat sequence plus underside support, full-board profile and assembler acceptance.</x:v>
      </x:c>
      <x:c r="K240" s="104" t="str">
        <x:v>FR-07</x:v>
      </x:c>
    </x:row>
    <x:row r="241" ht="216" customHeight="1">
      <x:c r="A241" s="104" t="str">
        <x:v>DFM-09</x:v>
      </x:c>
      <x:c r="B241" s="104" t="str">
        <x:v>PCB fabrication and assembly</x:v>
      </x:c>
      <x:c r="C241" s="104" t="str">
        <x:v>REVIEWED_WITH_OPEN_LIMITS</x:v>
      </x:c>
      <x:c r="D241" s="104" t="str">
        <x:v>BOM-bound instructions and unexecuted traveler now cover68MPNs/145fitted positions. Primary-source MSL established for19MPNs;49remain explicitly unknown. Exact module, LED, connector, inductor, dry-pack and cleaning constraints replace generic handling. F101/ESP published peak-profile conflict identified. Exact combined-candidate matrix adds69MPNs/147positions, including TI TPS3808 and actual Murata LQW18AS1N6J0ZD process controls; 21MPNs have primary MSL. Candidate exports/actual process remain unaccepted.</x:v>
      </x:c>
      <x:c r="E241" s="104" t="str">
        <x:v>PENDING</x:v>
      </x:c>
      <x:c r="F241" s="104" t="str">
        <x:v>OPEN</x:v>
      </x:c>
      <x:c r="G241" s="104" t="str">
        <x:v>OPEN</x:v>
      </x:c>
      <x:c r="H241" s="104" t="str">
        <x:v>Source inspection, implemented candidate and/or bounded model; see lane-specific method and limitations.</x:v>
      </x:c>
      <x:c r="I241"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audit/online_resolution_rvb21/drawing_process/MANUFACTURER_PROCESS_SOURCES.json
audit/online_resolution_rvb21/drawing_process/FACTORY_TRAVELER_TEMPLATE.json
audit/online_resolution_rvb21/drawing_process/CHECKS.json
audit/online_resolution_rvb21/drawing_process/CANDIDATE_PER_MPN_PROCESS_LIFECYCLE.json
audit/online_resolution_rvb21/drawing_process/CANDIDATE_PROCESS_DELTA.md
audit/online_resolution_rvb21/drawing_process/ROW_UPDATES.json</x:v>
      </x:c>
      <x:c r="J241" s="104" t="str">
        <x:v>Complete remaining exact manufacturer handling/bake/chemistry fields; disposition fuse/top-pass profile; obtain actual assembler profile/cleaning/inspection/traveler records.</x:v>
      </x:c>
      <x:c r="K241" s="104" t="str">
        <x:v>FR-07</x:v>
      </x:c>
    </x:row>
    <x:row r="242" ht="195" customHeight="1">
      <x:c r="A242" s="104" t="str">
        <x:v>DFM-10</x:v>
      </x:c>
      <x:c r="B242" s="104" t="str">
        <x:v>PCB fabrication and assembly</x:v>
      </x:c>
      <x:c r="C242" s="104" t="str">
        <x:v>DESIGN INTENT</x:v>
      </x:c>
      <x:c r="D242" s="104" t="str">
        <x:v>R301/R306DNP,SJ301open,39barefeatures andmanualGPS excludedappropriatelyfromfactorypaste/BOM/CPL; R302220ohm updatedincurrentparity.</x:v>
      </x:c>
      <x:c r="E242" s="104" t="str">
        <x:v>YES</x:v>
      </x:c>
      <x:c r="F242" s="104" t="str">
        <x:v>CLOSED</x:v>
      </x:c>
      <x:c r="G242" s="104" t="str">
        <x:v>CLOSED</x:v>
      </x:c>
      <x:c r="H242" s="104" t="str">
        <x:v>Native source/geometry checks, exact-source host tests or bounded models and controlled engineering disposition; specific evidence below. Original required evidence is preserved, not weakened.</x:v>
      </x:c>
      <x:c r="I242" s="162" t="str">
        <x:v>manufacturing/product/OUTPUT_CHECKS.json
manufacturing/product/review_tables/REVIEW_TABLES_MANIFEST.json
manufacturing/product/SOURCE_MANIFEST.json
audit/product_schematic/PRODUCT_SCHEMATIC_CHECKS.json
audit/product_pcb/PRODUCT_PCB_CHECKS.json
audit/online_closure_20260908/pcb/FINAL_GEOMETRY_EQUIVALENCE.json
audit/online_resolution_rvb21/SOURCE_EFFECTIVITY.md</x:v>
      </x:c>
      <x:c r="J242" s="104" t="str">
        <x:v>Entire criterion addressed within its documentary/native design scope; no unperformed physical pass inferred.</x:v>
      </x:c>
      <x:c r="K242" s="104" t="str"/>
    </x:row>
    <x:row r="243" ht="195" customHeight="1">
      <x:c r="A243" s="104" t="str">
        <x:v>DRW-01</x:v>
      </x:c>
      <x:c r="B243" s="104" t="str">
        <x:v>Drawings, BOM and release outputs</x:v>
      </x:c>
      <x:c r="C243" s="104" t="str">
        <x:v>VERIFIED</x:v>
      </x:c>
      <x:c r="D243"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43" s="104" t="str">
        <x:v>YES</x:v>
      </x:c>
      <x:c r="F243" s="104" t="str">
        <x:v>CLOSED</x:v>
      </x:c>
      <x:c r="G243" s="104" t="str">
        <x:v>CLOSED</x:v>
      </x:c>
      <x:c r="H243" s="104" t="str">
        <x:v>Native source/geometry checks, exact-source host tests or bounded models and controlled engineering disposition; specific evidence below. Original required evidence is preserved, not weakened.</x:v>
      </x:c>
      <x:c r="I243"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audit/online_resolution_rvb21/INTEGRITY_CHECKS.json</x:v>
      </x:c>
      <x:c r="J243" s="104" t="str">
        <x:v>Entire criterion addressed within its documentary/native design scope; no unperformed physical pass inferred.</x:v>
      </x:c>
      <x:c r="K243" s="104" t="str"/>
    </x:row>
    <x:row r="244" ht="195" customHeight="1">
      <x:c r="A244" s="104" t="str">
        <x:v>DRW-02</x:v>
      </x:c>
      <x:c r="B244" s="104" t="str">
        <x:v>Drawings, BOM and release outputs</x:v>
      </x:c>
      <x:c r="C244" s="104" t="str">
        <x:v>VERIFIED</x:v>
      </x:c>
      <x:c r="D244" s="104" t="str">
        <x:v>Every144factoryreferencehasexactselectedpartandplacement; PA1616Dmanual exceptionexplicit. ActualU101/L121factoryallocationstillmissing.</x:v>
      </x:c>
      <x:c r="E244" s="104" t="str">
        <x:v>YES</x:v>
      </x:c>
      <x:c r="F244" s="104" t="str">
        <x:v>CLOSED</x:v>
      </x:c>
      <x:c r="G244" s="104" t="str">
        <x:v>CLOSED</x:v>
      </x:c>
      <x:c r="H244" s="104" t="str">
        <x:v>Native source/geometry checks, exact-source host tests or bounded models and controlled engineering disposition; specific evidence below. Original required evidence is preserved, not weakened.</x:v>
      </x:c>
      <x:c r="I244"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4" s="104" t="str">
        <x:v>Entire criterion addressed within its documentary/native design scope; no unperformed physical pass inferred.</x:v>
      </x:c>
      <x:c r="K244" s="104" t="str"/>
    </x:row>
    <x:row r="245" ht="195" customHeight="1">
      <x:c r="A245" s="104" t="str">
        <x:v>DRW-03</x:v>
      </x:c>
      <x:c r="B245" s="104" t="str">
        <x:v>Drawings, BOM and release outputs</x:v>
      </x:c>
      <x:c r="C245" s="104" t="str">
        <x:v>VERIFIED</x:v>
      </x:c>
      <x:c r="D245" s="104" t="str">
        <x:v>Actualtop/bottomrotation/pin1/polaritysourcegeometryunchanged; drawingsandCPLregeneratedandcheckedagainstmanufacturer-functionmap.</x:v>
      </x:c>
      <x:c r="E245" s="104" t="str">
        <x:v>YES</x:v>
      </x:c>
      <x:c r="F245" s="104" t="str">
        <x:v>OPEN</x:v>
      </x:c>
      <x:c r="G245" s="104" t="str">
        <x:v>OPEN</x:v>
      </x:c>
      <x:c r="H245" s="104" t="str">
        <x:v>Native source/geometry checks, exact-source host tests or bounded models and controlled engineering disposition; specific evidence below. Original required evidence is preserved, not weakened.</x:v>
      </x:c>
      <x:c r="I245"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x:v>
      </x:c>
      <x:c r="J245" s="104" t="str">
        <x:v>Actual assembler model/reel-to-pad1 overlay and first-article inspection required.</x:v>
      </x:c>
      <x:c r="K245" s="104" t="str">
        <x:v>FR-07</x:v>
      </x:c>
    </x:row>
    <x:row r="246" ht="195" customHeight="1">
      <x:c r="A246" s="104" t="str">
        <x:v>DRW-04</x:v>
      </x:c>
      <x:c r="B246" s="104" t="str">
        <x:v>Drawings, BOM and release outputs</x:v>
      </x:c>
      <x:c r="C246" s="104" t="str">
        <x:v>REVIEWED_WITH_OPEN_LIMITS</x:v>
      </x:c>
      <x:c r="D246" s="104" t="str">
        <x:v>RVB21-FAB-SUP-001A assigns controlled drawing identity/revision, exact hashes, datum/units/profile, stackup/material/copper/finish, finished thickness, full291-hole schedule, connector tolerances and20µmminimumbarrel requirement.1.60mm finished nominal and1.636mm stack-table sum are explicitly reconciled as separate pending supplier construction values.</x:v>
      </x:c>
      <x:c r="E246" s="104" t="str">
        <x:v>YES</x:v>
      </x:c>
      <x:c r="F246" s="104" t="str">
        <x:v>OPEN</x:v>
      </x:c>
      <x:c r="G246" s="104" t="str">
        <x:v>OPEN</x:v>
      </x:c>
      <x:c r="H246" s="104" t="str">
        <x:v>Source inspection, implemented candidate and/or bounded model; see lane-specific method and limitations.</x:v>
      </x:c>
      <x:c r="I246"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
audit/online_resolution_rvb21/drawing_process/FABRICATION_SUPPLEMENT.md
audit/online_resolution_rvb21/drawing_process/SOURCE_BINDING.json
audit/online_resolution_rvb21/drawing_process/ROW_UPDATES.json</x:v>
      </x:c>
      <x:c r="J246" s="104" t="str">
        <x:v>Actual fabricator review/acceptance of exact drawing hashes, finished construction, hole/plating/registration/etch and all proposed process allocations remains required.</x:v>
      </x:c>
      <x:c r="K246" s="104" t="str">
        <x:v>FR-07</x:v>
      </x:c>
    </x:row>
    <x:row r="247" ht="205" customHeight="1">
      <x:c r="A247" s="104" t="str">
        <x:v>DRW-05</x:v>
      </x:c>
      <x:c r="B247" s="104" t="str">
        <x:v>Drawings, BOM and release outputs</x:v>
      </x:c>
      <x:c r="C247" s="104" t="str">
        <x:v>REVIEWED_WITH_OPEN_LIMITS</x:v>
      </x:c>
      <x:c r="D247" s="104" t="str">
        <x:v>Controlled assembly process supplement adds exact-MPN moisture/cleaning/thermal records, DNP/manual effectivity, inspection and actual traveler requirements to the hash-bound drawings. The F101/ESP recommended profile conflict is now explicit. Exact combined-candidate matrix adds69MPNs/147positions, including TI TPS3808 and actual Murata LQW18AS1N6J0ZD process controls; 21MPNs have primary MSL. Candidate exports/actual process remain unaccepted.</x:v>
      </x:c>
      <x:c r="E247" s="104" t="str">
        <x:v>PENDING</x:v>
      </x:c>
      <x:c r="F247" s="104" t="str">
        <x:v>OPEN</x:v>
      </x:c>
      <x:c r="G247" s="104" t="str">
        <x:v>OPEN</x:v>
      </x:c>
      <x:c r="H247" s="104" t="str">
        <x:v>Source inspection, implemented candidate and/or bounded model; see lane-specific method and limitations.</x:v>
      </x:c>
      <x:c r="I247"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audit/online_resolution_rvb21/closure/CANDIDATE_DISPOSITIONS.json
audit/online_resolution_rvb21/drawing_process/ASSEMBLY_PROCESS_INSTRUCTION.md
audit/online_resolution_rvb21/drawing_process/PER_MPN_PROCESS_CONTROLS.json
audit/online_resolution_rvb21/drawing_process/FACTORY_TRAVELER_TEMPLATE.json
audit/online_resolution_rvb21/drawing_process/SOURCE_BINDING.json
audit/online_resolution_rvb21/drawing_process/CANDIDATE_PER_MPN_PROCESS_LIFECYCLE.json
audit/online_resolution_rvb21/drawing_process/CANDIDATE_PROCESS_DELTA.md
audit/online_resolution_rvb21/drawing_process/ROW_UPDATES.json</x:v>
      </x:c>
      <x:c r="J247" s="104" t="str">
        <x:v>Complete manufacturer process gaps and fuse-sequence disposition, then actual assembler review showing build without verbal interpretation.</x:v>
      </x:c>
      <x:c r="K247" s="104" t="str">
        <x:v>FR-07</x:v>
      </x:c>
    </x:row>
    <x:row r="248" ht="195" customHeight="1">
      <x:c r="A248" s="104" t="str">
        <x:v>DRW-06</x:v>
      </x:c>
      <x:c r="B248" s="104" t="str">
        <x:v>Drawings, BOM and release outputs</x:v>
      </x:c>
      <x:c r="C248" s="104" t="str">
        <x:v>VERIFIED</x:v>
      </x:c>
      <x:c r="D248" s="104" t="str">
        <x:v>Controlledfive-viewF1andTagcabledrawingsretained; sameCAN/oilcavitieswithexplicitIGN/GNDsparechanges. Actualcablecontinuityseparate.</x:v>
      </x:c>
      <x:c r="E248" s="104" t="str">
        <x:v>YES</x:v>
      </x:c>
      <x:c r="F248" s="104" t="str">
        <x:v>CLOSED</x:v>
      </x:c>
      <x:c r="G248" s="104" t="str">
        <x:v>CLOSED</x:v>
      </x:c>
      <x:c r="H248" s="104" t="str">
        <x:v>Native source/geometry checks, exact-source host tests or bounded models and controlled engineering disposition; specific evidence below. Original required evidence is preserved, not weakened.</x:v>
      </x:c>
      <x:c r="I248"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8" s="104" t="str">
        <x:v>Entire criterion addressed within its documentary/native design scope; no unperformed physical pass inferred.</x:v>
      </x:c>
      <x:c r="K248" s="104" t="str"/>
    </x:row>
    <x:row r="249" ht="195" customHeight="1">
      <x:c r="A249" s="104" t="str">
        <x:v>DRW-07</x:v>
      </x:c>
      <x:c r="B249" s="104" t="str">
        <x:v>Drawings, BOM and release outputs</x:v>
      </x:c>
      <x:c r="C249" s="104" t="str">
        <x:v>VERIFIED</x:v>
      </x:c>
      <x:c r="D249" s="104" t="str">
        <x:v>Barepadsare37TPs,Tagcontacts,openjumper/DNPfeatures andmodel-lessfittedpartsasrecorded; nofloatingcriticalcircuitisexcusedby3Dappearance.</x:v>
      </x:c>
      <x:c r="E249" s="104" t="str">
        <x:v>YES</x:v>
      </x:c>
      <x:c r="F249" s="104" t="str">
        <x:v>CLOSED</x:v>
      </x:c>
      <x:c r="G249" s="104" t="str">
        <x:v>CLOSED</x:v>
      </x:c>
      <x:c r="H249" s="104" t="str">
        <x:v>Native source/geometry checks, exact-source host tests or bounded models and controlled engineering disposition; specific evidence below. Original required evidence is preserved, not weakened.</x:v>
      </x:c>
      <x:c r="I249"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49" s="104" t="str">
        <x:v>Entire criterion addressed within its documentary/native design scope; no unperformed physical pass inferred.</x:v>
      </x:c>
      <x:c r="K249" s="104" t="str"/>
    </x:row>
    <x:row r="250" ht="195" customHeight="1">
      <x:c r="A250" s="104" t="str">
        <x:v>DRW-08</x:v>
      </x:c>
      <x:c r="B250" s="104" t="str">
        <x:v>Drawings, BOM and release outputs</x:v>
      </x:c>
      <x:c r="C250" s="104" t="str">
        <x:v>VERIFIED</x:v>
      </x:c>
      <x:c r="D250" s="104" t="str">
        <x:v>FreshERC0/noexceptions andDRC0unconnected/unwaived withsixexactgraphiclibraryexceptions; theirUUIDscopeandcountremainchecked.</x:v>
      </x:c>
      <x:c r="E250" s="104" t="str">
        <x:v>YES</x:v>
      </x:c>
      <x:c r="F250" s="104" t="str">
        <x:v>CLOSED</x:v>
      </x:c>
      <x:c r="G250" s="104" t="str">
        <x:v>CLOSED</x:v>
      </x:c>
      <x:c r="H250" s="104" t="str">
        <x:v>Native source/geometry checks, exact-source host tests or bounded models and controlled engineering disposition; specific evidence below. Original required evidence is preserved, not weakened.</x:v>
      </x:c>
      <x:c r="I250"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50" s="104" t="str">
        <x:v>Entire criterion addressed within its documentary/native design scope; no unperformed physical pass inferred.</x:v>
      </x:c>
      <x:c r="K250" s="104" t="str"/>
    </x:row>
    <x:row r="251" ht="195" customHeight="1">
      <x:c r="A251" s="104" t="str">
        <x:v>DRW-09</x:v>
      </x:c>
      <x:c r="B251" s="104" t="str">
        <x:v>Drawings, BOM and release outputs</x:v>
      </x:c>
      <x:c r="C251" s="104" t="str">
        <x:v>VERIFIED</x:v>
      </x:c>
      <x:c r="D251" s="104" t="str">
        <x:v>IndependentGerber/Excellon/IPC/paste/panelversusnativegeometrychecksregenerated; thisisactualoutputinspection,notonlyCADview.</x:v>
      </x:c>
      <x:c r="E251" s="104" t="str">
        <x:v>YES</x:v>
      </x:c>
      <x:c r="F251" s="104" t="str">
        <x:v>CLOSED</x:v>
      </x:c>
      <x:c r="G251" s="104" t="str">
        <x:v>CLOSED</x:v>
      </x:c>
      <x:c r="H251" s="104" t="str">
        <x:v>Native source/geometry checks, exact-source host tests or bounded models and controlled engineering disposition; specific evidence below. Original required evidence is preserved, not weakened.</x:v>
      </x:c>
      <x:c r="I251"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x:v>
      </x:c>
      <x:c r="J251" s="104" t="str">
        <x:v>Entire criterion addressed within its documentary/native design scope; no unperformed physical pass inferred.</x:v>
      </x:c>
      <x:c r="K251" s="104" t="str"/>
    </x:row>
    <x:row r="252" ht="195" customHeight="1">
      <x:c r="A252" s="104" t="str">
        <x:v>DRW-10</x:v>
      </x:c>
      <x:c r="B252" s="104" t="str">
        <x:v>Drawings, BOM and release outputs</x:v>
      </x:c>
      <x:c r="C252" s="104" t="str">
        <x:v>VERIFIED</x:v>
      </x:c>
      <x:c r="D252"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52" s="104" t="str">
        <x:v>YES</x:v>
      </x:c>
      <x:c r="F252" s="104" t="str">
        <x:v>CLOSED</x:v>
      </x:c>
      <x:c r="G252" s="104" t="str">
        <x:v>CLOSED</x:v>
      </x:c>
      <x:c r="H252" s="104" t="str">
        <x:v>Native source/geometry checks, exact-source host tests or bounded models and controlled engineering disposition; specific evidence below. Original required evidence is preserved, not weakened.</x:v>
      </x:c>
      <x:c r="I252" s="162" t="str">
        <x:v>manufacturing/product/OUTPUT_CHECKS.json
manufacturing/product/review_tables/REVIEW_TABLES_MANIFEST.json
manufacturing/product/SOURCE_MANIFEST.json
audit/online_closure_20260908/CURRENT_SOURCE_RECONCILIATION.md
audit/CONTROLLED_REDLINE_CROSSWALK.csv
audit/CURRENT_ISSUE_DISPOSITIONS.csv
audit/online_resolution_rvb21/SOURCE_EFFECTIVITY.md
audit/online_resolution_rvb21/INTEGRITY_CHECKS.json</x:v>
      </x:c>
      <x:c r="J252" s="104" t="str">
        <x:v>Entire criterion addressed within its documentary/native design scope; no unperformed physical pass inferred.</x:v>
      </x:c>
      <x:c r="K252" s="104" t="str"/>
    </x:row>
    <x:row r="253" ht="195" customHeight="1">
      <x:c r="A253" s="104" t="str">
        <x:v>DFT-01</x:v>
      </x:c>
      <x:c r="B253" s="104" t="str">
        <x:v>Test access and bring-up design</x:v>
      </x:c>
      <x:c r="C253" s="104" t="str">
        <x:v>DESIGN INTENT</x:v>
      </x:c>
      <x:c r="D253" s="104" t="str">
        <x:v>Input/5V/main3V3/GPS/oilisolationandTPsremain; noadditionalcuttraceisneededforstagedcontrolledbring-up.</x:v>
      </x:c>
      <x:c r="E253" s="104" t="str">
        <x:v>YES</x:v>
      </x:c>
      <x:c r="F253" s="104" t="str">
        <x:v>CLOSED</x:v>
      </x:c>
      <x:c r="G253" s="104" t="str">
        <x:v>CLOSED</x:v>
      </x:c>
      <x:c r="H253" s="104" t="str">
        <x:v>Native source/geometry checks, exact-source host tests or bounded models and controlled engineering disposition; specific evidence below. Original required evidence is preserved, not weakened.</x:v>
      </x:c>
      <x:c r="I253"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3" s="104" t="str">
        <x:v>Entire criterion addressed within its documentary/native design scope; no unperformed physical pass inferred.</x:v>
      </x:c>
      <x:c r="K253" s="104" t="str"/>
    </x:row>
    <x:row r="254" ht="195" customHeight="1">
      <x:c r="A254" s="104" t="str">
        <x:v>DFT-02</x:v>
      </x:c>
      <x:c r="B254" s="104" t="str">
        <x:v>Test access and bring-up design</x:v>
      </x:c>
      <x:c r="C254" s="104" t="str">
        <x:v>DESIGN INTENT</x:v>
      </x:c>
      <x:c r="D254" s="104" t="str">
        <x:v>37TPsplusTag/manualheaderscoverrails,EN,BOOT,UART,PPS,CAN,ADC/privateRTN; nominalprobeclearancesarechecked,actualfixturefitunmeasured.</x:v>
      </x:c>
      <x:c r="E254" s="104" t="str">
        <x:v>YES</x:v>
      </x:c>
      <x:c r="F254" s="104" t="str">
        <x:v>OPEN</x:v>
      </x:c>
      <x:c r="G254" s="104" t="str">
        <x:v>OPEN</x:v>
      </x:c>
      <x:c r="H254" s="104" t="str">
        <x:v>Native source/geometry checks, exact-source host tests or bounded models and controlled engineering disposition; specific evidence below. Original required evidence is preserved, not weakened.</x:v>
      </x:c>
      <x:c r="I254"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54" s="104" t="str">
        <x:v>Measure actual probe/fixture seating and access after assembly/enclosure.</x:v>
      </x:c>
      <x:c r="K254" s="104" t="str">
        <x:v>FR-05, FR-06</x:v>
      </x:c>
    </x:row>
    <x:row r="255" ht="195" customHeight="1">
      <x:c r="A255" s="104" t="str">
        <x:v>DFT-03</x:v>
      </x:c>
      <x:c r="B255" s="104" t="str">
        <x:v>Test access and bring-up design</x:v>
      </x:c>
      <x:c r="C255" s="104" t="str">
        <x:v>DESIGN INTENT</x:v>
      </x:c>
      <x:c r="D255" s="104" t="str">
        <x:v>Groundspring/differential/RFreferenceplanesandbandwidthprocedureexplicit; longcrocodileleadsarenotacceptedovershootevidence.</x:v>
      </x:c>
      <x:c r="E255" s="104" t="str">
        <x:v>YES</x:v>
      </x:c>
      <x:c r="F255" s="104" t="str">
        <x:v>CLOSED</x:v>
      </x:c>
      <x:c r="G255" s="104" t="str">
        <x:v>CLOSED</x:v>
      </x:c>
      <x:c r="H255" s="104" t="str">
        <x:v>Native source/geometry checks, exact-source host tests or bounded models and controlled engineering disposition; specific evidence below. Original required evidence is preserved, not weakened.</x:v>
      </x:c>
      <x:c r="I255"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5" s="104" t="str">
        <x:v>Entire criterion addressed within its documentary/native design scope; no unperformed physical pass inferred.</x:v>
      </x:c>
      <x:c r="K255" s="104" t="str"/>
    </x:row>
    <x:row r="256" ht="195" customHeight="1">
      <x:c r="A256" s="104" t="str">
        <x:v>DFT-04</x:v>
      </x:c>
      <x:c r="B256" s="104" t="str">
        <x:v>Test access and bring-up design</x:v>
      </x:c>
      <x:c r="C256" s="104" t="str">
        <x:v>DESIGN INTENT</x:v>
      </x:c>
      <x:c r="D256" s="104" t="str">
        <x:v>Existingcurrent-limitedstageprocedureandstopthresholdsretained; newnumericrail/model/temperaturelimitslinktophysicaltestwithoutpretendedpass.</x:v>
      </x:c>
      <x:c r="E256" s="104" t="str">
        <x:v>YES</x:v>
      </x:c>
      <x:c r="F256" s="104" t="str">
        <x:v>CLOSED</x:v>
      </x:c>
      <x:c r="G256" s="104" t="str">
        <x:v>CLOSED</x:v>
      </x:c>
      <x:c r="H256" s="104" t="str">
        <x:v>Native source/geometry checks, exact-source host tests or bounded models and controlled engineering disposition; specific evidence below. Original required evidence is preserved, not weakened.</x:v>
      </x:c>
      <x:c r="I256"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6" s="104" t="str">
        <x:v>Entire criterion addressed within its documentary/native design scope; no unperformed physical pass inferred.</x:v>
      </x:c>
      <x:c r="K256" s="104" t="str"/>
    </x:row>
    <x:row r="257" ht="195" customHeight="1">
      <x:c r="A257" s="104" t="str">
        <x:v>DFT-05</x:v>
      </x:c>
      <x:c r="B257" s="104" t="str">
        <x:v>Test access and bring-up design</x:v>
      </x:c>
      <x:c r="C257" s="104" t="str">
        <x:v>DESIGN INTENT</x:v>
      </x:c>
      <x:c r="D257" s="104" t="str">
        <x:v>Native480-keynetlistand12cavityscheduledefinefixturecontinuity/isolationmatrix; finishedfixture/harnessmeasurementsnotgeneratedbysimulation.</x:v>
      </x:c>
      <x:c r="E257" s="104" t="str">
        <x:v>YES</x:v>
      </x:c>
      <x:c r="F257" s="104" t="str">
        <x:v>OPEN</x:v>
      </x:c>
      <x:c r="G257" s="104" t="str">
        <x:v>OPEN</x:v>
      </x:c>
      <x:c r="H257" s="104" t="str">
        <x:v>Native source/geometry checks, exact-source host tests or bounded models and controlled engineering disposition; specific evidence below. Original required evidence is preserved, not weakened.</x:v>
      </x:c>
      <x:c r="I257"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57" s="104" t="str">
        <x:v>Build the fixture and capture all 12cavity continuity/isolation results against controlled reference.</x:v>
      </x:c>
      <x:c r="K257" s="104" t="str">
        <x:v>FR-05, FR-06</x:v>
      </x:c>
    </x:row>
    <x:row r="258" ht="195" customHeight="1">
      <x:c r="A258" s="104" t="str">
        <x:v>DFT-06</x:v>
      </x:c>
      <x:c r="B258" s="104" t="str">
        <x:v>Test access and bring-up design</x:v>
      </x:c>
      <x:c r="C258" s="104" t="str">
        <x:v>DESIGN INTENT</x:v>
      </x:c>
      <x:c r="D258" s="104" t="str">
        <x:v>NoRFteststub; CANandanalogprobestubsremaininthepath/capacitanceaudit. Probe loadingmustberecordedformeasurement.</x:v>
      </x:c>
      <x:c r="E258" s="104" t="str">
        <x:v>YES</x:v>
      </x:c>
      <x:c r="F258" s="104" t="str">
        <x:v>CLOSED</x:v>
      </x:c>
      <x:c r="G258" s="104" t="str">
        <x:v>CLOSED</x:v>
      </x:c>
      <x:c r="H258" s="104" t="str">
        <x:v>Native source/geometry checks, exact-source host tests or bounded models and controlled engineering disposition; specific evidence below. Original required evidence is preserved, not weakened.</x:v>
      </x:c>
      <x:c r="I258"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8" s="104" t="str">
        <x:v>Entire criterion addressed within its documentary/native design scope; no unperformed physical pass inferred.</x:v>
      </x:c>
      <x:c r="K258" s="104" t="str"/>
    </x:row>
    <x:row r="259" ht="195" customHeight="1">
      <x:c r="A259" s="104" t="str">
        <x:v>DFT-07</x:v>
      </x:c>
      <x:c r="B259" s="104" t="str">
        <x:v>Test access and bring-up design</x:v>
      </x:c>
      <x:c r="C259" s="104" t="str">
        <x:v>DESIGN INTENT</x:v>
      </x:c>
      <x:c r="D259" s="104" t="str">
        <x:v>NormalDNP/openandisolationrestorationchecklistclear; noTX/terminationtestconfigurationleftapprovedforvehicleuse.</x:v>
      </x:c>
      <x:c r="E259" s="104" t="str">
        <x:v>YES</x:v>
      </x:c>
      <x:c r="F259" s="104" t="str">
        <x:v>CLOSED</x:v>
      </x:c>
      <x:c r="G259" s="104" t="str">
        <x:v>CLOSED</x:v>
      </x:c>
      <x:c r="H259" s="104" t="str">
        <x:v>Native source/geometry checks, exact-source host tests or bounded models and controlled engineering disposition; specific evidence below. Original required evidence is preserved, not weakened.</x:v>
      </x:c>
      <x:c r="I259"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x:v>
      </x:c>
      <x:c r="J259" s="104" t="str">
        <x:v>Entire criterion addressed within its documentary/native design scope; no unperformed physical pass inferred.</x:v>
      </x:c>
      <x:c r="K259" s="104" t="str"/>
    </x:row>
    <x:row r="260" ht="195" customHeight="1">
      <x:c r="A260" s="104" t="str">
        <x:v>DFT-08</x:v>
      </x:c>
      <x:c r="B260" s="104" t="str">
        <x:v>Test access and bring-up design</x:v>
      </x:c>
      <x:c r="C260" s="104" t="str">
        <x:v>DESIGN INTENT</x:v>
      </x:c>
      <x:c r="D260" s="104" t="str">
        <x:v>Independentvoltageinjection,CANobserverandGPSrawUART/PPS/RFproceduresisolatehardwarefromparser/BLE; physicaltestsremainunperformed.</x:v>
      </x:c>
      <x:c r="E260" s="104" t="str">
        <x:v>YES</x:v>
      </x:c>
      <x:c r="F260" s="104" t="str">
        <x:v>OPEN</x:v>
      </x:c>
      <x:c r="G260" s="104" t="str">
        <x:v>OPEN</x:v>
      </x:c>
      <x:c r="H260" s="104" t="str">
        <x:v>Native source/geometry checks, exact-source host tests or bounded models and controlled engineering disposition; specific evidence below. Original required evidence is preserved, not weakened.</x:v>
      </x:c>
      <x:c r="I260"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0" s="104" t="str">
        <x:v>Independent instruments/reference CAN nodes, isolatedRFfixture and real sensor/accessory tests.</x:v>
      </x:c>
      <x:c r="K260" s="104" t="str">
        <x:v>FR-05, FR-06</x:v>
      </x:c>
    </x:row>
    <x:row r="261" ht="195" customHeight="1">
      <x:c r="A261" s="104" t="str">
        <x:v>DFT-09</x:v>
      </x:c>
      <x:c r="B261" s="104" t="str">
        <x:v>Test access and bring-up design</x:v>
      </x:c>
      <x:c r="C261" s="104" t="str">
        <x:v>DESIGN INTENT</x:v>
      </x:c>
      <x:c r="D261" s="104" t="str">
        <x:v>Versionedstationandper-unitIDs/calibrationlimitsprovideautomatedacceptanceworkflow; hostfixturetestsdonotstandinforunitmeasurements.</x:v>
      </x:c>
      <x:c r="E261" s="104" t="str">
        <x:v>YES</x:v>
      </x:c>
      <x:c r="F261" s="104" t="str">
        <x:v>OPEN</x:v>
      </x:c>
      <x:c r="G261" s="104" t="str">
        <x:v>OPEN</x:v>
      </x:c>
      <x:c r="H261" s="104" t="str">
        <x:v>Native source/geometry checks, exact-source host tests or bounded models and controlled engineering disposition; specific evidence below. Original required evidence is preserved, not weakened.</x:v>
      </x:c>
      <x:c r="I261"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1" s="104" t="str">
        <x:v>Qualify fixture/instruments, per-unit limits and traceable actual records.</x:v>
      </x:c>
      <x:c r="K261" s="104" t="str">
        <x:v>FR-05, FR-06</x:v>
      </x:c>
    </x:row>
    <x:row r="262" ht="195" customHeight="1">
      <x:c r="A262" s="104" t="str">
        <x:v>DFT-10</x:v>
      </x:c>
      <x:c r="B262" s="104" t="str">
        <x:v>Test access and bring-up design</x:v>
      </x:c>
      <x:c r="C262" s="104" t="str">
        <x:v>DESIGN INTENT</x:v>
      </x:c>
      <x:c r="D262" s="104" t="str">
        <x:v>Factoryimage/readback/defaults/calibrationidentityandR301/R306/SJ301inspectionrequiredaftertest; noorderorvehicleauthorizationimplicit.</x:v>
      </x:c>
      <x:c r="E262" s="104" t="str">
        <x:v>YES</x:v>
      </x:c>
      <x:c r="F262" s="104" t="str">
        <x:v>OPEN</x:v>
      </x:c>
      <x:c r="G262" s="104" t="str">
        <x:v>OPEN</x:v>
      </x:c>
      <x:c r="H262" s="104" t="str">
        <x:v>Native source/geometry checks, exact-source host tests or bounded models and controlled engineering disposition; specific evidence below. Original required evidence is preserved, not weakened.</x:v>
      </x:c>
      <x:c r="I262" s="162" t="str">
        <x:v>audit/online_closure_20260908/ONLINE_VERIFICATION_CONTRACT.md
audit/online_closure_20260908/FINAL_REVIEW_ITEMS.json
audit/product_schematic/PRODUCT_SCHEMATIC_CHECKS.json
audit/product_pcb/PRODUCT_PCB_CHECKS.json
audit/online_closure_20260908/pcb/FINAL_GEOMETRY_EQUIVALENCE.json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audit/online_resolution_rvb21/SOURCE_EFFECTIVITY.md
audit/online_resolution_rvb21/closure/CANDIDATE_DISPOSITIONS.json</x:v>
      </x:c>
      <x:c r="J262" s="104" t="str">
        <x:v>Actual final-state inspection and stored per-unit programming/calibration/vehicle-safe evidence.</x:v>
      </x:c>
      <x:c r="K262" s="104" t="str">
        <x:v>FR-05, FR-06</x:v>
      </x:c>
    </x:row>
    <x:row r="263" ht="195" customHeight="1">
      <x:c r="A263" s="104" t="str">
        <x:v>VNV-01</x:v>
      </x:c>
      <x:c r="B263" s="104" t="str">
        <x:v>Verification evidence and acceptance</x:v>
      </x:c>
      <x:c r="C263" s="104" t="str">
        <x:v>DESIGN INTENT</x:v>
      </x:c>
      <x:c r="D263" s="104" t="str">
        <x:v>All290questionsnowhaveonlineinspected/calculated/design-intentdispositionsandoriginalevidencepreserved; numericcontractandgroupedfinalreviewitemsstateownership/limits.</x:v>
      </x:c>
      <x:c r="E263" s="104" t="str">
        <x:v>PENDING</x:v>
      </x:c>
      <x:c r="F263" s="104" t="str">
        <x:v>OPEN</x:v>
      </x:c>
      <x:c r="G263" s="104" t="str">
        <x:v>OPEN</x:v>
      </x:c>
      <x:c r="H263" s="104" t="str">
        <x:v>Native source/geometry checks, exact-source host tests or bounded models and controlled engineering disposition; specific evidence below. Original required evidence is preserved, not weakened.</x:v>
      </x:c>
      <x:c r="I26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3" s="104" t="str">
        <x:v>Allocate numerical acceptance and responsible execution for each remaining requirement.</x:v>
      </x:c>
      <x:c r="K263" s="104" t="str">
        <x:v>FR-02, FR-03, FR-04, FR-05, FR-08</x:v>
      </x:c>
    </x:row>
    <x:row r="264" ht="195" customHeight="1">
      <x:c r="A264" s="104" t="str">
        <x:v>VNV-02</x:v>
      </x:c>
      <x:c r="B264" s="104" t="str">
        <x:v>Verification evidence and acceptance</x:v>
      </x:c>
      <x:c r="C264" s="104" t="str">
        <x:v>VERIFIED</x:v>
      </x:c>
      <x:c r="D264" s="104" t="str">
        <x:v>RVB-21 retains original raw evidence and explicitly supersedes three overstated model claims: filter input power is now 5.7725 W, reset release uses the guaranteed-low EN boundary, and oil publication has a second alias stage and actual scheduler timing. Models are source-bound and reproducible; failed or uncertain cases remain visible. No hardware correlation is claimed.</x:v>
      </x:c>
      <x:c r="E264" s="104" t="str">
        <x:v>YES</x:v>
      </x:c>
      <x:c r="F264" s="104" t="str">
        <x:v>CLOSED</x:v>
      </x:c>
      <x:c r="G264" s="104" t="str">
        <x:v>CLOSED</x:v>
      </x:c>
      <x:c r="H264" s="104" t="str">
        <x:v>Native source/geometry checks, exact-source host tests or bounded models and controlled engineering disposition; specific evidence below. Original required evidence is preserved, not weakened.</x:v>
      </x:c>
      <x:c r="I26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audit/online_resolution_rvb21/power_analog/REVIEW.md
audit/online_resolution_rvb21/power_analog/SOURCE_BINDING.json</x:v>
      </x:c>
      <x:c r="J264" s="104" t="str">
        <x:v>Entire criterion addressed within its documentary/native design scope; no unperformed physical pass inferred.</x:v>
      </x:c>
      <x:c r="K264" s="104" t="str"/>
    </x:row>
    <x:row r="265" ht="195" customHeight="1">
      <x:c r="A265" s="104" t="str">
        <x:v>VNV-03</x:v>
      </x:c>
      <x:c r="B265" s="104" t="str">
        <x:v>Verification evidence and acceptance</x:v>
      </x:c>
      <x:c r="C265" s="104" t="str">
        <x:v>VERIFIED</x:v>
      </x:c>
      <x:c r="D265" s="104" t="str">
        <x:v>RVB-21 retains original raw evidence and explicitly supersedes three overstated model claims: filter input power is now 5.7725 W, reset release uses the guaranteed-low EN boundary, and oil publication has a second alias stage and actual scheduler timing. Models are source-bound and reproducible; failed or uncertain cases remain visible. No hardware correlation is claimed.</x:v>
      </x:c>
      <x:c r="E265" s="104" t="str">
        <x:v>YES</x:v>
      </x:c>
      <x:c r="F265" s="104" t="str">
        <x:v>CLOSED</x:v>
      </x:c>
      <x:c r="G265" s="104" t="str">
        <x:v>CLOSED</x:v>
      </x:c>
      <x:c r="H265" s="104" t="str">
        <x:v>Native source/geometry checks, exact-source host tests or bounded models and controlled engineering disposition; specific evidence below. Original required evidence is preserved, not weakened.</x:v>
      </x:c>
      <x:c r="I265"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audit/online_resolution_rvb21/power_analog/REVIEW.md
audit/online_resolution_rvb21/power_analog/SOURCE_BINDING.json</x:v>
      </x:c>
      <x:c r="J265" s="104" t="str">
        <x:v>Entire criterion addressed within its documentary/native design scope; no unperformed physical pass inferred.</x:v>
      </x:c>
      <x:c r="K265" s="104" t="str"/>
    </x:row>
    <x:row r="266" ht="195" customHeight="1">
      <x:c r="A266" s="104" t="str">
        <x:v>VNV-04</x:v>
      </x:c>
      <x:c r="B266" s="104" t="str">
        <x:v>Verification evidence and acceptance</x:v>
      </x:c>
      <x:c r="C266" s="104" t="str">
        <x:v>DESIGN INTENT</x:v>
      </x:c>
      <x:c r="D266" s="104" t="str">
        <x:v>Powerfilter/reset/load/thermalestimatescompleted; actualripple/startup/short/transientwaveformsremainphysicalcriteria.</x:v>
      </x:c>
      <x:c r="E266" s="104" t="str">
        <x:v>YES</x:v>
      </x:c>
      <x:c r="F266" s="104" t="str">
        <x:v>OPEN</x:v>
      </x:c>
      <x:c r="G266" s="104" t="str">
        <x:v>OPEN</x:v>
      </x:c>
      <x:c r="H266" s="104" t="str">
        <x:v>Native source/geometry checks, exact-source host tests or bounded models and controlled engineering disposition; specific evidence below. Original required evidence is preserved, not weakened.</x:v>
      </x:c>
      <x:c r="I266"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6" s="104" t="str">
        <x:v>Execute the staged rail tests with actual loads, setup and uncertainty.</x:v>
      </x:c>
      <x:c r="K266" s="104" t="str">
        <x:v>FR-02, FR-03, FR-04, FR-05, FR-08</x:v>
      </x:c>
    </x:row>
    <x:row r="267" ht="195" customHeight="1">
      <x:c r="A267" s="104" t="str">
        <x:v>VNV-05</x:v>
      </x:c>
      <x:c r="B267" s="104" t="str">
        <x:v>Verification evidence and acceptance</x:v>
      </x:c>
      <x:c r="C267" s="104" t="str">
        <x:v>DESIGN INTENT</x:v>
      </x:c>
      <x:c r="D267" s="104" t="str">
        <x:v>CANphysicalroutes,damping/branchdelayandactualsoftwaretrafficmodeltested; independentbuswaveforms,sequencecountsandunpowerednoninterferenceremainbench/vehiclework.</x:v>
      </x:c>
      <x:c r="E267" s="104" t="str">
        <x:v>YES</x:v>
      </x:c>
      <x:c r="F267" s="104" t="str">
        <x:v>OPEN</x:v>
      </x:c>
      <x:c r="G267" s="104" t="str">
        <x:v>OPEN</x:v>
      </x:c>
      <x:c r="H267" s="104" t="str">
        <x:v>Native source/geometry checks, exact-source host tests or bounded models and controlled engineering disposition; specific evidence below. Original required evidence is preserved, not weakened.</x:v>
      </x:c>
      <x:c r="I267"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7" s="104" t="str">
        <x:v>Run an independent-ACK bench with source/receiver counts and waveform/non-interference captures.</x:v>
      </x:c>
      <x:c r="K267" s="104" t="str">
        <x:v>FR-02, FR-03, FR-04, FR-05, FR-08</x:v>
      </x:c>
    </x:row>
    <x:row r="268" ht="205" customHeight="1">
      <x:c r="A268" s="104" t="str">
        <x:v>VNV-06</x:v>
      </x:c>
      <x:c r="B268" s="104" t="str">
        <x:v>Verification evidence and acceptance</x:v>
      </x:c>
      <x:c r="C268" s="104" t="str">
        <x:v>DESIGN INTENT</x:v>
      </x:c>
      <x:c r="D268" s="104" t="str">
        <x:v>Oilfullgain/fault/dynamic/ground/harnessbudgetsandhostvectorsreviewed; per-unitgain/nonlinearity/noise/realpressurecalibrationstillrequiresreferenceequipment.
Adds actual-source threshold/recovery vectors while preserving continuously valid pressure alpha0.5 behavior. The three-clean hold is only after observed faults and is not part of steady-valid dip-capture credit.</x:v>
      </x:c>
      <x:c r="E268" s="104" t="str">
        <x:v>PENDING</x:v>
      </x:c>
      <x:c r="F268" s="104" t="str">
        <x:v>OPEN</x:v>
      </x:c>
      <x:c r="G268" s="104" t="str">
        <x:v>OPEN</x:v>
      </x:c>
      <x:c r="H268" s="104" t="str">
        <x:v>Native source/geometry checks, exact-source host tests or bounded models and controlled engineering disposition; specific evidence below. Original required evidence is preserved, not weakened.</x:v>
      </x:c>
      <x:c r="I268"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audit/online_resolution_rvb21/adc_fault/REVIEW.md
audit/online_resolution_rvb21/adc_fault/FOLLOWUP_REGRESSION_RESULTS.json
audit/online_resolution_rvb21/adc_fault/GPS_EPOCH_RESULTS.json</x:v>
      </x:c>
      <x:c r="J268" s="104" t="str">
        <x:v>Perform two-channel calibration and independent full-channel static/dynamic/fault testing.
Full-channel traceable calibration, noise/dynamic pressure references, connector fault decay and actual acquisition remain physical.</x:v>
      </x:c>
      <x:c r="K268" s="104" t="str">
        <x:v>FR-02, FR-03, FR-04, FR-05, FR-08</x:v>
      </x:c>
    </x:row>
    <x:row r="269" ht="195" customHeight="1">
      <x:c r="A269" s="104" t="str">
        <x:v>VNV-07</x:v>
      </x:c>
      <x:c r="B269" s="104" t="str">
        <x:v>Verification evidence and acceptance</x:v>
      </x:c>
      <x:c r="C269" s="104" t="str">
        <x:v>DESIGN INTENT</x:v>
      </x:c>
      <x:c r="D269" s="104" t="str">
        <x:v>GPSrawpins/framing/baudconfigandRFpathestimated; actualPPSassociation/externalantennaoutdoorperformancecannotbeemulatedfromunknownmodule/accessoryconditions.</x:v>
      </x:c>
      <x:c r="E269" s="104" t="str">
        <x:v>YES</x:v>
      </x:c>
      <x:c r="F269" s="104" t="str">
        <x:v>OPEN</x:v>
      </x:c>
      <x:c r="G269" s="104" t="str">
        <x:v>OPEN</x:v>
      </x:c>
      <x:c r="H269" s="104" t="str">
        <x:v>Native source/geometry checks, exact-source host tests or bounded models and controlled engineering disposition; specific evidence below. Original required evidence is preserved, not weakened.</x:v>
      </x:c>
      <x:c r="I269"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x:v>
      </x:c>
      <x:c r="J269" s="104" t="str">
        <x:v>Test the exact accessory and module configuration with RF/reception and PPS evidence.</x:v>
      </x:c>
      <x:c r="K269" s="104" t="str">
        <x:v>FR-02, FR-03, FR-04, FR-05, FR-08</x:v>
      </x:c>
    </x:row>
    <x:row r="270" ht="293" customHeight="1">
      <x:c r="A270" s="104" t="str">
        <x:v>VNV-08</x:v>
      </x:c>
      <x:c r="B270" s="104" t="str">
        <x:v>Verification evidence and acceptance</x:v>
      </x:c>
      <x:c r="C270" s="104" t="str">
        <x:v>HOLD</x:v>
      </x:c>
      <x:c r="D270" s="104" t="str">
        <x:v>The actual 2.1.2 oil scheduler can drift under allowed ≤5 ms servicing: a modeled 50 ms pressure dip appears at only 36.37% depth, below the 45% requirement. The staged phase-preserving 2.1.3 correction passes 900,106 actual-function checks. In 1,246 finite timing scenarios it retains at least 45.887% of a 50 ms dip, 84.839% of a 100 ms dip, and reaches 95% step response within 132.5 ms. A 20 ms event can retain only 3.92%; no short-event guarantee exists. The 50 ms margin is narrow; physical ADC duration, radio/phone delay and achieved accuracy remain unverified.
CANloss19, notify19, oilcadence900106, oilfault25244, GPSqueue612033 and GPSevent23 assertions are separate source-bound host tests. Their coexistence is not a simultaneous MCU/radio/load pass.</x:v>
      </x:c>
      <x:c r="E270" s="104" t="str">
        <x:v>PENDING</x:v>
      </x:c>
      <x:c r="F270" s="104" t="str">
        <x:v>OPEN</x:v>
      </x:c>
      <x:c r="G270" s="104" t="str">
        <x:v>OPEN</x:v>
      </x:c>
      <x:c r="H270" s="104" t="str">
        <x:v>Native source/geometry checks, exact-source host tests or bounded models and controlled engineering disposition; specific evidence below. Original required evidence is preserved, not weakened.</x:v>
      </x:c>
      <x:c r="I270"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audit/board_vetting_20260908/lanes/digital_can.json
audit/board_vetting_20260908/lanes/analog_thermal.json
BRING_UP_PLAN.md
audit/online_resolution_rvb21/firmware/FIRMWARE_VERIFICATION.md
audit/online_resolution_rvb21/power_analog/OIL_SCHEDULER_TIMING.json
audit/online_resolution_rvb21/power_analog/OIL_SCHEDULER_PHASE_CANDIDATE.json
audit/online_resolution_rvb21/power_analog/REVIEW.md
audit/online_resolution_rvb21/firmware/OIL_CADENCE_CANDIDATE.json
audit/online_resolution_rvb21/adc_fault/REVIEW.md
audit/online_resolution_rvb21/adc_fault/FOLLOWUP_REGRESSION_RESULTS.json
audit/online_resolution_rvb21/adc_fault/GPS_EPOCH_RESULTS.json</x:v>
      </x:c>
      <x:c r="J270" s="104" t="str">
        <x:v>Host simultaneous/cached/rejection tests are bounded; staged firmware fixes need exact target build then actual simultaneous CAN/GPS/oil/BLElatency/loss/current/thermal tests.
Actual integrated latency/error/loss/current test remains required; user-visible rates during extra fault-transition notifications require observation.</x:v>
      </x:c>
      <x:c r="K270" s="104" t="str">
        <x:v>FR-02, FR-03, FR-04, FR-05, FR-08</x:v>
      </x:c>
    </x:row>
    <x:row r="271" ht="227" customHeight="1">
      <x:c r="A271" s="104" t="str">
        <x:v>VNV-09</x:v>
      </x:c>
      <x:c r="B271" s="104" t="str">
        <x:v>Verification evidence and acceptance</x:v>
      </x:c>
      <x:c r="C271" s="104" t="str">
        <x:v>HOLD</x:v>
      </x:c>
      <x:c r="D271" s="104" t="str">
        <x:v>Compiled 2.1.2 loses missed-frame totals after driver restart and undersamples queue depth. The isolated 2.1.3 source implements boot-lifetime missed/FIFO/restart-discard accounting and pre-drain queue snapshots, with focused actual-function host tests. It has no embedded image yet. The exact-target build, source/image adoption and independent target/analyzer tests remain pending.</x:v>
      </x:c>
      <x:c r="E271" s="104" t="str">
        <x:v>PENDING</x:v>
      </x:c>
      <x:c r="F271" s="104" t="str">
        <x:v>OPEN</x:v>
      </x:c>
      <x:c r="G271" s="104" t="str">
        <x:v>OPEN</x:v>
      </x:c>
      <x:c r="H271" s="104" t="str">
        <x:v>Native source/geometry checks, exact-source host tests or bounded models and controlled engineering disposition; specific evidence below. Original required evidence is preserved, not weakened.</x:v>
      </x:c>
      <x:c r="I271"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audit/board_vetting_20260908/lanes/digital_can.json
BRING_UP_PLAN.md
audit/online_resolution_rvb21/firmware/FIRMWARE_VERIFICATION.md
audit/online_resolution_rvb21/firmware/LOSS_OBSERVABILITY_RESULTS.json
audit/online_resolution_rvb21/firmware/CANDIDATE_SOURCE_CHECKS.json</x:v>
      </x:c>
      <x:c r="J271" s="104" t="str">
        <x:v>Pending exact-target2.1.3build/adoption corrects observability; an actual24h/72hcontinuously logged soak remains required.</x:v>
      </x:c>
      <x:c r="K271" s="104" t="str">
        <x:v>FR-02, FR-03, FR-04, FR-05, FR-08</x:v>
      </x:c>
    </x:row>
    <x:row r="272" ht="195" customHeight="1">
      <x:c r="A272" s="104" t="str">
        <x:v>VNV-10</x:v>
      </x:c>
      <x:c r="B272" s="104" t="str">
        <x:v>Verification evidence and acceptance</x:v>
      </x:c>
      <x:c r="C272" s="104" t="str">
        <x:v>DESIGN INTENT</x:v>
      </x:c>
      <x:c r="D272" s="104" t="str">
        <x:v>High-energy/transienttestsremainseparatefromordinarycurrent-limitedbring-up; fixtureandcontainmentmustmatchactualsourcewaveforms.</x:v>
      </x:c>
      <x:c r="E272" s="104" t="str">
        <x:v>YES</x:v>
      </x:c>
      <x:c r="F272" s="104" t="str">
        <x:v>CLOSED</x:v>
      </x:c>
      <x:c r="G272" s="104" t="str">
        <x:v>CLOSED</x:v>
      </x:c>
      <x:c r="H272" s="104" t="str">
        <x:v>Native source/geometry checks, exact-source host tests or bounded models and controlled engineering disposition; specific evidence below. Original required evidence is preserved, not weakened.</x:v>
      </x:c>
      <x:c r="I272"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272" s="104" t="str">
        <x:v>Entire criterion addressed within its documentary/native design scope; no unperformed physical pass inferred.</x:v>
      </x:c>
      <x:c r="K272" s="104" t="str"/>
    </x:row>
    <x:row r="273" ht="195" customHeight="1">
      <x:c r="A273" s="104" t="str">
        <x:v>VNV-11</x:v>
      </x:c>
      <x:c r="B273" s="104" t="str">
        <x:v>Verification evidence and acceptance</x:v>
      </x:c>
      <x:c r="C273" s="104" t="str">
        <x:v>DESIGN INTENT</x:v>
      </x:c>
      <x:c r="D273" s="104" t="str">
        <x:v>Vehicleentryrequiresrealpower/CANnoninterferencegates andverifiedharness; userengineeringjudgmentdoesnotcreateunperformedvehicleevidence.</x:v>
      </x:c>
      <x:c r="E273" s="104" t="str">
        <x:v>YES</x:v>
      </x:c>
      <x:c r="F273" s="104" t="str">
        <x:v>CLOSED</x:v>
      </x:c>
      <x:c r="G273" s="104" t="str">
        <x:v>CLOSED</x:v>
      </x:c>
      <x:c r="H273" s="104" t="str">
        <x:v>Native source/geometry checks, exact-source host tests or bounded models and controlled engineering disposition; specific evidence below. Original required evidence is preserved, not weakened.</x:v>
      </x:c>
      <x:c r="I273"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x:v>
      </x:c>
      <x:c r="J273" s="104" t="str">
        <x:v>Entire criterion addressed within its documentary/native design scope; no unperformed physical pass inferred.</x:v>
      </x:c>
      <x:c r="K273" s="104" t="str"/>
    </x:row>
    <x:row r="274" ht="249" customHeight="1">
      <x:c r="A274" s="104" t="str">
        <x:v>VNV-12</x:v>
      </x:c>
      <x:c r="B274" s="104" t="str">
        <x:v>Verification evidence and acceptance</x:v>
      </x:c>
      <x:c r="C274" s="104" t="str">
        <x:v>OPEN</x:v>
      </x:c>
      <x:c r="D274" s="104" t="str">
        <x:v>Root canonical/staged authority conflict is corrected by SOURCE_EFFECTIVITY and final integrity gate. Staged candidates still require clean native/embedded/output regeneration and actual measurement records.
Saved exact pre-ADC/GPS28-file source snapshot, original manifest hash agreement, regenerated full and incremental patches, source-extracted harnesses, commands, logs and final30-file source manifest.</x:v>
      </x:c>
      <x:c r="E274" s="104" t="str">
        <x:v>PENDING</x:v>
      </x:c>
      <x:c r="F274" s="104" t="str">
        <x:v>OPEN</x:v>
      </x:c>
      <x:c r="G274" s="104" t="str">
        <x:v>OPEN</x:v>
      </x:c>
      <x:c r="H274" s="104" t="str">
        <x:v>Native source/geometry checks, exact-source host tests or bounded models and controlled engineering disposition; specific evidence below. Original required evidence is preserved, not weakened.</x:v>
      </x:c>
      <x:c r="I274" s="162" t="str">
        <x:v>audit/online_closure_20260908/ONLINE_VERIFICATION_CONTRACT.md
audit/online_closure_20260908/FINAL_REVIEW_ITEMS.json
audit/online_closure_20260908/firmware/ACTUAL_SOURCE_TEST_RESULTS.json
audit/online_closure_20260908/firmware/GPS_FRAMING_TEST.json
audit/online_closure_20260908/firmware/HOST_REGRESSION_RESULTS.json
audit/online_closure_20260908/firmware/FIRMWARE_RELEASE_CHECKS.json
firmware/productization_candidate/BUILD_MANIFEST.json
audit/product_schematic/PRODUCT_SCHEMATIC_CHECKS.json
audit/product_pcb/PRODUCT_PCB_CHECKS.json
audit/online_closure_20260908/pcb/FINAL_GEOMETRY_EQUIVALENCE.json
audit/online_resolution_rvb21/SOURCE_EFFECTIVITY.md
audit/online_resolution_rvb21/closure/CANDIDATE_DISPOSITIONS.json
audit/board_vetting_20260908/BASELINE_BINDING.json
audit/board_vetting_20260908/lanes/layout_mfg.json
audit/board_vetting_20260908/lanes/mechanics.json
audit/board_vetting_20260908/BOARD_VETTING_SUMMARY.md
audit/online_resolution_rvb21/adc_fault/REVIEW.md
audit/online_resolution_rvb21/adc_fault/FOLLOWUP_REGRESSION_RESULTS.json
audit/online_resolution_rvb21/adc_fault/GPS_EPOCH_RESULTS.json</x:v>
      </x:c>
      <x:c r="J274" s="104" t="str">
        <x:v>Root canonical/staged authority conflict is corrected by SOURCE_EFFECTIVITY and final integrity gate. Staged candidates still require clean native/embedded/output regeneration and actual measurement records.
This preserves reproducibility of named host checks and prior hashes, not missing target/instrument/physical passes.</x:v>
      </x:c>
      <x:c r="K274" s="104" t="str">
        <x:v>FR-02, FR-03, FR-04, FR-05, FR-08</x:v>
      </x:c>
    </x:row>
    <x:row r="275" ht="195" customHeight="1">
      <x:c r="A275" s="104" t="str">
        <x:v>FMEA-01</x:v>
      </x:c>
      <x:c r="B275" s="104" t="str">
        <x:v>Failure analysis and system safety</x:v>
      </x:c>
      <x:c r="C275" s="104" t="str">
        <x:v>DESIGN INTENT</x:v>
      </x:c>
      <x:c r="D275" s="104" t="str">
        <x:v>Original36partialpowerfaults plus22nativefaultdeltasreconciled; wholetelemetrylossacceptedforGPSshort,internalrailOVP/uncontainedfaultlimitsretained.</x:v>
      </x:c>
      <x:c r="E275" s="104" t="str">
        <x:v>PENDING</x:v>
      </x:c>
      <x:c r="F275" s="104" t="str">
        <x:v>OPEN</x:v>
      </x:c>
      <x:c r="G275" s="104" t="str">
        <x:v>OPEN</x:v>
      </x:c>
      <x:c r="H275" s="104" t="str">
        <x:v>Native source/geometry checks, exact-source host tests or bounded models and controlled engineering disposition; specific evidence below. Original required evidence is preserved, not weakened.</x:v>
      </x:c>
      <x:c r="I275"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5" s="104" t="str">
        <x:v>No universal all-component or multiple-fault survival claim is made. External energy containment, source fusing and vehicle propagation remain open.</x:v>
      </x:c>
      <x:c r="K275" s="104" t="str">
        <x:v>FR-02, FR-04</x:v>
      </x:c>
    </x:row>
    <x:row r="276" ht="195" customHeight="1">
      <x:c r="A276" s="104" t="str">
        <x:v>FMEA-02</x:v>
      </x:c>
      <x:c r="B276" s="104" t="str">
        <x:v>Failure analysis and system safety</x:v>
      </x:c>
      <x:c r="C276" s="104" t="str">
        <x:v>DESIGN INTENT</x:v>
      </x:c>
      <x:c r="D276" s="104" t="str">
        <x:v>R301openpreventsfirmwareTXfault,butanybuspin/ESDshortcanstillholddominant/shortCAN. Universalpassive-deviceharmlessnessisnotclaimed.</x:v>
      </x:c>
      <x:c r="E276" s="104" t="str">
        <x:v>PENDING</x:v>
      </x:c>
      <x:c r="F276" s="104" t="str">
        <x:v>OPEN</x:v>
      </x:c>
      <x:c r="G276" s="104" t="str">
        <x:v>OPEN</x:v>
      </x:c>
      <x:c r="H276" s="104" t="str">
        <x:v>Native source/geometry checks, exact-source host tests or bounded models and controlled engineering disposition; specific evidence below. Original required evidence is preserved, not weakened.</x:v>
      </x:c>
      <x:c r="I276"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6" s="104" t="str">
        <x:v>Define accepted bus-disruption risk and containment; test representative faults on an isolated bench bus.</x:v>
      </x:c>
      <x:c r="K276" s="104" t="str">
        <x:v>FR-02, FR-04</x:v>
      </x:c>
    </x:row>
    <x:row r="277" ht="195" customHeight="1">
      <x:c r="A277" s="104" t="str">
        <x:v>FMEA-03</x:v>
      </x:c>
      <x:c r="B277" s="104" t="str">
        <x:v>Failure analysis and system safety</x:v>
      </x:c>
      <x:c r="C277" s="104" t="str">
        <x:v>DESIGN INTENT</x:v>
      </x:c>
      <x:c r="D277" s="104" t="str">
        <x:v>PowergroundlossmayreturnthroughCAN/coax/sensor/programmer; protectedfixtureandinstallationgroundrulesdefined, physicalalternativecurrentunverified.</x:v>
      </x:c>
      <x:c r="E277" s="104" t="str">
        <x:v>PENDING</x:v>
      </x:c>
      <x:c r="F277" s="104" t="str">
        <x:v>OPEN</x:v>
      </x:c>
      <x:c r="G277" s="104" t="str">
        <x:v>OPEN</x:v>
      </x:c>
      <x:c r="H277" s="104" t="str">
        <x:v>Native source/geometry checks, exact-source host tests or bounded models and controlled engineering disposition; specific evidence below. Original required evidence is preserved, not weakened.</x:v>
      </x:c>
      <x:c r="I277"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7" s="104" t="str">
        <x:v>Define harness/accessory shield bonding and bound currents for each lost-return case.</x:v>
      </x:c>
      <x:c r="K277" s="104" t="str">
        <x:v>FR-02, FR-04</x:v>
      </x:c>
    </x:row>
    <x:row r="278" ht="195" customHeight="1">
      <x:c r="A278" s="104" t="str">
        <x:v>FMEA-04</x:v>
      </x:c>
      <x:c r="B278" s="104" t="str">
        <x:v>Failure analysis and system safety</x:v>
      </x:c>
      <x:c r="C278" s="104" t="str">
        <x:v>DESIGN INTENT</x:v>
      </x:c>
      <x:c r="D278" s="104" t="str">
        <x:v>Actual16F1nearestbridgesandexternal±24Vsignal/positive24Vexcitationfaultsboundedwheremodelsapply; arbitrarymiswire/compositefaultsremainlimits.</x:v>
      </x:c>
      <x:c r="E278" s="104" t="str">
        <x:v>PENDING</x:v>
      </x:c>
      <x:c r="F278" s="104" t="str">
        <x:v>OPEN</x:v>
      </x:c>
      <x:c r="G278" s="104" t="str">
        <x:v>OPEN</x:v>
      </x:c>
      <x:c r="H278" s="104" t="str">
        <x:v>Native source/geometry checks, exact-source host tests or bounded models and controlled engineering disposition; specific evidence below. Original required evidence is preserved, not weakened.</x:v>
      </x:c>
      <x:c r="I278"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8" s="104" t="str">
        <x:v>Specify fault voltage, source impedance and duration. Arbitrary harness miswiring is not automatically safe.</x:v>
      </x:c>
      <x:c r="K278" s="104" t="str">
        <x:v>FR-02, FR-04</x:v>
      </x:c>
    </x:row>
    <x:row r="279" ht="195" customHeight="1">
      <x:c r="A279" s="104" t="str">
        <x:v>FMEA-05</x:v>
      </x:c>
      <x:c r="B279" s="104" t="str">
        <x:v>Failure analysis and system safety</x:v>
      </x:c>
      <x:c r="C279" s="104" t="str">
        <x:v>DESIGN INTENT</x:v>
      </x:c>
      <x:c r="D279" s="104" t="str">
        <x:v>HardwareTXopenandinvalid/stalesoftwarestatesdefinedforreset/hang/configfault; actualpartial-power/brownoutoutputsremainqualification.</x:v>
      </x:c>
      <x:c r="E279" s="104" t="str">
        <x:v>PENDING</x:v>
      </x:c>
      <x:c r="F279" s="104" t="str">
        <x:v>OPEN</x:v>
      </x:c>
      <x:c r="G279" s="104" t="str">
        <x:v>OPEN</x:v>
      </x:c>
      <x:c r="H279" s="104" t="str">
        <x:v>Native source/geometry checks, exact-source host tests or bounded models and controlled engineering disposition; specific evidence below. Original required evidence is preserved, not weakened.</x:v>
      </x:c>
      <x:c r="I279"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79" s="104" t="str">
        <x:v>Verify on-wire behavior and define allowed external consequences of component failure.</x:v>
      </x:c>
      <x:c r="K279" s="104" t="str">
        <x:v>FR-02, FR-04</x:v>
      </x:c>
    </x:row>
    <x:row r="280" ht="195" customHeight="1">
      <x:c r="A280" s="104" t="str">
        <x:v>FMEA-06</x:v>
      </x:c>
      <x:c r="B280" s="104" t="str">
        <x:v>Failure analysis and system safety</x:v>
      </x:c>
      <x:c r="C280" s="104" t="str">
        <x:v>VERIFIED</x:v>
      </x:c>
      <x:c r="D280" s="104" t="str">
        <x:v>The original asks whether one sensor/antenna fault can remove unrelated telemetry and requires fault-isolation/graceful-degradation ANALYSIS. The answer is yes for a GPS rail short; native topology and corrected0.400/0.630/0.900Ashort-current corners and1.079/1.309/1.579Ashared-demand calculations show why. Existing delegated contract accepts whole-telemetry loss for this non-safety availability case. The analysis is complete without claiming actual fault survival.</x:v>
      </x:c>
      <x:c r="E280" s="104" t="str">
        <x:v>YES</x:v>
      </x:c>
      <x:c r="F280" s="104" t="str">
        <x:v>OPEN</x:v>
      </x:c>
      <x:c r="G280" s="104" t="str">
        <x:v>CLOSED</x:v>
      </x:c>
      <x:c r="H280" s="104" t="str">
        <x:v>circuit fault analysis and existing availability decision reconciliation</x:v>
      </x:c>
      <x:c r="I280"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audit/online_resolution_rvb21/closure/ACCEPTANCE_CLARIFICATIONS.md
audit/board_vetting_20260908/lanes/power_evidence/power_calculations.json
audit/board_vetting_20260908/lanes/power_evidence/FAULT_DELTAS.csv
audit/online_resolution_rvb21/power_analog/GPS_FAULT_THERMAL_RECHECK.json</x:v>
      </x:c>
      <x:c r="J280" s="104" t="str">
        <x:v>Physical short recovery, heat, source-fuse containment, CAN loading, failed internal regulators and unknown antenna behavior remain FR-02/04/05/06 and their original measurement criteria.</x:v>
      </x:c>
      <x:c r="K280" s="104" t="str"/>
    </x:row>
    <x:row r="281" ht="205" customHeight="1">
      <x:c r="A281" s="104" t="str">
        <x:v>FMEA-07</x:v>
      </x:c>
      <x:c r="B281" s="104" t="str">
        <x:v>Failure analysis and system safety</x:v>
      </x:c>
      <x:c r="C281" s="104" t="str">
        <x:v>POLICY DEFINED / CORRECTION HOST VERIFIED; TARGET UNBUILT</x:v>
      </x:c>
      <x:c r="D281" s="104" t="str">
        <x:v>Supported range/stale/stuck/rate policy defined without invented pressure slew or timeout rejection. Actual-source identical steady/stuck input counterexample retained. Repeated dated GPS RMC epochs no longer refresh500ms solution age or overwrite coordinates; backward epochs invalidate; first/newer epochs and calendar rollover accepted.23 actual parser/service/notification checks pass, including immediate preparation of invalid packet on validity change.</x:v>
      </x:c>
      <x:c r="E281" s="104" t="str">
        <x:v>PENDING</x:v>
      </x:c>
      <x:c r="F281" s="104" t="str">
        <x:v>OPEN</x:v>
      </x:c>
      <x:c r="G281" s="104" t="str">
        <x:v>OPEN</x:v>
      </x:c>
      <x:c r="H281" s="104" t="str">
        <x:v>Source inspection, implemented candidate and/or bounded model; see lane-specific method and limitations.</x:v>
      </x:c>
      <x:c r="I281"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audit/online_resolution_rvb21/adc_fault/REVIEW.md
audit/online_resolution_rvb21/adc_fault/ADC_FAULT_RESULTS.json
audit/online_resolution_rvb21/adc_fault/GPS_EPOCH_RESULTS.json
audit/online_resolution_rvb21/adc_fault/FOLLOWUP_REGRESSION_RESULTS.json
audit/online_resolution_rvb21/adc_fault/CRITERION_UPDATES.json</x:v>
      </x:c>
      <x:c r="J281" s="104" t="str">
        <x:v>Compile/adopt candidate; verify physical dynamic excitation, ADC channel matching, hardware freshness and phone fault/stale behavior. Wrong but plausible signals with valid advancing timestamps still require an independent reference to diagnose.</x:v>
      </x:c>
      <x:c r="K281" s="104" t="str">
        <x:v>FR-02, FR-04</x:v>
      </x:c>
    </x:row>
    <x:row r="282" ht="195" customHeight="1">
      <x:c r="A282" s="104" t="str">
        <x:v>FMEA-08</x:v>
      </x:c>
      <x:c r="B282" s="104" t="str">
        <x:v>Failure analysis and system safety</x:v>
      </x:c>
      <x:c r="C282" s="104" t="str">
        <x:v>DESIGN INTENT</x:v>
      </x:c>
      <x:c r="D282" s="104" t="str">
        <x:v>Eightgroupedfinalreviewitemsretainallphysical,supplier,configurationandmodeluncertainties; nohistorydeletedtocreatemisleadingzero.</x:v>
      </x:c>
      <x:c r="E282" s="104" t="str">
        <x:v>YES</x:v>
      </x:c>
      <x:c r="F282" s="104" t="str">
        <x:v>CLOSED</x:v>
      </x:c>
      <x:c r="G282" s="104" t="str">
        <x:v>CLOSED</x:v>
      </x:c>
      <x:c r="H282" s="104" t="str">
        <x:v>Native source/geometry checks, exact-source host tests or bounded models and controlled engineering disposition; specific evidence below. Original required evidence is preserved, not weakened.</x:v>
      </x:c>
      <x:c r="I282"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x:v>
      </x:c>
      <x:c r="J282" s="104" t="str">
        <x:v>Entire criterion addressed within its documentary/native design scope; no unperformed physical pass inferred.</x:v>
      </x:c>
      <x:c r="K282" s="104" t="str"/>
    </x:row>
    <x:row r="283" ht="304" customHeight="1">
      <x:c r="A283" s="104" t="str">
        <x:v>FMEA-09</x:v>
      </x:c>
      <x:c r="B283" s="104" t="str">
        <x:v>Failure analysis and system safety</x:v>
      </x:c>
      <x:c r="C283" s="104" t="str">
        <x:v>REVIEWED_WITH_OPEN_LIMITS</x:v>
      </x:c>
      <x:c r="D283" s="104" t="str">
        <x:v>Source-bound consumer/service instructions now map every oil fault bit and status LED to a concrete action, identify measurement-unavailable versus pressure, prohibit calibration around faults, and explain canonical2.1.2missed-count resets/queueunderreporting. Candidate2.1.3is not represented as flashed hardware.
Candidate service definitions now explain held oil mask,0xFFFF invalidity, duplicate/backward GPS epochs, strict backward-time recovery, and inability to diagnose every plausible wrong signal. Shared with process/service document owner.</x:v>
      </x:c>
      <x:c r="E283" s="104" t="str">
        <x:v>PENDING</x:v>
      </x:c>
      <x:c r="F283" s="104" t="str">
        <x:v>OPEN</x:v>
      </x:c>
      <x:c r="G283" s="104" t="str">
        <x:v>OPEN</x:v>
      </x:c>
      <x:c r="H283" s="104" t="str">
        <x:v>Source inspection, implemented candidate and/or bounded model; see lane-specific method and limitations.</x:v>
      </x:c>
      <x:c r="I283"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
audit/board_vetting_20260908/lanes/power_evidence/native_power_objects.json
audit/board_vetting_20260908/lanes/power_evidence/power_calculations.json
audit/board_vetting_20260908/lanes/power_evidence/FAULT_DELTAS.csv
audit/erb_20260907/lanes/POWER_SINGLE_FAULT_FMEA.csv
audit/board_vetting_20260908/lanes/power_evidence/README.md
audit/online_resolution_rvb21/firmware/FIRMWARE_VERIFICATION.md
audit/online_resolution_rvb21/firmware/LOSS_OBSERVABILITY_RESULTS.json
audit/online_resolution_rvb21/firmware/CANDIDATE_SOURCE_CHECKS.json
audit/online_resolution_rvb21/drawing_process/SERVICE_DIAGNOSTIC_INSTRUCTIONS.md
audit/online_resolution_rvb21/drawing_process/SERVICE_SOURCE_BINDING.json
audit/online_resolution_rvb21/drawing_process/ROW_UPDATES.json
audit/online_resolution_rvb21/adc_fault/REVIEW.md
audit/online_resolution_rvb21/adc_fault/FOLLOWUP_REGRESSION_RESULTS.json
audit/online_resolution_rvb21/adc_fault/GPS_EPOCH_RESULTS.json</x:v>
      </x:c>
      <x:c r="J283" s="104" t="str">
        <x:v>Complete candidate firmware target build/adoption and actual status/phone/diagnostic behaviour verification. Instructions are complete; corrected target behaviour is not yet qualified.
Keep canonical2.1.2 instructions distinct; candidate-only policy does not establish consumer understanding or actual phone behavior.</x:v>
      </x:c>
      <x:c r="K283" s="104" t="str">
        <x:v>FR-02, FR-04</x:v>
      </x:c>
    </x:row>
    <x:row r="284" ht="195" customHeight="1">
      <x:c r="A284" s="104" t="str">
        <x:v>FMEA-10</x:v>
      </x:c>
      <x:c r="B284" s="104" t="str">
        <x:v>Failure analysis and system safety</x:v>
      </x:c>
      <x:c r="C284" s="104" t="str">
        <x:v>DESIGN INTENT</x:v>
      </x:c>
      <x:c r="D284" s="104" t="str">
        <x:v>Electricalnoninterferenceincludesloading/shorts/backfeed/groundloss; listen-onlysoftwarealoneisexplicitlyinsufficientevidence.</x:v>
      </x:c>
      <x:c r="E284" s="104" t="str">
        <x:v>YES</x:v>
      </x:c>
      <x:c r="F284" s="104" t="str">
        <x:v>OPEN</x:v>
      </x:c>
      <x:c r="G284" s="104" t="str">
        <x:v>OPEN</x:v>
      </x:c>
      <x:c r="H284" s="104" t="str">
        <x:v>Native source/geometry checks, exact-source host tests or bounded models and controlled engineering disposition; specific evidence below. Original required evidence is preserved, not weakened.</x:v>
      </x:c>
      <x:c r="I284" s="162" t="str">
        <x:v>audit/online_closure_20260908/ONLINE_VERIFICATION_CONTRACT.md
audit/online_closure_20260908/FINAL_REVIEW_ITEMS.json
audit/online_closure_20260908/simulations/power/RESULTS.json
calculations/POWER_ARCHITECTURE_REVIEW.md
audit/board_vetting_20260908/lanes/power_evidence/CURRENT_PASSIVE_STRESS.json
audit/online_closure_20260908/simulations/can_si_220ohm/RESULTS.json
audit/online_closure_20260908/can_eco/R302_QUALIFICATION.md
audit/online_closure_20260908/firmware/ACTUAL_SOURCE_TEST_RESULTS.json
audit/online_resolution_rvb21/SOURCE_EFFECTIVITY.md
audit/online_resolution_rvb21/closure/CANDIDATE_DISPOSITIONS.json</x:v>
      </x:c>
      <x:c r="J284" s="104" t="str">
        <x:v>Vehicle bus loading, EMC, ground-loss and fault-containment qualification remain open.</x:v>
      </x:c>
      <x:c r="K284" s="104" t="str">
        <x:v>FR-02, FR-04</x:v>
      </x:c>
    </x:row>
    <x:row r="285" ht="195" customHeight="1">
      <x:c r="A285" s="104" t="str">
        <x:v>CCB-01</x:v>
      </x:c>
      <x:c r="B285" s="104" t="str">
        <x:v>Change control and release authority</x:v>
      </x:c>
      <x:c r="C285" s="104" t="str">
        <x:v>DESIGN INTENT</x:v>
      </x:c>
      <x:c r="D285" s="104" t="str">
        <x:v>All26originalRL/Rrowsnowlinkcurrentimplementedcorrectionandnative/analytic/physicalclosurelimits; oldRevAbrokenpinfailuresremainrecorded.</x:v>
      </x:c>
      <x:c r="E285" s="104" t="str">
        <x:v>YES</x:v>
      </x:c>
      <x:c r="F285" s="104" t="str">
        <x:v>CLOSED</x:v>
      </x:c>
      <x:c r="G285" s="104" t="str">
        <x:v>CLOSED</x:v>
      </x:c>
      <x:c r="H285" s="104" t="str">
        <x:v>Native source/geometry checks, exact-source host tests or bounded models and controlled engineering disposition; specific evidence below. Original required evidence is preserved, not weakened.</x:v>
      </x:c>
      <x:c r="I285"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5" s="104" t="str">
        <x:v>Entire criterion addressed within its documentary/native design scope; no unperformed physical pass inferred.</x:v>
      </x:c>
      <x:c r="K285" s="104" t="str"/>
    </x:row>
    <x:row r="286" ht="195" customHeight="1">
      <x:c r="A286" s="104" t="str">
        <x:v>CCB-02</x:v>
      </x:c>
      <x:c r="B286" s="104" t="str">
        <x:v>Change control and release authority</x:v>
      </x:c>
      <x:c r="C286" s="104" t="str">
        <x:v>DESIGN INTENT</x:v>
      </x:c>
      <x:c r="D286" s="104" t="str">
        <x:v>RVB19ECOaffectsR302BOM,CANsheet,oneRFroute,oneGNDdrill,firmwaretimingandoutputs; outlines,pinout,assemblysides/calibrationschemaremainexplicit.</x:v>
      </x:c>
      <x:c r="E286" s="104" t="str">
        <x:v>YES</x:v>
      </x:c>
      <x:c r="F286" s="104" t="str">
        <x:v>CLOSED</x:v>
      </x:c>
      <x:c r="G286" s="104" t="str">
        <x:v>CLOSED</x:v>
      </x:c>
      <x:c r="H286" s="104" t="str">
        <x:v>Native source/geometry checks, exact-source host tests or bounded models and controlled engineering disposition; specific evidence below. Original required evidence is preserved, not weakened.</x:v>
      </x:c>
      <x:c r="I286"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6" s="104" t="str">
        <x:v>Entire criterion addressed within its documentary/native design scope; no unperformed physical pass inferred.</x:v>
      </x:c>
      <x:c r="K286" s="104" t="str"/>
    </x:row>
    <x:row r="287" ht="195" customHeight="1">
      <x:c r="A287" s="104" t="str">
        <x:v>CCB-03</x:v>
      </x:c>
      <x:c r="B287" s="104" t="str">
        <x:v>Change control and release authority</x:v>
      </x:c>
      <x:c r="C287" s="104" t="str">
        <x:v>DESIGN INTENT</x:v>
      </x:c>
      <x:c r="D287" s="104" t="str">
        <x:v>R302electricalchangequalifiedbyactualmodels/timing/partdata; noothercomponent/stackupalternate silentlyapproved. RFtolerancelimitretained.</x:v>
      </x:c>
      <x:c r="E287" s="104" t="str">
        <x:v>YES</x:v>
      </x:c>
      <x:c r="F287" s="104" t="str">
        <x:v>CLOSED</x:v>
      </x:c>
      <x:c r="G287" s="104" t="str">
        <x:v>CLOSED</x:v>
      </x:c>
      <x:c r="H287" s="104" t="str">
        <x:v>Native source/geometry checks, exact-source host tests or bounded models and controlled engineering disposition; specific evidence below. Original required evidence is preserved, not weakened.</x:v>
      </x:c>
      <x:c r="I287"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7" s="104" t="str">
        <x:v>Entire criterion addressed within its documentary/native design scope; no unperformed physical pass inferred.</x:v>
      </x:c>
      <x:c r="K287" s="104" t="str"/>
    </x:row>
    <x:row r="288" ht="195" customHeight="1">
      <x:c r="A288" s="104" t="str">
        <x:v>CCB-04</x:v>
      </x:c>
      <x:c r="B288" s="104" t="str">
        <x:v>Change control and release authority</x:v>
      </x:c>
      <x:c r="C288" s="104" t="str">
        <x:v>REVIEWED_WITH_OPEN_LIMITS</x:v>
      </x:c>
      <x:c r="D288" s="104" t="str">
        <x:v>Concrete CCA/harness label fields, unique serial formats, full-hash record linkage, legacyRevA/earlierRevB disposition, exactRevBtinpinmap and rework-control scheme are now defined. No physical serial/lot or actual compatibility is invented.</x:v>
      </x:c>
      <x:c r="E288" s="104" t="str">
        <x:v>YES</x:v>
      </x:c>
      <x:c r="F288" s="104" t="str">
        <x:v>OPEN</x:v>
      </x:c>
      <x:c r="G288" s="104" t="str">
        <x:v>OPEN</x:v>
      </x:c>
      <x:c r="H288" s="104" t="str">
        <x:v>Source inspection, implemented candidate and/or bounded model; see lane-specific method and limitations.</x:v>
      </x:c>
      <x:c r="I288"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audit/online_resolution_rvb21/closure/CANDIDATE_DISPOSITIONS.json
audit/online_resolution_rvb21/drawing_process/CONFIGURATION_LABEL_EFFECTIVITY.md
audit/online_resolution_rvb21/drawing_process/UNIT_HARNESS_LABEL_TEMPLATE.json
audit/online_resolution_rvb21/drawing_process/SOURCE_BINDING.json
audit/online_resolution_rvb21/drawing_process/ROW_UPDATES.json</x:v>
      </x:c>
      <x:c r="J288" s="104" t="str">
        <x:v>Apply scheme to actual unit and spare-harness identities; execute required rework/continuity/compatibility inspections and retain labels/records before deployment.</x:v>
      </x:c>
      <x:c r="K288" s="104" t="str">
        <x:v>FR-07, FR-08</x:v>
      </x:c>
    </x:row>
    <x:row r="289" ht="195" customHeight="1">
      <x:c r="A289" s="104" t="str">
        <x:v>CCB-05</x:v>
      </x:c>
      <x:c r="B289" s="104" t="str">
        <x:v>Change control and release authority</x:v>
      </x:c>
      <x:c r="C289" s="104" t="str">
        <x:v>DESIGN INTENT</x:v>
      </x:c>
      <x:c r="D289" s="104" t="str">
        <x:v>RevAbodgesarehistoricalbenchconfigurationonly; noRevArepairis silentlyincludedasaproductionassemblyoperation.</x:v>
      </x:c>
      <x:c r="E289" s="104" t="str">
        <x:v>YES</x:v>
      </x:c>
      <x:c r="F289" s="104" t="str">
        <x:v>CLOSED</x:v>
      </x:c>
      <x:c r="G289" s="104" t="str">
        <x:v>CLOSED</x:v>
      </x:c>
      <x:c r="H289" s="104" t="str">
        <x:v>Native source/geometry checks, exact-source host tests or bounded models and controlled engineering disposition; specific evidence below. Original required evidence is preserved, not weakened.</x:v>
      </x:c>
      <x:c r="I289"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89" s="104" t="str">
        <x:v>Entire criterion addressed within its documentary/native design scope; no unperformed physical pass inferred.</x:v>
      </x:c>
      <x:c r="K289" s="104" t="str"/>
    </x:row>
    <x:row r="290" ht="195" customHeight="1">
      <x:c r="A290" s="104" t="str">
        <x:v>CCB-06</x:v>
      </x:c>
      <x:c r="B290" s="104" t="str">
        <x:v>Change control and release authority</x:v>
      </x:c>
      <x:c r="C290" s="104" t="str">
        <x:v>VERIFIED</x:v>
      </x:c>
      <x:c r="D290"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90" s="104" t="str">
        <x:v>YES</x:v>
      </x:c>
      <x:c r="F290" s="104" t="str">
        <x:v>CLOSED</x:v>
      </x:c>
      <x:c r="G290" s="104" t="str">
        <x:v>CLOSED</x:v>
      </x:c>
      <x:c r="H290" s="104" t="str">
        <x:v>Native source/geometry checks, exact-source host tests or bounded models and controlled engineering disposition; specific evidence below. Original required evidence is preserved, not weakened.</x:v>
      </x:c>
      <x:c r="I290"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audit/online_resolution_rvb21/INTEGRITY_CHECKS.json</x:v>
      </x:c>
      <x:c r="J290" s="104" t="str">
        <x:v>Entire criterion addressed within its documentary/native design scope; no unperformed physical pass inferred.</x:v>
      </x:c>
      <x:c r="K290" s="104" t="str"/>
    </x:row>
    <x:row r="291" ht="195" customHeight="1">
      <x:c r="A291" s="104" t="str">
        <x:v>CCB-07</x:v>
      </x:c>
      <x:c r="B291" s="104" t="str">
        <x:v>Change control and release authority</x:v>
      </x:c>
      <x:c r="C291" s="104" t="str">
        <x:v>VERIFIED</x:v>
      </x:c>
      <x:c r="D291" s="104" t="str">
        <x:v>RVB-21 reconciles the stale root RVB-18 release manifest with actual canonical RVB-19 source and the recovered RVB-20 review. Current root identities/hashes and the candidate-versus-canonical evidence impact are verified. RF and firmware candidates are explicitly not adopted; old native/compiled reports cannot certify them.</x:v>
      </x:c>
      <x:c r="E291" s="104" t="str">
        <x:v>YES</x:v>
      </x:c>
      <x:c r="F291" s="104" t="str">
        <x:v>CLOSED</x:v>
      </x:c>
      <x:c r="G291" s="104" t="str">
        <x:v>CLOSED</x:v>
      </x:c>
      <x:c r="H291" s="104" t="str">
        <x:v>Native source/geometry checks, exact-source host tests or bounded models and controlled engineering disposition; specific evidence below. Original required evidence is preserved, not weakened.</x:v>
      </x:c>
      <x:c r="I291"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audit/online_resolution_rvb21/INTEGRITY_CHECKS.json</x:v>
      </x:c>
      <x:c r="J291" s="104" t="str">
        <x:v>Entire criterion addressed within its documentary/native design scope; no unperformed physical pass inferred.</x:v>
      </x:c>
      <x:c r="K291" s="104" t="str"/>
    </x:row>
    <x:row r="292" ht="195" customHeight="1">
      <x:c r="A292" s="104" t="str">
        <x:v>CCB-08</x:v>
      </x:c>
      <x:c r="B292" s="104" t="str">
        <x:v>Change control and release authority</x:v>
      </x:c>
      <x:c r="C292" s="104" t="str">
        <x:v>DESIGN INTENT</x:v>
      </x:c>
      <x:c r="D292" s="104" t="str">
        <x:v>SixspecificgraphicDRCwaiversretainedwithUUIDs/scope; modeledlimitationsremainOPEN/CALCULATEDratherthanblanketwaiversorforgedsignatures.</x:v>
      </x:c>
      <x:c r="E292" s="104" t="str">
        <x:v>PENDING</x:v>
      </x:c>
      <x:c r="F292" s="104" t="str">
        <x:v>OPEN</x:v>
      </x:c>
      <x:c r="G292" s="104" t="str">
        <x:v>OPEN</x:v>
      </x:c>
      <x:c r="H292" s="104" t="str">
        <x:v>Native source/geometry checks, exact-source host tests or bounded models and controlled engineering disposition; specific evidence below. Original required evidence is preserved, not weakened.</x:v>
      </x:c>
      <x:c r="I292"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
audit/online_resolution_rvb21/closure/CANDIDATE_DISPOSITIONS.json</x:v>
      </x:c>
      <x:c r="J292" s="104" t="str">
        <x:v>Retain narrow graphic waivers and explicitly disposition each new risk at its relevant gate.</x:v>
      </x:c>
      <x:c r="K292" s="104" t="str">
        <x:v>FR-07, FR-08</x:v>
      </x:c>
    </x:row>
    <x:row r="293" ht="195" customHeight="1">
      <x:c r="A293" s="104" t="str">
        <x:v>CCB-09</x:v>
      </x:c>
      <x:c r="B293" s="104" t="str">
        <x:v>Change control and release authority</x:v>
      </x:c>
      <x:c r="C293" s="104" t="str">
        <x:v>DESIGN INTENT</x:v>
      </x:c>
      <x:c r="D293" s="104" t="str">
        <x:v>Engineeringreviewdelegated; nofabricationorder,suppliercontact,benchenergizationorvehicleoperationoccurred. Workbookformulascannotgrantthoseactions.</x:v>
      </x:c>
      <x:c r="E293" s="104" t="str">
        <x:v>YES</x:v>
      </x:c>
      <x:c r="F293" s="104" t="str">
        <x:v>CLOSED</x:v>
      </x:c>
      <x:c r="G293" s="104" t="str">
        <x:v>CLOSED</x:v>
      </x:c>
      <x:c r="H293" s="104" t="str">
        <x:v>Native source/geometry checks, exact-source host tests or bounded models and controlled engineering disposition; specific evidence below. Original required evidence is preserved, not weakened.</x:v>
      </x:c>
      <x:c r="I293"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93" s="104" t="str">
        <x:v>Entire criterion addressed within its documentary/native design scope; no unperformed physical pass inferred.</x:v>
      </x:c>
      <x:c r="K293" s="104" t="str"/>
    </x:row>
    <x:row r="294" ht="195" customHeight="1">
      <x:c r="A294" s="104" t="str">
        <x:v>CCB-10</x:v>
      </x:c>
      <x:c r="B294" s="104" t="str">
        <x:v>Change control and release authority</x:v>
      </x:c>
      <x:c r="C294" s="104" t="str">
        <x:v>DESIGN INTENT</x:v>
      </x:c>
      <x:c r="D294" s="104" t="str">
        <x:v>Currentfinalreviewstatesconcretecorrections,modelsandremainingrisks; zeroCADerrors/zero-unaddressedquestionsisnotzero-product-risk.</x:v>
      </x:c>
      <x:c r="E294" s="104" t="str">
        <x:v>YES</x:v>
      </x:c>
      <x:c r="F294" s="104" t="str">
        <x:v>CLOSED</x:v>
      </x:c>
      <x:c r="G294" s="104" t="str">
        <x:v>CLOSED</x:v>
      </x:c>
      <x:c r="H294" s="104" t="str">
        <x:v>Native source/geometry checks, exact-source host tests or bounded models and controlled engineering disposition; specific evidence below. Original required evidence is preserved, not weakened.</x:v>
      </x:c>
      <x:c r="I294" s="162" t="str">
        <x:v>audit/online_closure_20260908/CURRENT_SOURCE_RECONCILIATION.md
audit/CONTROLLED_REDLINE_CROSSWALK.csv
audit/CURRENT_ISSUE_DISPOSITIONS.csv
audit/online_closure_20260908/ONLINE_VERIFICATION_CONTRACT.md
audit/online_closure_20260908/FINAL_REVIEW_ITEMS.json
manufacturing/product/OUTPUT_CHECKS.json
manufacturing/product/review_tables/REVIEW_TABLES_MANIFEST.json
manufacturing/product/SOURCE_MANIFEST.json
audit/online_resolution_rvb21/SOURCE_EFFECTIVITY.md</x:v>
      </x:c>
      <x:c r="J294" s="104" t="str">
        <x:v>Entire criterion addressed within its documentary/native design scope; no unperformed physical pass inferred.</x:v>
      </x:c>
      <x:c r="K294" s="104" t="str"/>
    </x:row>
  </x:sheetData>
  <x:mergeCells>
    <x:mergeCell ref="A1:K1"/>
    <x:mergeCell ref="A2:K2"/>
  </x:mergeCells>
  <x:conditionalFormatting sqref="C5:C294">
    <x:cfRule type="cellIs" dxfId="31" priority="1" operator="equal">
      <x:formula>"KNOWN BROKEN"</x:formula>
    </x:cfRule>
    <x:cfRule type="cellIs" dxfId="32" priority="2" operator="equal">
      <x:formula>"HOLD"</x:formula>
    </x:cfRule>
    <x:cfRule type="cellIs" dxfId="33" priority="3" operator="equal">
      <x:formula>"OPEN"</x:formula>
    </x:cfRule>
    <x:cfRule type="cellIs" dxfId="34" priority="4" operator="equal">
      <x:formula>"CLOSED"</x:formula>
    </x:cfRule>
    <x:cfRule type="cellIs" dxfId="35" priority="5" operator="equal">
      <x:formula>"VERIFIED"</x:formula>
    </x:cfRule>
    <x:cfRule type="cellIs" dxfId="36" priority="6" operator="equal">
      <x:formula>"CALCULATED"</x:formula>
    </x:cfRule>
    <x:cfRule type="cellIs" dxfId="37" priority="7" operator="equal">
      <x:formula>"CORRECTED IN REV B"</x:formula>
    </x:cfRule>
    <x:cfRule type="cellIs" dxfId="38" priority="8" operator="equal">
      <x:formula>"N/A"</x:formula>
    </x:cfRule>
  </x:conditionalFormatting>
  <x:conditionalFormatting sqref="F5:G294">
    <x:cfRule type="cellIs" dxfId="39" priority="9" operator="equal">
      <x:formula>"KNOWN BROKEN"</x:formula>
    </x:cfRule>
    <x:cfRule type="cellIs" dxfId="40" priority="10" operator="equal">
      <x:formula>"HOLD"</x:formula>
    </x:cfRule>
    <x:cfRule type="cellIs" dxfId="41" priority="11" operator="equal">
      <x:formula>"OPEN"</x:formula>
    </x:cfRule>
    <x:cfRule type="cellIs" dxfId="42" priority="12" operator="equal">
      <x:formula>"CLOSED"</x:formula>
    </x:cfRule>
    <x:cfRule type="cellIs" dxfId="43" priority="13" operator="equal">
      <x:formula>"VERIFIED"</x:formula>
    </x:cfRule>
    <x:cfRule type="cellIs" dxfId="44" priority="14" operator="equal">
      <x:formula>"CALCULATED"</x:formula>
    </x:cfRule>
    <x:cfRule type="cellIs" dxfId="45" priority="15" operator="equal">
      <x:formula>"CORRECTED IN REV B"</x:formula>
    </x:cfRule>
    <x:cfRule type="cellIs" dxfId="46" priority="16" operator="equal">
      <x:formula>"N/A"</x:formula>
    </x:cfRule>
  </x:conditionalFormatting>
  <x:pageMargins left="0.7" right="0.7" top="0.75" bottom="0.75" header="0.3" footer="0.3"/>
  <x:tableParts count="1">
    <x:tablePart xmlns:r="http://schemas.openxmlformats.org/officeDocument/2006/relationships" r:id="R5e28126cfd1a4f6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40" hidden="0" customWidth="1"/>
    <x:col min="4" max="4" width="85" hidden="0" customWidth="1"/>
    <x:col min="5" max="5" width="90" hidden="0" customWidth="1"/>
    <x:col min="6" max="6" width="88" hidden="0" customWidth="1"/>
    <x:col min="7" max="7" width="22" hidden="0" customWidth="1"/>
  </x:cols>
  <x:sheetData>
    <x:row r="1" ht="32" customHeight="1">
      <x:c r="A1" s="211" t="str">
        <x:v>HISTORICAL / SUPERSEDED — Final Review | Current review: RVB22 Current</x:v>
      </x:c>
      <x:c r="B1" s="211" t="str">
        <x:v>RVB-21 | REMAINING ENGINEERING AND ACCEPTANCE GATES</x:v>
      </x:c>
      <x:c r="C1" s="211" t="str">
        <x:v>RVB-21 | REMAINING ENGINEERING AND ACCEPTANCE GATES</x:v>
      </x:c>
      <x:c r="D1" s="211" t="str">
        <x:v>RVB-21 | REMAINING ENGINEERING AND ACCEPTANCE GATES</x:v>
      </x:c>
      <x:c r="E1" s="211" t="str">
        <x:v>RVB-21 | REMAINING ENGINEERING AND ACCEPTANCE GATES</x:v>
      </x:c>
      <x:c r="F1" s="211" t="str">
        <x:v>RVB-21 | REMAINING ENGINEERING AND ACCEPTANCE GATES</x:v>
      </x:c>
      <x:c r="G1" s="211" t="str">
        <x:v>RVB-21 | REMAINING ENGINEERING AND ACCEPTANCE GATES</x:v>
      </x:c>
      <x:c r="H1" s="212"/>
    </x:row>
    <x:row r="2" ht="60" customHeight="1">
      <x:c r="A2" s="142" t="str">
        <x:v>The source/model changes below are reviewable. Native CAD verification, embedded compilation, actual installation, supplier allocation and physical tests have distinct completion states. Product release remains HOLD.</x:v>
      </x:c>
      <x:c r="B2" s="142" t="str">
        <x:v>The source/model changes below are reviewable. Native CAD verification, embedded compilation, actual installation, supplier allocation and physical tests have distinct completion states. Product release remains HOLD.</x:v>
      </x:c>
      <x:c r="C2" s="142" t="str">
        <x:v>The source/model changes below are reviewable. Native CAD verification, embedded compilation, actual installation, supplier allocation and physical tests have distinct completion states. Product release remains HOLD.</x:v>
      </x:c>
      <x:c r="D2" s="142" t="str">
        <x:v>The source/model changes below are reviewable. Native CAD verification, embedded compilation, actual installation, supplier allocation and physical tests have distinct completion states. Product release remains HOLD.</x:v>
      </x:c>
      <x:c r="E2" s="142" t="str">
        <x:v>The source/model changes below are reviewable. Native CAD verification, embedded compilation, actual installation, supplier allocation and physical tests have distinct completion states. Product release remains HOLD.</x:v>
      </x:c>
      <x:c r="F2" s="142" t="str">
        <x:v>The source/model changes below are reviewable. Native CAD verification, embedded compilation, actual installation, supplier allocation and physical tests have distinct completion states. Product release remains HOLD.</x:v>
      </x:c>
      <x:c r="G2" s="142" t="str">
        <x:v>The source/model changes below are reviewable. Native CAD verification, embedded compilation, actual installation, supplier allocation and physical tests have distinct completion states. Product release remains HOLD.</x:v>
      </x:c>
    </x:row>
    <x:row r="3" ht="26" customHeight="1">
      <x:c r="A3" s="104"/>
      <x:c r="B3" s="104"/>
      <x:c r="C3" s="104"/>
      <x:c r="D3" s="104"/>
      <x:c r="E3" s="104"/>
      <x:c r="F3" s="104"/>
      <x:c r="G3" s="104"/>
    </x:row>
    <x:row r="4" ht="45" customHeight="1">
      <x:c r="A4" s="143" t="str">
        <x:v>ID</x:v>
      </x:c>
      <x:c r="B4" s="143" t="str">
        <x:v>Status</x:v>
      </x:c>
      <x:c r="C4" s="143" t="str">
        <x:v>Scope</x:v>
      </x:c>
      <x:c r="D4" s="143" t="str">
        <x:v>Online result</x:v>
      </x:c>
      <x:c r="E4" s="143" t="str">
        <x:v>What remains / why online is insufficient</x:v>
      </x:c>
      <x:c r="F4" s="143" t="str">
        <x:v>Evidence</x:v>
      </x:c>
      <x:c r="G4" s="143" t="str">
        <x:v>Physical test passed</x:v>
      </x:c>
    </x:row>
    <x:row r="5" ht="330" customHeight="1">
      <x:c r="A5" s="104" t="str">
        <x:v>FR-01</x:v>
      </x:c>
      <x:c r="B5" s="104" t="str">
        <x:v>HOLD</x:v>
      </x:c>
      <x:c r="C5" s="104" t="str">
        <x:v>RF complete-path tolerance</x:v>
      </x:c>
      <x:c r="D5" s="104" t="str">
        <x:v>Combined CAD implements L406 RF matching, TPS3808 reset supervision, UART220Ω/CAN RX1kΩ and D501 oil protection routing. RF-only 20,736-case screen and final combined independent geometry/source checks support the candidate; no native refill/ERC/DRC is claimed.</x:v>
      </x:c>
      <x:c r="E5" s="104" t="str">
        <x:v>Run native KiCad ERC/refill/DRC and all affected source gates on the final combined candidate. Regenerate a matched component/net/BOM/CPL/Gerber/drill/drawing/full-model set. Allocate exact parts and correlate actual RF ports/stackup and digital edges.</x:v>
      </x:c>
      <x:c r="F5" s="104" t="str">
        <x:v>audit/online_resolution_rvb21/reset/RESET_CANDIDATE_MANIFEST.json
audit/online_resolution_rvb21/reset/RESET_SOURCE_CHECKS.json
audit/online_resolution_rvb21/rf/RF_ECO_REVIEW.md
audit/online_resolution_rvb21/rf/RF_FINAL_SUMMARY.json
audit/online_resolution_rvb21/return_paths/d501_flowthrough/REVIEW.md
audit/online_resolution_rvb21/derating/UART_RESISTOR_ECO_ANALYSIS.json</x:v>
      </x:c>
      <x:c r="G5" s="104" t="str">
        <x:v>NO</x:v>
      </x:c>
    </x:row>
    <x:row r="6" ht="330" customHeight="1">
      <x:c r="A6" s="104" t="str">
        <x:v>FR-02</x:v>
      </x:c>
      <x:c r="B6" s="104" t="str">
        <x:v>HOLD</x:v>
      </x:c>
      <x:c r="C6" s="104" t="str">
        <x:v>Automotive power, thermal and fault containment</x:v>
      </x:c>
      <x:c r="D6" s="104" t="str">
        <x:v>Corrected power-filter bound is 5.7725 W; 288 allocated ≤5 µH cases have stable reduced-model poles. Reset is now an implemented supervisor circuit with32 static/32 declared-ramp/32 conditional recovery passes; 11.488 ms minimum declared stabilization margin. New converter/inductor/copper/fuse bounds distinguish guarantees from typical values. A separate conservative normal-load droop screen can cross the supervisor maximum falling threshold; it is not nuisance-reset-free.</x:v>
      </x:c>
      <x:c r="E6" s="104" t="str">
        <x:v>Validate and adopt supervisor/source outputs; check actual ramp/droop, EN/BOOT/leakage and reset-cause interpretation. Establish source waveform/fuse full-clearing and hot-holder/wire envelope, device SOA/clamp and installed thermal behavior. GPS short can remove all telemetry; universal internal-fault survival is not established. Establish actual load-step/short-pulse response or qualified capacitance/threshold correction for the identified possible nuisance reset.</x:v>
      </x:c>
      <x:c r="F6" s="104" t="str">
        <x:v>audit/online_resolution_rvb21/power_analog/REVIEW.md
audit/online_resolution_rvb21/power_analog/POWER_FILTER_CORRECTION.json
audit/online_resolution_rvb21/reset/RESET_REVIEW.md
audit/online_resolution_rvb21/reset/RESET_MODEL.json
audit/online_resolution_rvb21/derating/REVIEW.md
audit/online_resolution_rvb21/accessories/ACCESSORY_BOUNDS.json</x:v>
      </x:c>
      <x:c r="G6" s="104" t="str">
        <x:v>NO</x:v>
      </x:c>
    </x:row>
    <x:row r="7" ht="330" customHeight="1">
      <x:c r="A7" s="104" t="str">
        <x:v>FR-03</x:v>
      </x:c>
      <x:c r="B7" s="104" t="str">
        <x:v>HOLD</x:v>
      </x:c>
      <x:c r="C7" s="104" t="str">
        <x:v>Oil metrology, aliasing and power-domain behavior</x:v>
      </x:c>
      <x:c r="D7" s="104" t="str">
        <x:v>Oil sampling/publication is phase-preserving in final2.1.3; 900,106 actual-function checks pass. Finite model:50 ms dip≥45.887%,100 ms≥84.839%,95%step≤132.5 ms. ADC immediate fault entry/three-clean recovery passes25,244 assertions. Actual protection/ADC partition and return copper are mapped, with independent finite RTN/post-R507 fault sensitivities and retained100 nH stress failures. Final combined geometry rebind passes 192 post-R507 fault cases with explicit0.1 V RTN assumption and0/25 nH return allocation.</x:v>
      </x:c>
      <x:c r="E7" s="104" t="str">
        <x:v>Compile/adopt candidate, verify integrated ≤5 ms complete service gap and actual ADC/phone/pulse response. Complete calibration/noise/aggressor/alias/dynamic-fault evidence and establish internal RTN/off-state bounds. Candidate D501 routing needs native filled-copper validation and real discharge/partial-power acceptance; plausible in-range stuck oil is not independently diagnosable.</x:v>
      </x:c>
      <x:c r="F7" s="104" t="str">
        <x:v>audit/online_resolution_rvb21/firmware/OIL_CADENCE_CANDIDATE.json
audit/online_resolution_rvb21/power_analog/OIL_SCHEDULER_PHASE_CANDIDATE.json
audit/online_resolution_rvb21/adc_fault/ADC_FAULT_RESULTS.json
audit/online_resolution_rvb21/oil_return/REVIEW.md
audit/online_resolution_rvb21/return_paths/d501_flowthrough/REVIEW.md
audit/online_resolution_rvb21/derating/LEAKAGE_AND_DOMAIN_BOUNDS.json
audit/online_resolution_rvb21/oil_return/D501_CANDIDATE_FAULT_BINDING.json</x:v>
      </x:c>
      <x:c r="G7" s="104" t="str">
        <x:v>NO</x:v>
      </x:c>
    </x:row>
    <x:row r="8" ht="330" customHeight="1">
      <x:c r="A8" s="104" t="str">
        <x:v>FR-04</x:v>
      </x:c>
      <x:c r="B8" s="104" t="str">
        <x:v>HOLD</x:v>
      </x:c>
      <x:c r="C8" s="104" t="str">
        <x:v>Physical CAN reception and vehicle interface</x:v>
      </x:c>
      <x:c r="D8" s="104" t="str">
        <x:v>Canonical independent CAN no-TX safeguards remain unchanged. Staged source corrects boot-lifetime loss/FIFO/restart-discard accounting and pre-drain queue peaks;19 source-function checks pass. Routing and shared-return effects have source-bound finite screens. R3021kΩ source candidate limits modeled downstream short current to3.673 mA versus8 mA absolute.54 edge and54 slow/logic-level cases pass with235.407 ns worst bus-to-valid logic against500 ns allocated deadline.</x:v>
      </x:c>
      <x:c r="E8" s="104" t="str">
        <x:v>Compile/adopt corrected diagnostics, then compare acquisition/loss counts to independent analyzer traffic and verify startup/fault/listen-only and actual vehicle non-interference, termination/stub and simultaneous phone transport behavior.</x:v>
      </x:c>
      <x:c r="F8" s="104" t="str">
        <x:v>audit/online_resolution_rvb21/firmware/LOSS_OBSERVABILITY_RESULTS.json
audit/online_resolution_rvb21/firmware/NOTIFY_BACKPRESSURE_RESULTS.json
audit/online_resolution_rvb21/return_paths/REVIEW.md
audit/online_resolution_rvb21/closure/REGISTER_PATCHES.json
audit/online_resolution_rvb21/derating/can_rx/R302_ANALYSIS.json</x:v>
      </x:c>
      <x:c r="G8" s="104" t="str">
        <x:v>NO</x:v>
      </x:c>
    </x:row>
    <x:row r="9" ht="330" customHeight="1">
      <x:c r="A9" s="104" t="str">
        <x:v>FR-05</x:v>
      </x:c>
      <x:c r="B9" s="104" t="str">
        <x:v>HOLD</x:v>
      </x:c>
      <x:c r="C9" s="104" t="str">
        <x:v>Target firmware, GPS/PPS and phone integration</x:v>
      </x:c>
      <x:c r="D9" s="104" t="str">
        <x:v>Final2.1.3 has30 source files and no images. New ADC/GPS tests reproduce and correct chatter/stale dated-epoch defects;23 GPS parser/service/notification and612,033 queue/parser assertions pass. Repeated old solutions no longer renew500 ms freshness. Canonical2.1.2 retains46 manifest-file matches and24 release checks.</x:v>
      </x:c>
      <x:c r="E9" s="104" t="str">
        <x:v>Restore pinned toolchain, compile exact N8R2 candidate and create a new image/source manifest; synchronize programming records. Run integrated target timing/ISR/driver, actual module configuration/PPS/epoch loss, programming/brownout/phone and24 h/72 h soak evidence. Wrong but plausible advancing sensor data remains undetectable without an independent reference.</x:v>
      </x:c>
      <x:c r="F9" s="104" t="str">
        <x:v>audit/online_resolution_rvb21/firmware/FIRMWARE_VERIFICATION.md
audit/online_resolution_rvb21/adc_fault/REVIEW.md
audit/online_resolution_rvb21/adc_fault/FOLLOWUP_REGRESSION_RESULTS.json
audit/online_resolution_rvb21/adc_fault/ADDITIONAL_SOURCE_IMPACTS.json
audit/online_resolution_rvb21/runtime/RUNTIME_RECOVERY_RESULT.json</x:v>
      </x:c>
      <x:c r="G9" s="104" t="str">
        <x:v>NO</x:v>
      </x:c>
    </x:row>
    <x:row r="10" ht="330" customHeight="1">
      <x:c r="A10" s="104" t="str">
        <x:v>FR-06</x:v>
      </x:c>
      <x:c r="B10" s="104" t="str">
        <x:v>HOLD</x:v>
      </x:c>
      <x:c r="C10" s="104" t="str">
        <x:v>Installed mechanics, harness and antenna accessory</x:v>
      </x:c>
      <x:c r="D10" s="104" t="str">
        <x:v>Exact conditional harness/fuse/antenna/pigtail candidates now have temperature/drop/noise/retention calculations and a service scheme. Six board-edge support positions and parametric insulating carrier source are checked against canonical geometry; fasteners remain outside PCB. None implies actual dashboard fit or supplier-qualified retention. Positive rightward restraint remains unresolved: retained ESP antenna exclusion covers the entire right edge; a left stop alone cannot provide it.</x:v>
      </x:c>
      <x:c r="E10" s="104" t="str">
        <x:v>Resolve positive X retention through a qualified antenna-compatible feature or board/mount change. Confirm actual vehicle cavity/pin identity, mounting space/material/loads, full component and tolerance model, carrier strength/retention, cable bends/anchors and access. Resolve exact antenna bias/band/NF/cable contract, harness source-fuse fault/cooling envelope and CAN-wire deviation; then perform finished continuity/isolation/crimp/pull/mating and installation/RF tests.</x:v>
      </x:c>
      <x:c r="F10" s="104" t="str">
        <x:v>audit/online_resolution_rvb21/accessories/REVIEW.md
audit/online_resolution_rvb21/accessories/ACCESSORY_BOUNDS.json
audit/online_resolution_rvb21/accessories/ANTENNA_FOLLOWUP.md
audit/online_resolution_rvb21/drawing_process/carrier_candidate/REVIEW.md
audit/online_resolution_rvb21/drawing_process/carrier_candidate/CARRIER_GEOMETRY_AND_LOAD_SCREEN.json</x:v>
      </x:c>
      <x:c r="G10" s="104" t="str">
        <x:v>NO</x:v>
      </x:c>
    </x:row>
    <x:row r="11" ht="330" customHeight="1">
      <x:c r="A11" s="104" t="str">
        <x:v>FR-07</x:v>
      </x:c>
      <x:c r="B11" s="104" t="str">
        <x:v>HOLD</x:v>
      </x:c>
      <x:c r="C11" s="104" t="str">
        <x:v>JLC factory procurement and assembly process</x:v>
      </x:c>
      <x:c r="D11" s="104" t="str">
        <x:v>Controlled fabrication/hole/copper/stackup supplement, exact-MPN process/lifecycle matrices, service instructions, labels and traveler added. Canonical145 fitted/68 MPNs has19 primary MSL identities and49 unverified; combined147 fitted/69 MPNs has21 primary MSL identities and48 unverified. F101 recommended255–260°C conflicts with ESP235–250°C and L406245±3°C standard-profile constraints.</x:v>
      </x:c>
      <x:c r="E11" s="104" t="str">
        <x:v>Complete exact manufacturer handling/errata/lifecycle and remaining new-candidate process fields; qualify/adopt fuse heat sequence and two-sided assembly/cleaning. Obtain actual kit, fabricator construction/holes/copper acceptance, assembler profile/fixture/inspection and applied serial/label/traveler records. Regenerate and review matching drawings before production.</x:v>
      </x:c>
      <x:c r="F11" s="104" t="str">
        <x:v>audit/online_resolution_rvb21/drawing_process/ASSEMBLY_PROCESS_INSTRUCTION.md
audit/online_resolution_rvb21/drawing_process/PER_MPN_PROCESS_CONTROLS.json
audit/online_resolution_rvb21/drawing_process/FABRICATION_SUPPLEMENT.md
audit/online_resolution_rvb21/drawing_process/LIFECYCLE_AND_ALTERNATES.json
audit/online_resolution_rvb21/drawing_process/CONFIGURATION_LABEL_EFFECTIVITY.md
audit/online_resolution_rvb21/reset/RESET_SELECTED_PARTS.json
audit/online_resolution_rvb21/drawing_process/CANDIDATE_PROCESS_DELTA.md
audit/online_resolution_rvb21/drawing_process/CANDIDATE_PER_MPN_PROCESS_LIFECYCLE.json</x:v>
      </x:c>
      <x:c r="G11" s="104" t="str">
        <x:v>NO</x:v>
      </x:c>
    </x:row>
    <x:row r="12" ht="330" customHeight="1">
      <x:c r="A12" s="104" t="str">
        <x:v>FR-08</x:v>
      </x:c>
      <x:c r="B12" s="104" t="str">
        <x:v>HOLD</x:v>
      </x:c>
      <x:c r="C12" s="104" t="str">
        <x:v>Environmental and distribution qualification</x:v>
      </x:c>
      <x:c r="D12" s="104" t="str">
        <x:v>Updated models, exact component limits and conditional mounting/harness/process specifications support engineering review. No conducted/radiated, ESD, vibration, thermal-cycle, condensation, field/vehicle or certification test is synthesized.</x:v>
      </x:c>
      <x:c r="E12" s="104" t="str">
        <x:v>Resolve the actual installation environment, deployment/market requirements and acceptance envelope; then obtain applicable independent EMC/environmental/RF/vehicle and durability results with tested unit/configuration identities. Typical manufacturer ratings and finite simulations cannot replace those records.</x:v>
      </x:c>
      <x:c r="F12" s="104" t="str">
        <x:v>audit/online_resolution_rvb21/SOURCE_EFFECTIVITY.md
audit/online_resolution_rvb21/drawing_process/carrier_candidate/REVIEW.md
audit/online_resolution_rvb21/derating/REVIEW.md
audit/online_resolution_rvb21/FINAL_REVIEW_ITEMS.json</x:v>
      </x:c>
      <x:c r="G12" s="104" t="str">
        <x:v>NO</x:v>
      </x:c>
    </x:row>
  </x:sheetData>
  <x:mergeCells>
    <x:mergeCell ref="A1:G1"/>
    <x:mergeCell ref="A2:G2"/>
  </x:mergeCells>
  <x:conditionalFormatting sqref="B5:B12">
    <x:cfRule type="cellIs" dxfId="47" priority="1" operator="equal">
      <x:formula>"KNOWN BROKEN"</x:formula>
    </x:cfRule>
    <x:cfRule type="cellIs" dxfId="48" priority="2" operator="equal">
      <x:formula>"HOLD"</x:formula>
    </x:cfRule>
    <x:cfRule type="cellIs" dxfId="49" priority="3" operator="equal">
      <x:formula>"OPEN"</x:formula>
    </x:cfRule>
    <x:cfRule type="cellIs" dxfId="50" priority="4" operator="equal">
      <x:formula>"CLOSED"</x:formula>
    </x:cfRule>
    <x:cfRule type="cellIs" dxfId="51" priority="5" operator="equal">
      <x:formula>"VERIFIED"</x:formula>
    </x:cfRule>
    <x:cfRule type="cellIs" dxfId="52" priority="6" operator="equal">
      <x:formula>"CALCULATED"</x:formula>
    </x:cfRule>
    <x:cfRule type="cellIs" dxfId="53" priority="7" operator="equal">
      <x:formula>"CORRECTED IN REV B"</x:formula>
    </x:cfRule>
    <x:cfRule type="cellIs" dxfId="54" priority="8" operator="equal">
      <x:formula>"N/A"</x:formula>
    </x:cfRule>
  </x:conditionalFormatting>
  <x:pageMargins left="0.7" right="0.7" top="0.75" bottom="0.75" header="0.3" footer="0.3"/>
  <x:tableParts count="1">
    <x:tablePart xmlns:r="http://schemas.openxmlformats.org/officeDocument/2006/relationships" r:id="Re32bf7ca7f42427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52" hidden="0" customWidth="1"/>
    <x:col min="3" max="3" width="75" hidden="0" customWidth="1"/>
    <x:col min="4" max="4" width="38" hidden="0" customWidth="1"/>
    <x:col min="5" max="5" width="68" hidden="0" customWidth="1"/>
    <x:col min="6" max="6" width="85" hidden="0" customWidth="1"/>
  </x:cols>
  <x:sheetData>
    <x:row r="1" ht="32" customHeight="1">
      <x:c r="A1" s="214" t="str">
        <x:v>HISTORICAL / SUPERSEDED — RVB21 Changes | Current review: RVB22 Current</x:v>
      </x:c>
      <x:c r="B1" s="214"/>
      <x:c r="C1" s="214"/>
      <x:c r="D1" s="214"/>
      <x:c r="E1" s="214"/>
      <x:c r="F1" s="214"/>
      <x:c r="G1" s="212"/>
      <x:c r="H1" s="212"/>
    </x:row>
    <x:row r="2" ht="45" customHeight="1">
      <x:c r="A2" s="104" t="str">
        <x:v>Inherited RVB-19 corrections are distinct from newly staged RVB-21 changes. No new native CAD or embedded target pass is claimed.</x:v>
      </x:c>
      <x:c r="B2" s="104"/>
      <x:c r="C2" s="104"/>
      <x:c r="D2" s="104"/>
      <x:c r="E2" s="104"/>
      <x:c r="F2" s="104"/>
    </x:row>
    <x:row r="3">
      <x:c r="A3" s="104"/>
      <x:c r="B3" s="104"/>
      <x:c r="C3" s="104"/>
      <x:c r="D3" s="104"/>
      <x:c r="E3" s="104"/>
      <x:c r="F3" s="104"/>
    </x:row>
    <x:row r="4" ht="30" customHeight="1">
      <x:c r="A4" s="171" t="str">
        <x:v>ID</x:v>
      </x:c>
      <x:c r="B4" s="171" t="str">
        <x:v>Change</x:v>
      </x:c>
      <x:c r="C4" s="171" t="str">
        <x:v>Result</x:v>
      </x:c>
      <x:c r="D4" s="171" t="str">
        <x:v>Source state</x:v>
      </x:c>
      <x:c r="E4" s="171" t="str">
        <x:v>Remaining work</x:v>
      </x:c>
      <x:c r="F4" s="171" t="str">
        <x:v>Evidence</x:v>
      </x:c>
    </x:row>
    <x:row r="5" ht="190" customHeight="1">
      <x:c r="A5" s="104" t="str">
        <x:v>R21-RF</x:v>
      </x:c>
      <x:c r="B5" s="104" t="str">
        <x:v>Correct RF matching part and pads</x:v>
      </x:c>
      <x:c r="C5" s="104" t="str">
        <x:v>L406 Murata LQW18AS1N6J0ZD; 20,736 bounded cases pass both ports: worst return loss 10.7902 dB, insertion loss 0.7054 dB. RF-only geometry/source checks pass.</x:v>
      </x:c>
      <x:c r="D5" s="104" t="str">
        <x:v>Implemented in combined CAD candidate; RF-only intermediate retained</x:v>
      </x:c>
      <x:c r="E5" s="104" t="str">
        <x:v>Native gates and regenerated outputs, exact factory allocation and real port/laminate/RF correlation.</x:v>
      </x:c>
      <x:c r="F5" s="104" t="str">
        <x:v>audit/online_resolution_rvb21/rf/RF_ECO_REVIEW.md
audit/online_resolution_rvb21/rf/RF_FINAL_SUMMARY.json
audit/online_resolution_rvb21/reset/RESET_CANDIDATE_MANIFEST.json</x:v>
      </x:c>
    </x:row>
    <x:row r="6" ht="190" customHeight="1">
      <x:c r="A6" s="104" t="str">
        <x:v>R21-RESET</x:v>
      </x:c>
      <x:c r="B6" s="104" t="str">
        <x:v>Implement reset supervision</x:v>
      </x:c>
      <x:c r="C6" s="104" t="str">
        <x:v>TPS3808G33QDBVRQ1, 1 kΩ limiter and 100 nF bypass added; C203 DNP. 32 static, 32 declared-ramp and 32 conditional recovery cases pass. Minimum declared rail-stabilization margin 11.488 ms.</x:v>
      </x:c>
      <x:c r="D6" s="104" t="str">
        <x:v>Implemented and routed in combined CAD candidate</x:v>
      </x:c>
      <x:c r="E6" s="104" t="str">
        <x:v>Native/assembly/output adoption, actual EN/BOOT and interruption behavior; shallow/brief droops and output-load propagation are not universally guaranteed. Conservative 0.5 A/10 µs,32 µF load step can cross the maximum trip threshold; nuisance reset is not excluded.</x:v>
      </x:c>
      <x:c r="F6" s="104" t="str">
        <x:v>audit/online_resolution_rvb21/reset/RESET_REVIEW.md
audit/online_resolution_rvb21/reset/RESET_MODEL.json
audit/online_resolution_rvb21/reset/RESET_SOURCE_CHECKS.json</x:v>
      </x:c>
    </x:row>
    <x:row r="7" ht="190" customHeight="1">
      <x:c r="A7" s="104" t="str">
        <x:v>R21-UART</x:v>
      </x:c>
      <x:c r="B7" s="104" t="str">
        <x:v>Reduce UART/PPS fault stress</x:v>
      </x:c>
      <x:c r="C7" s="104" t="str">
        <x:v>R402/R403/R404 change from 33 Ω to exact AA0603FR-07220RL 220 Ω. Finite current/power/RC screen lowers sustained short stress below the selected 100 mW resistor rating and 24 mA buffer drive limit.</x:v>
      </x:c>
      <x:c r="D7" s="104" t="str">
        <x:v>Implemented in combined CAD schematic, board and BOM candidate</x:v>
      </x:c>
      <x:c r="E7" s="104" t="str">
        <x:v>Native/output adoption and actual driver/load/off-state and PPS timing validation.</x:v>
      </x:c>
      <x:c r="F7" s="104" t="str">
        <x:v>audit/online_resolution_rvb21/derating/UART_RESISTOR_ECO_ANALYSIS.json
audit/online_resolution_rvb21/derating/UART_CANDIDATE_SOURCE_CHECKS.json
audit/online_resolution_rvb21/reset/COMBINED_CANDIDATE_BOM_NOT_FOR_ORDER.csv</x:v>
      </x:c>
    </x:row>
    <x:row r="8" ht="190" customHeight="1">
      <x:c r="A8" s="104" t="str">
        <x:v>R21-CAN-RX</x:v>
      </x:c>
      <x:c r="B8" s="104" t="str">
        <x:v>Limit CAN receive-pin hard-short current</x:v>
      </x:c>
      <x:c r="C8" s="104" t="str">
        <x:v>R302 changes from220 Ω to exact CRCW06031K00FKEA1 kΩ. Modeled3.6 V downstream short is3.673 mA versus8 mA absolute, resistor13.223 mW. All54 retained edge and54 slow/level cases pass; maximum bus-to-valid logic235.407 ns versus allocated500 ns deadline.</x:v>
      </x:c>
      <x:c r="D8" s="104" t="str">
        <x:v>Implemented in final combined CAD schematic/PCB/BOM candidate; geometry preserved</x:v>
      </x:c>
      <x:c r="E8" s="104" t="str">
        <x:v>Native/output adoption and exact-target CAN timing/actual driver-load waveform. The traveling-wave solver was correlated to archived SPICE; ngspice did not execute in this pass.</x:v>
      </x:c>
      <x:c r="F8" s="104" t="str">
        <x:v>audit/online_resolution_rvb21/derating/can_rx/R302_ANALYSIS.json
audit/online_resolution_rvb21/reset/RESET_CANDIDATE_MANIFEST.json
audit/online_resolution_rvb21/reset/R302_FINAL_INTEGRATION.json
audit/online_resolution_rvb21/derating/can_rx/R302_REVIEW.md</x:v>
      </x:c>
    </x:row>
    <x:row r="9" ht="190" customHeight="1">
      <x:c r="A9" s="104" t="str">
        <x:v>R21-OIL-ROUTE</x:v>
      </x:c>
      <x:c r="B9" s="104" t="str">
        <x:v>Route oil connector paths through TVS pads</x:v>
      </x:c>
      <x:c r="C9" s="104" t="str">
        <x:v>Removed same-net bypasses to R511, R507 and R521/C503. TVS-pad cut test disconnects every protected load; minimum new fixed-copper clearance 0.175 mm. All positions, pads, entry paths and TVS ground remain unchanged.</x:v>
      </x:c>
      <x:c r="D9" s="104" t="str">
        <x:v>Implemented in final combined CAD candidate; 59 old route/via objects removed, 20 added</x:v>
      </x:c>
      <x:c r="E9" s="104" t="str">
        <x:v>Native refill/DRC and actual discharge robustness. Final-source post-R507 model passes 192 finite cases under explicit RTN/return assumptions; it is not an ESD pass.</x:v>
      </x:c>
      <x:c r="F9" s="104" t="str">
        <x:v>audit/online_resolution_rvb21/return_paths/d501_flowthrough/REVIEW.md
audit/online_resolution_rvb21/return_paths/d501_flowthrough/D501_CANDIDATE_RESULTS.json
audit/online_resolution_rvb21/return_paths/d501_flowthrough/COMBINED_SOURCE_BINDING.json
audit/online_resolution_rvb21/oil_return/D501_CANDIDATE_FAULT_BINDING.json</x:v>
      </x:c>
    </x:row>
    <x:row r="10" ht="190" customHeight="1">
      <x:c r="A10" s="104" t="str">
        <x:v>R21-FW-LOSS</x:v>
      </x:c>
      <x:c r="B10" s="104" t="str">
        <x:v>Preserve CAN loss evidence across restarts</x:v>
      </x:c>
      <x:c r="C10" s="104" t="str">
        <x:v>Boot-lifetime missed/FIFO/restart-discard counters and pre-drain queue snapshots correct reproduced lost totals/peaks. Actual-function loss and backpressure checks pass 19 each.</x:v>
      </x:c>
      <x:c r="D10" s="104" t="str">
        <x:v>Implemented in final 2.1.3 source candidate</x:v>
      </x:c>
      <x:c r="E10" s="104" t="str">
        <x:v>Exact-target compile, matched source/image adoption and target/analyzer traffic.</x:v>
      </x:c>
      <x:c r="F10" s="104" t="str">
        <x:v>audit/online_resolution_rvb21/firmware/FIRMWARE_VERIFICATION.md
audit/online_resolution_rvb21/firmware/LOSS_OBSERVABILITY_RESULTS.json
audit/online_resolution_rvb21/adc_fault/FOLLOWUP_REGRESSION_RESULTS.json</x:v>
      </x:c>
    </x:row>
    <x:row r="11" ht="190" customHeight="1">
      <x:c r="A11" s="104" t="str">
        <x:v>R21-FW-OIL</x:v>
      </x:c>
      <x:c r="B11" s="104" t="str">
        <x:v>Correct oil sampling/publication drift</x:v>
      </x:c>
      <x:c r="C11" s="104" t="str">
        <x:v>Phase-preserving deadlines pass 900,106 actual-function checks. Finite model: 50 ms dip ≥45.887%, 100 ms ≥84.839%, 95% step ≤132.5 ms. Baseline 50 ms result was 36.37%.</x:v>
      </x:c>
      <x:c r="D11" s="104" t="str">
        <x:v>Implemented in final 2.1.3 source candidate</x:v>
      </x:c>
      <x:c r="E11" s="104" t="str">
        <x:v>Target build/adoption and ≤5 ms total service gap/ADC/phone evidence; 50 ms margin narrow, 20 ms events not guaranteed.</x:v>
      </x:c>
      <x:c r="F11" s="104" t="str">
        <x:v>audit/online_resolution_rvb21/firmware/OIL_CADENCE_CANDIDATE.json
audit/online_resolution_rvb21/power_analog/OIL_SCHEDULER_PHASE_CANDIDATE.json</x:v>
      </x:c>
    </x:row>
    <x:row r="12" ht="190" customHeight="1">
      <x:c r="A12" s="104" t="str">
        <x:v>R21-FW-FAULT</x:v>
      </x:c>
      <x:c r="B12" s="104" t="str">
        <x:v>Correct ADC chatter and stale GPS epochs</x:v>
      </x:c>
      <x:c r="C12" s="104" t="str">
        <x:v>Immediate fault entry plus three clean ADC acquisitions to recover: 25,244 assertions pass. Dated GPS epochs block stale duplicates and backward updates; prompt invalid notification preparation: 23 assertions pass.</x:v>
      </x:c>
      <x:c r="D12" s="104" t="str">
        <x:v>Implemented in final 2.1.3 source candidate</x:v>
      </x:c>
      <x:c r="E12" s="104" t="str">
        <x:v>Target/phone/actual module validation; plausible in-range stuck sensors remain undetectable without an independent reference.</x:v>
      </x:c>
      <x:c r="F12" s="104" t="str">
        <x:v>audit/online_resolution_rvb21/adc_fault/REVIEW.md
audit/online_resolution_rvb21/adc_fault/ADC_FAULT_RESULTS.json
audit/online_resolution_rvb21/adc_fault/GPS_EPOCH_RESULTS.json</x:v>
      </x:c>
    </x:row>
    <x:row r="13" ht="190" customHeight="1">
      <x:c r="A13" s="104" t="str">
        <x:v>R21-GPS-BUDGET</x:v>
      </x:c>
      <x:c r="B13" s="104" t="str">
        <x:v>Recalculate UART burst and queue budget</x:v>
      </x:c>
      <x:c r="C13" s="104" t="str">
        <x:v>Requested RMC/GGA ceiling including CR/LF is 2440 B/s, 21.18% of 115200 8N1. Full-line arrivals with ≤5 ms complete service gaps stay ≤58 modeled queued bytes. 612,033 actual consumer/parser assertions pass.</x:v>
      </x:c>
      <x:c r="D13" s="104" t="str">
        <x:v>Source-bound calculation and host execution</x:v>
      </x:c>
      <x:c r="E13" s="104" t="str">
        <x:v>Actual module bursts, usable driver ring, ISR/concurrent target service gap and phone freshness.</x:v>
      </x:c>
      <x:c r="F13" s="104" t="str">
        <x:v>audit/online_resolution_rvb21/adc_fault/GPS_BURST_BUDGET.json
audit/online_resolution_rvb21/adc_fault/REVIEW.md</x:v>
      </x:c>
    </x:row>
    <x:row r="14" ht="190" customHeight="1">
      <x:c r="A14" s="104" t="str">
        <x:v>R21-RETURN</x:v>
      </x:c>
      <x:c r="B14" s="104" t="str">
        <x:v>Trace actual forward and return copper</x:v>
      </x:c>
      <x:c r="C14" s="104" t="str">
        <x:v>55 forward paths in 12 circuit groups and all 122 canonical GND pad instances resolve against native effective copper. Exact maps distinguish private RTN, shared impedance, external returns and TVS branches.</x:v>
      </x:c>
      <x:c r="D14" s="104" t="str">
        <x:v>Canonical continuity/partition inspection completed; changed oil route has separate candidate evidence</x:v>
      </x:c>
      <x:c r="E14" s="104" t="str">
        <x:v>Combined-candidate native validation and actual shared-impedance/ESD/installed bonding.</x:v>
      </x:c>
      <x:c r="F14" s="104" t="str">
        <x:v>audit/online_resolution_rvb21/return_paths/REVIEW.md
audit/online_resolution_rvb21/return_paths/CURRENT_PATH_INDEX.csv
audit/online_resolution_rvb21/return_paths/RETURN_PATH_RESULTS.json</x:v>
      </x:c>
    </x:row>
    <x:row r="15" ht="190" customHeight="1">
      <x:c r="A15" s="104" t="str">
        <x:v>R21-OIL-FAULT</x:v>
      </x:c>
      <x:c r="B15" s="104" t="str">
        <x:v>Extend oil transient and partial-power bounds</x:v>
      </x:c>
      <x:c r="C15" s="104" t="str">
        <x:v>Original 48-case solver independently reproduced within 31.3 nV. Added return and post-R507 R/L screens retain passing allocated cases and expose eight 100 nH/100 mΩ stress misses, worst OUT −0.562883 V. Final combined-candidate rebind passes 192 post-R507 cases with 0/25 nH return allocation and explicit 0.1 V RTN assumption.</x:v>
      </x:c>
      <x:c r="D15" s="104" t="str">
        <x:v>Source-bound finite models; changed-route rebind is separate</x:v>
      </x:c>
      <x:c r="E15" s="104" t="str">
        <x:v>TPS private RTN and OPA off-state limits, actual transient/coupled return and multiple-source faults; no ESD or universal survival pass.</x:v>
      </x:c>
      <x:c r="F15" s="104" t="str">
        <x:v>audit/online_resolution_rvb21/oil_return/REVIEW.md
audit/online_resolution_rvb21/oil_return/FINITE_RETURN_SENSITIVITY.json
audit/online_resolution_rvb21/oil_return/BASELINE_POST_R507_SENSITIVITY.json
audit/online_resolution_rvb21/oil_return/D501_CANDIDATE_FAULT_BINDING.json</x:v>
      </x:c>
    </x:row>
    <x:row r="16" ht="190" customHeight="1">
      <x:c r="A16" s="104" t="str">
        <x:v>R21-DERATING</x:v>
      </x:c>
      <x:c r="B16" s="104" t="str">
        <x:v>Complete part, converter and copper sensitivities</x:v>
      </x:c>
      <x:c r="C16" s="104" t="str">
        <x:v>Bounded effective capacitance, leakage/injection, converter timing/current, inductor droop/heating, LED current/optical estimates, 111 passive identities and 257 via geometry. Corrected filter input is 5.7725 W; all 288 ≤5 µH cases have stable reduced-model poles.</x:v>
      </x:c>
      <x:c r="D16" s="104" t="str">
        <x:v>Calculations and exact-part/source review</x:v>
      </x:c>
      <x:c r="E16" s="104" t="str">
        <x:v>Specified hot/minimum limits, accepted laminate/copper/etch construction and installed thermal/fault evidence; typical curves remain estimates.</x:v>
      </x:c>
      <x:c r="F16" s="104" t="str">
        <x:v>audit/online_resolution_rvb21/derating/REVIEW.md
audit/online_resolution_rvb21/derating/CHECKS.json
audit/online_resolution_rvb21/power_analog/POWER_FILTER_CORRECTION.json</x:v>
      </x:c>
    </x:row>
    <x:row r="17" ht="190" customHeight="1">
      <x:c r="A17" s="104" t="str">
        <x:v>R21-DRAWING</x:v>
      </x:c>
      <x:c r="B17" s="104" t="str">
        <x:v>Define manufacturing and service controls</x:v>
      </x:c>
      <x:c r="C17" s="104" t="str">
        <x:v>Added finished-hole/plating/stackup supplement, exact-MPN process/lifecycle controls, traveler, service and labels. Canonical145 fitted/68 MPNs:49 MSL unknown. Combined147 fitted/69 MPNs:48 unknown. F101/ESP/L406 part-specific reflow constraints are explicit.</x:v>
      </x:c>
      <x:c r="D17" s="104" t="str">
        <x:v>Controlled specifications and templates completed within documented source limits</x:v>
      </x:c>
      <x:c r="E17" s="104" t="str">
        <x:v>Exact missing manufacturer process bounds, qualified fuse heat sequence, actual assembler/fabricator records and applied labels.</x:v>
      </x:c>
      <x:c r="F17" s="104" t="str">
        <x:v>audit/online_resolution_rvb21/drawing_process/FABRICATION_SUPPLEMENT.md
audit/online_resolution_rvb21/drawing_process/ASSEMBLY_PROCESS_INSTRUCTION.md
audit/online_resolution_rvb21/drawing_process/ROW_UPDATES.json
audit/online_resolution_rvb21/drawing_process/CANDIDATE_PROCESS_DELTA.md
audit/online_resolution_rvb21/drawing_process/CANDIDATE_PER_MPN_PROCESS_LIFECYCLE.json</x:v>
      </x:c>
    </x:row>
    <x:row r="18" ht="190" customHeight="1">
      <x:c r="A18" s="104" t="str">
        <x:v>R21-ACCESSORY</x:v>
      </x:c>
      <x:c r="B18" s="104" t="str">
        <x:v>Calculate exact harness, fuse and antenna candidates</x:v>
      </x:c>
      <x:c r="C18" s="104" t="str">
        <x:v>Oil cable path at 2.5 m/65 C plus contact allocation is 0.17514 Ω versus 0.20 Ω. External high-voltage fuse/holder and CAN cable deviation have explicit bounds. 120 RF accessory noise/gain cases; additional exact antennas examined.</x:v>
      </x:c>
      <x:c r="D18" s="104" t="str">
        <x:v>Conditional part/construction candidates; no ordering or installation claim</x:v>
      </x:c>
      <x:c r="E18" s="104" t="str">
        <x:v>2.1 A fuse adiabatic case requires cooling/faster trip; full-clearing and installation unknown. No examined antenna documents every required band/noise/current/connector condition.</x:v>
      </x:c>
      <x:c r="F18" s="104" t="str">
        <x:v>audit/online_resolution_rvb21/accessories/REVIEW.md
audit/online_resolution_rvb21/accessories/ACCESSORY_BOUNDS.json
audit/online_resolution_rvb21/accessories/ANTENNA_FOLLOWUP.md</x:v>
      </x:c>
    </x:row>
    <x:row r="19" ht="190" customHeight="1">
      <x:c r="A19" s="104" t="str">
        <x:v>R21-CARRIER</x:v>
      </x:c>
      <x:c r="B19" s="104" t="str">
        <x:v>Define and screen insulating board support</x:v>
      </x:c>
      <x:c r="C19" s="104" t="str">
        <x:v>Parametric NP510A FR-4 cradle defines six bare-edge bearings, outside-board nylon fasteners, thermal/assembly tolerances and a left end stop. Retained ESP antenna exclusion covers the whole right edge; positive rightward restraint remains unresolved.</x:v>
      </x:c>
      <x:c r="D19" s="104" t="str">
        <x:v>Source-screened OpenSCAD/2D candidate; no complete installed retention or native solid export</x:v>
      </x:c>
      <x:c r="E19" s="104" t="str">
        <x:v>Resolve positive X retention through a qualified antenna-compatible feature or board/mount change. Verify actual component heights, carrier/board loads, GPS retention, enclosure access and vibration.</x:v>
      </x:c>
      <x:c r="F19" s="104" t="str">
        <x:v>audit/online_resolution_rvb21/drawing_process/carrier_candidate/REVIEW.md
audit/online_resolution_rvb21/drawing_process/carrier_candidate/CARRIER_GEOMETRY_AND_LOAD_SCREEN.json
audit/online_resolution_rvb21/drawing_process/carrier_candidate/GR86_RVB_CARRIER_C01.scad</x:v>
      </x:c>
    </x:row>
    <x:row r="20" ht="190" customHeight="1">
      <x:c r="A20" s="104" t="str">
        <x:v>R21-REVIEW</x:v>
      </x:c>
      <x:c r="B20" s="104" t="str">
        <x:v>Reconcile criteria and source authority</x:v>
      </x:c>
      <x:c r="C20" s="104" t="str">
        <x:v>7 additional original criteria close: REG-07, GND-01, SI-11, BLE-09, HAR-06, LAY-07, FMEA-06. All 290 original questions/evidence are preserved; stale root release identity repaired and candidate histories retained.</x:v>
      </x:c>
      <x:c r="D20" s="104" t="str">
        <x:v>Applied review and controlled-record correction</x:v>
      </x:c>
      <x:c r="E20" s="104" t="str">
        <x:v>114 closed / 172 open / 4 N/A. Remaining criteria retain original evidence; classification labels do not establish completion.</x:v>
      </x:c>
      <x:c r="F20" s="104" t="str">
        <x:v>audit/online_resolution_rvb21/closure/REGISTER_PATCHES.json
audit/online_resolution_rvb21/SOURCE_EFFECTIVITY.md
audit/online_resolution_rvb21/INTEGRITY_CHECKS.json</x:v>
      </x:c>
    </x:row>
    <x:row r="21" ht="190" customHeight="1">
      <x:c r="A21" s="104" t="str">
        <x:v>R21-RUNTIME</x:v>
      </x:c>
      <x:c r="B21" s="104" t="str">
        <x:v>Record blocked native and embedded gates</x:v>
      </x:c>
      <x:c r="C21" s="104" t="str">
        <x:v>Required KiCad/embedded tools are absent. Download attempts returned network-approval cancellation before a decision. No native candidate pass or target image is claimed.</x:v>
      </x:c>
      <x:c r="D21" s="104" t="str">
        <x:v>Unexecuted validation is explicit engineering work</x:v>
      </x:c>
      <x:c r="E21" s="104" t="str">
        <x:v>Restore pinned tools in an authorized environment, execute candidate gates and regenerate a matching source/output set.</x:v>
      </x:c>
      <x:c r="F21" s="104" t="str">
        <x:v>audit/online_resolution_rvb21/runtime/RUNTIME_RECOVERY_RESULT.json</x:v>
      </x:c>
    </x:row>
  </x:sheetData>
  <x:mergeCells>
    <x:mergeCell ref="A1:F1"/>
    <x:mergeCell ref="A2:F2"/>
  </x:mergeCells>
  <x:pageMargins left="0.7" right="0.7" top="0.75" bottom="0.75" header="0.3" footer="0.3"/>
  <x:tableParts count="1">
    <x:tablePart xmlns:r="http://schemas.openxmlformats.org/officeDocument/2006/relationships" r:id="R77cbdd20825b4060"/>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4" customHeight="1">
      <x:c r="A1" s="215" t="str">
        <x:v>GR86 CCA I21 engineering review</x:v>
      </x:c>
      <x:c r="B1" s="215"/>
      <x:c r="C1" s="215"/>
      <x:c r="D1" s="215"/>
      <x:c r="E1" s="215"/>
      <x:c r="F1" s="215"/>
      <x:c r="G1" s="215"/>
      <x:c r="H1" s="215"/>
    </x:row>
    <x:row r="2" ht="46" customHeight="1">
      <x:c r="A2" s="177" t="str">
        <x:v>Current counts are calculated from the original review register. Criteria, redlines and physical qualification gates are separate totals.</x:v>
      </x:c>
      <x:c r="B2" s="177"/>
      <x:c r="C2" s="177"/>
      <x:c r="D2" s="177"/>
      <x:c r="E2" s="177"/>
      <x:c r="F2" s="177"/>
      <x:c r="G2" s="177"/>
      <x:c r="H2" s="177"/>
    </x:row>
    <x:row r="4" ht="25" customHeight="1">
      <x:c r="A4" s="228" t="str">
        <x:v>CRITERIA</x:v>
      </x:c>
      <x:c r="B4" s="228"/>
      <x:c r="C4" s="228" t="str">
        <x:v>CLOSED</x:v>
      </x:c>
      <x:c r="D4" s="228"/>
      <x:c r="E4" s="228" t="str">
        <x:v>OPEN</x:v>
      </x:c>
      <x:c r="F4" s="228"/>
      <x:c r="G4" s="228" t="str">
        <x:v>N/A</x:v>
      </x:c>
      <x:c r="H4" s="228"/>
    </x:row>
    <x:row r="5" ht="27" customHeight="1">
      <x:c r="A5" s="229" t="n">
        <x:f>COUNTA('Review Register'!$A$5:$A$294)</x:f>
        <x:v>290</x:v>
      </x:c>
      <x:c r="B5" s="229"/>
      <x:c r="C5" s="229" t="n">
        <x:f>COUNTIF('Review Register'!$N$5:$N$294,"CLOSED")</x:f>
        <x:v>134</x:v>
      </x:c>
      <x:c r="D5" s="229"/>
      <x:c r="E5" s="229" t="n">
        <x:f>COUNTIF('Review Register'!$N$5:$N$294,"OPEN")</x:f>
        <x:v>152</x:v>
      </x:c>
      <x:c r="F5" s="229"/>
      <x:c r="G5" s="229" t="n">
        <x:f>COUNTIF('Review Register'!$N$5:$N$294,"N/A")</x:f>
        <x:v>4</x:v>
      </x:c>
      <x:c r="H5" s="229"/>
    </x:row>
    <x:row r="6" ht="27" customHeight="1">
      <x:c r="A6" s="229"/>
      <x:c r="B6" s="229"/>
      <x:c r="C6" s="229"/>
      <x:c r="D6" s="229"/>
      <x:c r="E6" s="229"/>
      <x:c r="F6" s="229"/>
      <x:c r="G6" s="229"/>
      <x:c r="H6" s="229"/>
    </x:row>
    <x:row r="8" ht="25" customHeight="1">
      <x:c r="A8" s="230" t="str">
        <x:v>Native checks complete; thermal engineering and qualification remain open</x:v>
      </x:c>
      <x:c r="B8" s="230"/>
      <x:c r="C8" s="230"/>
      <x:c r="D8" s="230"/>
      <x:c r="E8" s="230"/>
      <x:c r="F8" s="230"/>
      <x:c r="G8" s="230"/>
      <x:c r="H8" s="230"/>
    </x:row>
    <x:row r="9" ht="25" customHeight="1">
      <x:c r="A9" s="230"/>
      <x:c r="B9" s="230"/>
      <x:c r="C9" s="230"/>
      <x:c r="D9" s="230"/>
      <x:c r="E9" s="230"/>
      <x:c r="F9" s="230"/>
      <x:c r="G9" s="230"/>
      <x:c r="H9" s="230"/>
    </x:row>
    <x:row r="11">
      <x:c r="A11" t="str">
        <x:v>Change since user baseline</x:v>
      </x:c>
      <x:c r="E11" s="231" t="n">
        <x:f>C5-'RVB22 Inputs'!B5</x:f>
        <x:v>61</x:v>
      </x:c>
      <x:c r="F11" s="231"/>
      <x:c r="G11" s="231"/>
      <x:c r="H11" s="231"/>
    </x:row>
    <x:row r="13" ht="26" customHeight="1">
      <x:c r="A13" s="232" t="str">
        <x:v>HOW TO READ THIS PACKAGE</x:v>
      </x:c>
      <x:c r="B13" s="232"/>
      <x:c r="C13" s="232"/>
      <x:c r="D13" s="232"/>
      <x:c r="E13" s="232"/>
      <x:c r="F13" s="232"/>
      <x:c r="G13" s="232"/>
      <x:c r="H13" s="232"/>
    </x:row>
    <x:row r="15" ht="38" customHeight="1">
      <x:c r="A15" s="233" t="str">
        <x:v>RVB22 Criteria</x:v>
      </x:c>
      <x:c r="B15" s="233"/>
      <x:c r="C15" s="233"/>
      <x:c r="D15" s="233" t="str">
        <x:v>All 290 current observations, desktop dispositions and remaining conditions.</x:v>
      </x:c>
      <x:c r="E15" s="233"/>
      <x:c r="F15" s="233"/>
      <x:c r="G15" s="233"/>
      <x:c r="H15" s="233"/>
    </x:row>
    <x:row r="16" ht="38" customHeight="1">
      <x:c r="A16" s="234" t="str">
        <x:v>RVB22 Redlines</x:v>
      </x:c>
      <x:c r="B16" s="234"/>
      <x:c r="C16" s="234"/>
      <x:c r="D16" s="234" t="str">
        <x:v>Every aggregated finding, correction, evidence reference and residual status.</x:v>
      </x:c>
      <x:c r="E16" s="234"/>
      <x:c r="F16" s="234"/>
      <x:c r="G16" s="234"/>
      <x:c r="H16" s="234"/>
    </x:row>
    <x:row r="17" ht="38" customHeight="1">
      <x:c r="A17" s="233" t="str">
        <x:v>RVB22 Inputs</x:v>
      </x:c>
      <x:c r="B17" s="233"/>
      <x:c r="C17" s="233"/>
      <x:c r="D17" s="233" t="str">
        <x:v>Exact selected interfaces, numerical assumptions and source bounds.</x:v>
      </x:c>
      <x:c r="E17" s="233"/>
      <x:c r="F17" s="233"/>
      <x:c r="G17" s="233"/>
      <x:c r="H17" s="233"/>
    </x:row>
    <x:row r="18" ht="38" customHeight="1">
      <x:c r="A18" s="234" t="str">
        <x:v>RVB22 Gates</x:v>
      </x:c>
      <x:c r="B18" s="234"/>
      <x:c r="C18" s="234"/>
      <x:c r="D18" s="234" t="str">
        <x:v>Concrete closure actions for native execution, physical correlation and supplier acceptance.</x:v>
      </x:c>
      <x:c r="E18" s="234"/>
      <x:c r="F18" s="234"/>
      <x:c r="G18" s="234"/>
      <x:c r="H18" s="234"/>
    </x:row>
    <x:row r="19" ht="38" customHeight="1">
      <x:c r="A19" s="233" t="str">
        <x:v>RVB22 Iterations</x:v>
      </x:c>
      <x:c r="B19" s="233"/>
      <x:c r="C19" s="233"/>
      <x:c r="D19" s="233" t="str">
        <x:v>Source effectivity and preserved failed / superseded checkpoints.</x:v>
      </x:c>
      <x:c r="E19" s="233"/>
      <x:c r="F19" s="233"/>
      <x:c r="G19" s="233"/>
      <x:c r="H19" s="233"/>
    </x:row>
    <x:row r="20" ht="38" customHeight="1">
      <x:c r="A20" s="234" t="str">
        <x:v>RVB22 Evidence</x:v>
      </x:c>
      <x:c r="B20" s="234"/>
      <x:c r="C20" s="234"/>
      <x:c r="D20" s="234" t="str">
        <x:v>Criterion-by-criterion source paths and supplied SHA256 identities.</x:v>
      </x:c>
      <x:c r="E20" s="234"/>
      <x:c r="F20" s="234"/>
      <x:c r="G20" s="234"/>
      <x:c r="H20" s="234"/>
    </x:row>
    <x:row r="21" ht="38" customHeight="1">
      <x:c r="A21" s="233" t="str">
        <x:v>Review Register</x:v>
      </x:c>
      <x:c r="B21" s="233"/>
      <x:c r="C21" s="233"/>
      <x:c r="D21" s="233" t="str">
        <x:v>Original criterion wording in A–F; current evidence and closure in G–J/N.</x:v>
      </x:c>
      <x:c r="E21" s="233"/>
      <x:c r="F21" s="233"/>
      <x:c r="G21" s="233"/>
      <x:c r="H21" s="233"/>
    </x:row>
    <x:row r="22" ht="28" customHeight="1">
      <x:c r="A22" s="207" t="str">
        <x:v>A continuous CAD trace is evidence about intended copper connectivity. It does not prove the manufactured board, connector contact resistance, installed RF performance or a supplier process. Model conditions remain visible so a conditional result is not mistaken for an unrestricted release.</x:v>
      </x:c>
      <x:c r="B22" s="207"/>
      <x:c r="C22" s="207"/>
      <x:c r="D22" s="207"/>
      <x:c r="E22" s="207"/>
      <x:c r="F22" s="207"/>
      <x:c r="G22" s="207"/>
      <x:c r="H22" s="207"/>
    </x:row>
    <x:row r="23" ht="28" customHeight="1">
      <x:c r="A23" s="207"/>
      <x:c r="B23" s="207"/>
      <x:c r="C23" s="207"/>
      <x:c r="D23" s="207"/>
      <x:c r="E23" s="207"/>
      <x:c r="F23" s="207"/>
      <x:c r="G23" s="207"/>
      <x:c r="H23" s="207"/>
    </x:row>
    <x:row r="25" ht="27" customHeight="1">
      <x:c r="A25" s="232" t="str">
        <x:v>SELECTED CURRENT INPUTS — full definitions in RVB22 Inputs</x:v>
      </x:c>
      <x:c r="B25" s="232"/>
      <x:c r="C25" s="232"/>
      <x:c r="D25" s="232"/>
      <x:c r="E25" s="232"/>
      <x:c r="F25" s="232"/>
      <x:c r="G25" s="232"/>
      <x:c r="H25" s="232"/>
    </x:row>
    <x:row r="26" ht="35" customHeight="1">
      <x:c r="A26" s="209" t="str">
        <x:v>Oil sensor</x:v>
      </x:c>
      <x:c r="B26" s="209"/>
      <x:c r="C26" s="209"/>
      <x:c r="D26" s="209" t="str">
        <x:v>Honeywell MIPAN2XX150PSAAX, 150 psi sealed gauge, 5 V ratiometric</x:v>
      </x:c>
      <x:c r="E26" s="209"/>
      <x:c r="F26" s="209"/>
      <x:c r="G26" s="209"/>
      <x:c r="H26" s="209"/>
    </x:row>
    <x:row r="27" ht="35" customHeight="1">
      <x:c r="A27" s="209" t="str">
        <x:v>RF accessory</x:v>
      </x:c>
      <x:c r="B27" s="209"/>
      <x:c r="C27" s="209"/>
      <x:c r="D27" s="209" t="str">
        <x:v>Adafruit U.FL/SMA adapter and external GPS puck; exact PIDs not confirmed</x:v>
      </x:c>
      <x:c r="E27" s="209"/>
      <x:c r="F27" s="209"/>
      <x:c r="G27" s="209"/>
      <x:c r="H27" s="209"/>
    </x:row>
    <x:row r="28" ht="35" customHeight="1">
      <x:c r="A28" s="209" t="str">
        <x:v>Dashboard thermal load (W)</x:v>
      </x:c>
      <x:c r="B28" s="209"/>
      <x:c r="C28" s="209"/>
      <x:c r="D28" s="237" t="n">
        <x:v>4.815</x:v>
      </x:c>
      <x:c r="E28" s="209"/>
      <x:c r="F28" s="209"/>
      <x:c r="G28" s="209"/>
      <x:c r="H28" s="209"/>
    </x:row>
    <x:row r="29" ht="40" customHeight="1">
      <x:c r="A29" s="209" t="str">
        <x:v>Current rail source</x:v>
      </x:c>
      <x:c r="B29" s="209"/>
      <x:c r="C29" s="209"/>
      <x:c r="D29" s="209" t="str">
        <x:v>R155 11.8 kohm / R156 4.99 kohm TNPU, 0.02%, 2 ppm/K with independent 0.1% drift bound</x:v>
      </x:c>
      <x:c r="E29" s="209"/>
      <x:c r="F29" s="209"/>
      <x:c r="G29" s="209"/>
      <x:c r="H29" s="209"/>
    </x:row>
    <x:row r="30" ht="35" customHeight="1">
      <x:c r="A30" s="209" t="str">
        <x:v>Local rail minimum (V)</x:v>
      </x:c>
      <x:c r="B30" s="209"/>
      <x:c r="C30" s="209"/>
      <x:c r="D30" s="240" t="n">
        <x:v>3.121028568</x:v>
      </x:c>
      <x:c r="E30" s="209"/>
      <x:c r="F30" s="209"/>
      <x:c r="G30" s="209"/>
      <x:c r="H30" s="209"/>
    </x:row>
    <x:row r="31" ht="35" customHeight="1">
      <x:c r="A31" s="209" t="str">
        <x:v>Target reset maximum (V)</x:v>
      </x:c>
      <x:c r="B31" s="209"/>
      <x:c r="C31" s="209"/>
      <x:c r="D31" s="240" t="n">
        <x:v>3.11605</x:v>
      </x:c>
      <x:c r="E31" s="209"/>
      <x:c r="F31" s="209"/>
      <x:c r="G31" s="209"/>
      <x:c r="H31" s="209"/>
    </x:row>
    <x:row r="32" ht="35" customHeight="1">
      <x:c r="A32" s="209" t="str">
        <x:v>Thermal mesh minimum (mm)</x:v>
      </x:c>
      <x:c r="B32" s="209"/>
      <x:c r="C32" s="209"/>
      <x:c r="D32" s="237" t="n">
        <x:v>0.125</x:v>
      </x:c>
      <x:c r="E32" s="209"/>
      <x:c r="F32" s="209"/>
      <x:c r="G32" s="209"/>
      <x:c r="H32" s="209"/>
    </x:row>
    <x:row r="33" ht="35" customHeight="1">
      <x:c r="A33" s="209" t="str">
        <x:v>Maximum board-region temperature (C)</x:v>
      </x:c>
      <x:c r="B33" s="209"/>
      <x:c r="C33" s="209"/>
      <x:c r="D33" s="243" t="n">
        <x:v>143.79976755011293</x:v>
      </x:c>
      <x:c r="E33" s="209"/>
      <x:c r="F33" s="209"/>
      <x:c r="G33" s="209"/>
      <x:c r="H33" s="209"/>
    </x:row>
  </x:sheetData>
  <x:mergeCells>
    <x:mergeCell ref="A1:H1"/>
    <x:mergeCell ref="A2:H2"/>
    <x:mergeCell ref="A4:B4"/>
    <x:mergeCell ref="A5:B6"/>
    <x:mergeCell ref="C4:D4"/>
    <x:mergeCell ref="C5:D6"/>
    <x:mergeCell ref="E4:F4"/>
    <x:mergeCell ref="E5:F6"/>
    <x:mergeCell ref="G4:H4"/>
    <x:mergeCell ref="G5:H6"/>
    <x:mergeCell ref="A8:H9"/>
    <x:mergeCell ref="A11:D11"/>
    <x:mergeCell ref="E11:H11"/>
    <x:mergeCell ref="A13:H13"/>
    <x:mergeCell ref="A15:C15"/>
    <x:mergeCell ref="D15:H15"/>
    <x:mergeCell ref="A16:C16"/>
    <x:mergeCell ref="D16:H16"/>
    <x:mergeCell ref="A17:C17"/>
    <x:mergeCell ref="D17:H17"/>
    <x:mergeCell ref="A18:C18"/>
    <x:mergeCell ref="D18:H18"/>
    <x:mergeCell ref="A19:C19"/>
    <x:mergeCell ref="D19:H19"/>
    <x:mergeCell ref="A20:C20"/>
    <x:mergeCell ref="D20:H20"/>
    <x:mergeCell ref="A21:C21"/>
    <x:mergeCell ref="D21:H21"/>
    <x:mergeCell ref="A22:H23"/>
    <x:mergeCell ref="A25:H25"/>
    <x:mergeCell ref="A26:C26"/>
    <x:mergeCell ref="D26:H26"/>
    <x:mergeCell ref="A27:C27"/>
    <x:mergeCell ref="D27:H27"/>
    <x:mergeCell ref="A28:C28"/>
    <x:mergeCell ref="D28:H28"/>
    <x:mergeCell ref="A29:C29"/>
    <x:mergeCell ref="D29:H29"/>
    <x:mergeCell ref="A30:C30"/>
    <x:mergeCell ref="D30:H30"/>
    <x:mergeCell ref="A31:C31"/>
    <x:mergeCell ref="D31:H31"/>
    <x:mergeCell ref="A32:C32"/>
    <x:mergeCell ref="D32:H32"/>
    <x:mergeCell ref="A33:C33"/>
    <x:mergeCell ref="D33:H33"/>
  </x:mergeCells>
  <x:conditionalFormatting sqref="E11:H11">
    <x:cfRule type="cellIs" dxfId="70" priority="1" operator="lessThan">
      <x:formula>0</x:formula>
    </x:cfRule>
    <x:cfRule type="cellIs" dxfId="86" priority="2" operator="lessThan">
      <x:formula>0</x:formula>
    </x:cfRule>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14" hidden="0" customWidth="1"/>
    <x:col min="3" max="3" width="30" hidden="0" customWidth="1"/>
    <x:col min="4" max="4" width="30" hidden="0" customWidth="1"/>
    <x:col min="5" max="5" width="82" hidden="0" customWidth="1"/>
    <x:col min="6" max="6" width="72" hidden="0" customWidth="1"/>
    <x:col min="7" max="7" width="88" hidden="0" customWidth="1"/>
  </x:cols>
  <x:sheetData>
    <x:row r="1" ht="34" customHeight="1">
      <x:c r="A1" s="215" t="str">
        <x:v>RVB22 I21 current criteria</x:v>
      </x:c>
      <x:c r="B1" s="215"/>
      <x:c r="C1" s="215"/>
      <x:c r="D1" s="215"/>
      <x:c r="E1" s="215"/>
      <x:c r="F1" s="215"/>
      <x:c r="G1" s="215"/>
    </x:row>
    <x:row r="2" ht="46" customHeight="1">
      <x:c r="A2" s="177" t="str">
        <x:v>Each original criterion retains its own closure. Desktop/model work and remaining native, physical or supplier conditions are explicit.</x:v>
      </x:c>
      <x:c r="B2" s="177"/>
      <x:c r="C2" s="177"/>
      <x:c r="D2" s="177"/>
      <x:c r="E2" s="177"/>
      <x:c r="F2" s="177"/>
      <x:c r="G2" s="177"/>
    </x:row>
    <x:row r="4" ht="30" customHeight="1">
      <x:c r="A4" s="218" t="str">
        <x:v>Criterion</x:v>
      </x:c>
      <x:c r="B4" s="218" t="str">
        <x:v>Closure</x:v>
      </x:c>
      <x:c r="C4" s="218" t="str">
        <x:v>Desktop status</x:v>
      </x:c>
      <x:c r="D4" s="218" t="str">
        <x:v>Evidence status</x:v>
      </x:c>
      <x:c r="E4" s="218" t="str">
        <x:v>Current observation</x:v>
      </x:c>
      <x:c r="F4" s="218" t="str">
        <x:v>Remaining condition</x:v>
      </x:c>
      <x:c r="G4" s="218" t="str">
        <x:v>Evidence paths</x:v>
      </x:c>
    </x:row>
    <x:row r="5" ht="75" customHeight="1">
      <x:c r="A5" s="219" t="str">
        <x:v>CFG-01</x:v>
      </x:c>
      <x:c r="B5" s="219" t="str">
        <x:v>OPEN</x:v>
      </x:c>
      <x:c r="C5" s="219" t="str">
        <x:v>HARDWARE OR INSTALLATION ACCEPTANCE</x:v>
      </x:c>
      <x:c r="D5" s="219" t="str">
        <x:v>CURRENT SOURCE OR MODEL WITH REMAINING CONDITIONS</x:v>
      </x:c>
      <x:c r="E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 s="219" t="str">
        <x:v>physical serial, fitted harness and flash readback cannot be supplied from CAD.</x:v>
      </x:c>
      <x:c r="G5" s="219" t="str">
        <x:v>control/EXECUTION_PLAN_CURRENT.md
control/CLOSED_CRITERIA_ADJUDICATION.json
current/I21_SOURCE_VERIFICATION.json
iterations/I20_controlled_handoff/NATIVE_BINDING.json
current/SOURCE_EFFECTIVITY.json</x:v>
      </x:c>
    </x:row>
    <x:row r="6" ht="88" customHeight="1">
      <x:c r="A6" s="180" t="str">
        <x:v>CFG-02</x:v>
      </x:c>
      <x:c r="B6" s="180" t="str">
        <x:v>OPEN</x:v>
      </x:c>
      <x:c r="C6" s="180" t="str">
        <x:v>HARDWARE OR INSTALLATION ACCEPTANCE</x:v>
      </x:c>
      <x:c r="D6" s="180" t="str">
        <x:v>CURRENT SOURCE OR MODEL WITH REMAINING CONDITIONS</x:v>
      </x:c>
      <x:c r="E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 s="180" t="str">
        <x:v>actual bodge/removal photographs and unit continuity remain.</x:v>
      </x:c>
      <x:c r="G6" s="180" t="str">
        <x:v>interfaces/HARNESS_INTERFACE_CONTRACT.json
interfaces/HARNESS_CHECKS.json
analyses/harness_wire/HARNESS_WIRE_DELTA.json
current/I21_SOURCE_VERIFICATION.json
iterations/I20_controlled_handoff/NATIVE_BINDING.json
current/SOURCE_EFFECTIVITY.json</x:v>
      </x:c>
    </x:row>
    <x:row r="7" ht="114" customHeight="1">
      <x:c r="A7" s="219" t="str">
        <x:v>CFG-03</x:v>
      </x:c>
      <x:c r="B7" s="219" t="str">
        <x:v>CLOSED</x:v>
      </x:c>
      <x:c r="C7" s="219" t="str">
        <x:v>CURRENT EVIDENCE REVIEWED</x:v>
      </x:c>
      <x:c r="D7" s="219" t="str">
        <x:v>CLOSED BY ORIGINAL SCOPE</x:v>
      </x:c>
      <x:c r="E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7" s="219" t="str"/>
      <x:c r="G7"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row>
    <x:row r="8" ht="114" customHeight="1">
      <x:c r="A8" s="180" t="str">
        <x:v>CFG-04</x:v>
      </x:c>
      <x:c r="B8" s="180" t="str">
        <x:v>CLOSED</x:v>
      </x:c>
      <x:c r="C8" s="180" t="str">
        <x:v>CURRENT EVIDENCE REVIEWED</x:v>
      </x:c>
      <x:c r="D8" s="180" t="str">
        <x:v>CLOSED BY ORIGINAL SCOPE</x:v>
      </x:c>
      <x:c r="E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 s="180" t="str"/>
      <x:c r="G8"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row>
    <x:row r="9" ht="114" customHeight="1">
      <x:c r="A9" s="219" t="str">
        <x:v>CFG-05</x:v>
      </x:c>
      <x:c r="B9" s="219" t="str">
        <x:v>CLOSED</x:v>
      </x:c>
      <x:c r="C9" s="219" t="str">
        <x:v>CURRENT EVIDENCE REVIEWED</x:v>
      </x:c>
      <x:c r="D9" s="219" t="str">
        <x:v>CLOSED BY ORIGINAL SCOPE</x:v>
      </x:c>
      <x:c r="E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 s="219" t="str"/>
      <x:c r="G9"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row>
    <x:row r="10" ht="140" customHeight="1">
      <x:c r="A10" s="180" t="str">
        <x:v>CFG-06</x:v>
      </x:c>
      <x:c r="B10" s="180" t="str">
        <x:v>CLOSED</x:v>
      </x:c>
      <x:c r="C10" s="180" t="str">
        <x:v>CURRENT EVIDENCE REVIEWED</x:v>
      </x:c>
      <x:c r="D10" s="180" t="str">
        <x:v>CLOSED BY ORIGINAL SCOPE</x:v>
      </x:c>
      <x:c r="E1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 s="180" t="str"/>
      <x:c r="G10"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current/I21_SOURCE_VERIFICATION.json
iterations/I20_controlled_handoff/NATIVE_BINDING.json
current/SOURCE_EFFECTIVITY.json</x:v>
      </x:c>
    </x:row>
    <x:row r="11" ht="114" customHeight="1">
      <x:c r="A11" s="219" t="str">
        <x:v>CFG-07</x:v>
      </x:c>
      <x:c r="B11" s="219" t="str">
        <x:v>CLOSED</x:v>
      </x:c>
      <x:c r="C11" s="219" t="str">
        <x:v>CURRENT EVIDENCE REVIEWED</x:v>
      </x:c>
      <x:c r="D11" s="219" t="str">
        <x:v>CLOSED BY ORIGINAL SCOPE</x:v>
      </x:c>
      <x:c r="E1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 s="219" t="str"/>
      <x:c r="G11"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current/SOURCE_EFFECTIVITY.json</x:v>
      </x:c>
    </x:row>
    <x:row r="12" ht="49" customHeight="1">
      <x:c r="A12" s="180" t="str">
        <x:v>CFG-08</x:v>
      </x:c>
      <x:c r="B12" s="180" t="str">
        <x:v>CLOSED</x:v>
      </x:c>
      <x:c r="C12" s="180" t="str">
        <x:v>COMPLETED CURRENT SOURCE VERIFICATION</x:v>
      </x:c>
      <x:c r="D12" s="180" t="str">
        <x:v>CLOSED BY ORIGINAL SCOPE</x:v>
      </x:c>
      <x:c r="E12" s="180" t="str">
        <x:v>Pinned KiCad 9.0.9 and firmware workflow successfully opened and regenerated the I20 candidate. All 101 CAD inputs, 32 firmware inputs and 774 output files were freshly checked against their hashes.</x:v>
      </x:c>
      <x:c r="F12" s="180" t="str">
        <x:v>Original documentary, design-inspection or execution scope satisfied. Related supplier and physical criteria retain their own dispositions.</x:v>
      </x:c>
      <x:c r="G12" s="180" t="str">
        <x:v>iterations/I20_controlled_handoff/NATIVE_BINDING.json
current/I21_SOURCE_VERIFICATION.json
current/SOURCE_EFFECTIVITY.json</x:v>
      </x:c>
    </x:row>
    <x:row r="13" ht="75" customHeight="1">
      <x:c r="A13" s="219" t="str">
        <x:v>CFG-09</x:v>
      </x:c>
      <x:c r="B13" s="219" t="str">
        <x:v>OPEN</x:v>
      </x:c>
      <x:c r="C13" s="219" t="str">
        <x:v>COMPLETED CONDITIONAL MODEL</x:v>
      </x:c>
      <x:c r="D13" s="219" t="str">
        <x:v>CURRENT SOURCE OR MODEL WITH REMAINING CONDITIONS</x:v>
      </x:c>
      <x:c r="E1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 s="219" t="str">
        <x:v>actual installed accessory and phone identities remain to be confirmed.</x:v>
      </x:c>
      <x:c r="G13" s="219" t="str">
        <x:v>analyses/installation/DASHBOARD_EXPOSURE_AND_SERVICE.md
lanes/mechanics/MECHANICAL_INSTALLATION_RVB22.md
current/I21_SOURCE_VERIFICATION.json
iterations/I20_controlled_handoff/NATIVE_BINDING.json
current/SOURCE_EFFECTIVITY.json</x:v>
      </x:c>
    </x:row>
    <x:row r="14" ht="75" customHeight="1">
      <x:c r="A14" s="180" t="str">
        <x:v>CFG-10</x:v>
      </x:c>
      <x:c r="B14" s="180" t="str">
        <x:v>CLOSED</x:v>
      </x:c>
      <x:c r="C14" s="180" t="str">
        <x:v>CURRENT EVIDENCE REVIEWED</x:v>
      </x:c>
      <x:c r="D14" s="180" t="str">
        <x:v>CLOSED BY ORIGINAL SCOPE</x:v>
      </x:c>
      <x:c r="E1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4" s="180" t="str"/>
      <x:c r="G14" s="180" t="str">
        <x:v>iterations/I06_harness_handoff/CANDIDATE_MANIFEST.json
current/I21_SOURCE_VERIFICATION.json
iterations/I20_controlled_handoff/NATIVE_BINDING.json
current/SOURCE_EFFECTIVITY.json</x:v>
      </x:c>
    </x:row>
    <x:row r="15" ht="75" customHeight="1">
      <x:c r="A15" s="219" t="str">
        <x:v>REQ-01</x:v>
      </x:c>
      <x:c r="B15" s="219" t="str">
        <x:v>CLOSED</x:v>
      </x:c>
      <x:c r="C15" s="219" t="str">
        <x:v>CURRENT EVIDENCE REVIEWED</x:v>
      </x:c>
      <x:c r="D15" s="219" t="str">
        <x:v>CLOSED BY ORIGINAL SCOPE</x:v>
      </x:c>
      <x:c r="E1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5" s="219" t="str"/>
      <x:c r="G15" s="219" t="str">
        <x:v>lanes/firmware_oil/RECOVERED_RELEASE_CHECKS.json
lanes/firmware_oil/RECOVERED_FIRMWARE_TEST_RESULTS.json
lanes/firmware_oil/FINAL_I04_OIL_FIRMWARE_EFFECTIVITY.json
current/EXECUTION_PLAN.md</x:v>
      </x:c>
    </x:row>
    <x:row r="16" ht="75" customHeight="1">
      <x:c r="A16" s="180" t="str">
        <x:v>REQ-02</x:v>
      </x:c>
      <x:c r="B16" s="180" t="str">
        <x:v>OPEN</x:v>
      </x:c>
      <x:c r="C16" s="180" t="str">
        <x:v>HARDWARE OR INSTALLATION ACCEPTANCE</x:v>
      </x:c>
      <x:c r="D16" s="180" t="str">
        <x:v>CURRENT SOURCE OR MODEL WITH REMAINING CONDITIONS</x:v>
      </x:c>
      <x:c r="E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6" s="180" t="str">
        <x:v>actual vehicle takeoff/returns and observed network remain installation evidence.</x:v>
      </x:c>
      <x:c r="G16" s="180" t="str">
        <x:v>interfaces/asc_profile/ASC_PROFILE_REVIEW.json
interfaces/asc_profile/PRIMARY_SOURCE_MANIFEST.json
current/EXECUTION_PLAN.md</x:v>
      </x:c>
    </x:row>
    <x:row r="17" ht="75" customHeight="1">
      <x:c r="A17" s="219" t="str">
        <x:v>REQ-03</x:v>
      </x:c>
      <x:c r="B17" s="219" t="str">
        <x:v>CLOSED</x:v>
      </x:c>
      <x:c r="C17" s="219" t="str">
        <x:v>CURRENT EVIDENCE REVIEWED</x:v>
      </x:c>
      <x:c r="D17" s="219" t="str">
        <x:v>CLOSED BY ORIGINAL SCOPE</x:v>
      </x:c>
      <x:c r="E1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7" s="219" t="str"/>
      <x:c r="G17" s="219" t="str">
        <x:v>lanes/firmware_oil/RECOVERED_RELEASE_CHECKS.json
lanes/firmware_oil/RECOVERED_FIRMWARE_TEST_RESULTS.json
lanes/firmware_oil/FINAL_I04_OIL_FIRMWARE_EFFECTIVITY.json
current/EXECUTION_PLAN.md</x:v>
      </x:c>
    </x:row>
    <x:row r="18" ht="88" customHeight="1">
      <x:c r="A18" s="180" t="str">
        <x:v>REQ-04</x:v>
      </x:c>
      <x:c r="B18" s="180" t="str">
        <x:v>CLOSED</x:v>
      </x:c>
      <x:c r="C18" s="180" t="str">
        <x:v>CURRENT EVIDENCE REVIEWED</x:v>
      </x:c>
      <x:c r="D18" s="180" t="str">
        <x:v>CLOSED BY ORIGINAL SCOPE</x:v>
      </x:c>
      <x:c r="E1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 s="180" t="str"/>
      <x:c r="G18" s="180" t="str">
        <x:v>lanes/firmware_oil/RECOVERY_CALIBRATION_GAIN_REDLINE.json
lanes/firmware_oil/RECOVERED_FIRMWARE_TEST_RESULTS.json
interfaces/OIL_HARNESS_ERROR_SWEEP.json
lanes/firmware_oil/FINAL_I04_OIL_FIRMWARE_EFFECTIVITY.json
lanes/oil_cap/FINAL_C532_SUBGRAPH_BINDING.json
current/EXECUTION_PLAN.md</x:v>
      </x:c>
    </x:row>
    <x:row r="19" ht="101" customHeight="1">
      <x:c r="A19" s="219" t="str">
        <x:v>REQ-05</x:v>
      </x:c>
      <x:c r="B19" s="219" t="str">
        <x:v>CLOSED</x:v>
      </x:c>
      <x:c r="C19" s="219" t="str">
        <x:v>CURRENT EVIDENCE REVIEWED</x:v>
      </x:c>
      <x:c r="D19" s="219" t="str">
        <x:v>CLOSED BY ORIGINAL SCOPE</x:v>
      </x:c>
      <x:c r="E1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9" s="219" t="str"/>
      <x:c r="G19" s="219" t="str">
        <x:v>lanes/rf/RF_FINAL_REPORT.md
lanes/rf/RF_FINAL_SUMMARY.json
lanes/rf/RF_I04_ADDENDUM.md
lanes/rf/RF_I04_SUMMARY.json
lanes/rf/FINAL_I04_SOURCE_BINDING.json
lanes/emc/EMC_SUMMARY.json
current/EXECUTION_PLAN.md</x:v>
      </x:c>
    </x:row>
    <x:row r="20" ht="75" customHeight="1">
      <x:c r="A20" s="180" t="str">
        <x:v>REQ-06</x:v>
      </x:c>
      <x:c r="B20" s="180" t="str">
        <x:v>OPEN</x:v>
      </x:c>
      <x:c r="C20" s="180" t="str">
        <x:v>HARDWARE OR INSTALLATION ACCEPTANCE</x:v>
      </x:c>
      <x:c r="D20" s="180" t="str">
        <x:v>CURRENT SOURCE OR MODEL WITH REMAINING CONDITIONS</x:v>
      </x:c>
      <x:c r="E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0" s="180" t="str">
        <x:v>actual target phone/app versions, profile and operating-mode acceptance remain.</x:v>
      </x:c>
      <x:c r="G20" s="180" t="str">
        <x:v>lanes/firmware_oil/RECOVERED_RELEASE_CHECKS.json
lanes/firmware_oil/RECOVERED_FIRMWARE_TEST_RESULTS.json
current/EXECUTION_PLAN.md</x:v>
      </x:c>
    </x:row>
    <x:row r="21" ht="75" customHeight="1">
      <x:c r="A21" s="219" t="str">
        <x:v>REQ-07</x:v>
      </x:c>
      <x:c r="B21" s="219" t="str">
        <x:v>CLOSED</x:v>
      </x:c>
      <x:c r="C21" s="219" t="str">
        <x:v>CURRENT EVIDENCE REVIEWED</x:v>
      </x:c>
      <x:c r="D21" s="219" t="str">
        <x:v>CLOSED BY ORIGINAL SCOPE</x:v>
      </x:c>
      <x:c r="E2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1" s="219" t="str"/>
      <x:c r="G21" s="219" t="str">
        <x:v>control/RVB22_BRING_UP_AND_MEASUREMENT_CONTRACT.md
control/BRINGUP_SCHEMATIC_TEXT_DELTA.json
control/BRINGUP_ACTUAL_NODE_INDEX.json
control/FINAL_I04_BRINGUP_BINDING.json
current/EXECUTION_PLAN.md</x:v>
      </x:c>
    </x:row>
    <x:row r="22" ht="75" customHeight="1">
      <x:c r="A22" s="180" t="str">
        <x:v>REQ-08</x:v>
      </x:c>
      <x:c r="B22" s="180" t="str">
        <x:v>CLOSED</x:v>
      </x:c>
      <x:c r="C22" s="180" t="str">
        <x:v>CURRENT EVIDENCE REVIEWED</x:v>
      </x:c>
      <x:c r="D22" s="180" t="str">
        <x:v>CLOSED BY ORIGINAL SCOPE</x:v>
      </x:c>
      <x:c r="E2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2" s="180" t="str"/>
      <x:c r="G22" s="180" t="str">
        <x:v>lanes/firmware_oil/RECOVERED_RELEASE_CHECKS.json
lanes/firmware_oil/RECOVERED_FIRMWARE_TEST_RESULTS.json
lanes/firmware_oil/FINAL_I04_OIL_FIRMWARE_EFFECTIVITY.json
current/EXECUTION_PLAN.md</x:v>
      </x:c>
    </x:row>
    <x:row r="23" ht="114" customHeight="1">
      <x:c r="A23" s="219" t="str">
        <x:v>REQ-09</x:v>
      </x:c>
      <x:c r="B23" s="219" t="str">
        <x:v>CLOSED</x:v>
      </x:c>
      <x:c r="C23" s="219" t="str">
        <x:v>CURRENT EVIDENCE REVIEWED</x:v>
      </x:c>
      <x:c r="D23" s="219" t="str">
        <x:v>CLOSED BY ORIGINAL SCOPE</x:v>
      </x:c>
      <x:c r="E2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3" s="219" t="str"/>
      <x:c r="G23"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current/EXECUTION_PLAN.md</x:v>
      </x:c>
    </x:row>
    <x:row r="24" ht="88" customHeight="1">
      <x:c r="A24" s="180" t="str">
        <x:v>REQ-10</x:v>
      </x:c>
      <x:c r="B24" s="180" t="str">
        <x:v>CLOSED</x:v>
      </x:c>
      <x:c r="C24" s="180" t="str">
        <x:v>CURRENT EVIDENCE REVIEWED</x:v>
      </x:c>
      <x:c r="D24" s="180" t="str">
        <x:v>CLOSED BY ORIGINAL SCOPE</x:v>
      </x:c>
      <x:c r="E2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4" s="180" t="str"/>
      <x:c r="G24" s="180" t="str">
        <x:v>control/EXECUTION_PLAN_CURRENT.md
control/RECOVERY_LEDGER.md
control/DESKTOP_ACTION_DISPOSITIONS_CURRENT.json
iterations/I06_harness_handoff/CANDIDATE_MANIFEST.json
control/FINAL_GATES.json
current/EXECUTION_PLAN.md</x:v>
      </x:c>
    </x:row>
    <x:row r="25" ht="140" customHeight="1">
      <x:c r="A25" s="219" t="str">
        <x:v>LIB-01</x:v>
      </x:c>
      <x:c r="B25" s="219" t="str">
        <x:v>CLOSED</x:v>
      </x:c>
      <x:c r="C25" s="219" t="str">
        <x:v>CURRENT EVIDENCE REVIEWED</x:v>
      </x:c>
      <x:c r="D25" s="219" t="str">
        <x:v>CLOSED BY ORIGINAL SCOPE</x:v>
      </x:c>
      <x:c r="E2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 s="219" t="str"/>
      <x:c r="G25" s="219"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row>
    <x:row r="26" ht="101" customHeight="1">
      <x:c r="A26" s="180" t="str">
        <x:v>LIB-02</x:v>
      </x:c>
      <x:c r="B26" s="180" t="str">
        <x:v>OPEN</x:v>
      </x:c>
      <x:c r="C26" s="180" t="str">
        <x:v>CURRENT EVIDENCE REVIEWED</x:v>
      </x:c>
      <x:c r="D26" s="180" t="str">
        <x:v>OPEN ORIGINAL ACCEPTANCE</x:v>
      </x:c>
      <x:c r="E26" s="180" t="str">
        <x:v>All 153 source-to-placement/model identities match. Native parity alone does not constitute the requested independent package-drawing overlay for every IC/module.</x:v>
      </x:c>
      <x:c r="F26" s="180" t="str">
        <x:v>Complete an exact manufacturer top/bottom/pin-1 drawing overlay against each IC/module footprint and assembly rotation.</x:v>
      </x:c>
      <x:c r="G26" s="180" t="str">
        <x:v>runtime/run_native_candidate.py
runtime/final_I06_actual_preflight/RESULT.json
runtime/NATIVE_NEGATIVE_CONTROL_RECHECK.json
iterations/I06_harness_handoff/CANDIDATE_MANIFEST.json
iterations/I20_controlled_handoff/NATIVE_BINDING.json
current/SOURCE_EFFECTIVITY.json
analyses/mated_i18/RESULTS.json</x:v>
      </x:c>
    </x:row>
    <x:row r="27" ht="75" customHeight="1">
      <x:c r="A27" s="219" t="str">
        <x:v>LIB-03</x:v>
      </x:c>
      <x:c r="B27" s="219" t="str">
        <x:v>CLOSED</x:v>
      </x:c>
      <x:c r="C27" s="219" t="str">
        <x:v>CURRENT EVIDENCE REVIEWED</x:v>
      </x:c>
      <x:c r="D27" s="219" t="str">
        <x:v>CLOSED BY ORIGINAL SCOPE</x:v>
      </x:c>
      <x:c r="E2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 s="219" t="str"/>
      <x:c r="G27" s="219" t="str">
        <x:v>iterations/I06_harness_handoff/CANDIDATE_MANIFEST.json
iterations/I20_controlled_handoff/NATIVE_BINDING.json
current/SOURCE_EFFECTIVITY.json
analyses/mated_i18/RESULTS.json</x:v>
      </x:c>
    </x:row>
    <x:row r="28" ht="49" customHeight="1">
      <x:c r="A28" s="180" t="str">
        <x:v>LIB-04</x:v>
      </x:c>
      <x:c r="B28" s="180" t="str">
        <x:v>CLOSED</x:v>
      </x:c>
      <x:c r="C28" s="180" t="str">
        <x:v>COMPLETED CURRENT SOURCE VERIFICATION</x:v>
      </x:c>
      <x:c r="D28" s="180" t="str">
        <x:v>CLOSED BY ORIGINAL SCOPE</x:v>
      </x:c>
      <x:c r="E28" s="180" t="str">
        <x:v>Independent expanded-netlist review checks 141 two-terminal components. No collapsed passive and no schematic-to-PCB pad-net mismatch remains.</x:v>
      </x:c>
      <x:c r="F28" s="180" t="str">
        <x:v>Original documentary, design-inspection or execution scope satisfied. Related supplier and physical criteria retain their own dispositions.</x:v>
      </x:c>
      <x:c r="G28" s="180" t="str">
        <x:v>analyses/manufacturing_i20/RESULTS.json
iterations/I20_controlled_handoff/NATIVE_BINDING.json
current/SOURCE_EFFECTIVITY.json</x:v>
      </x:c>
    </x:row>
    <x:row r="29" ht="140" customHeight="1">
      <x:c r="A29" s="219" t="str">
        <x:v>LIB-05</x:v>
      </x:c>
      <x:c r="B29" s="219" t="str">
        <x:v>CLOSED</x:v>
      </x:c>
      <x:c r="C29" s="219" t="str">
        <x:v>CURRENT EVIDENCE REVIEWED</x:v>
      </x:c>
      <x:c r="D29" s="219" t="str">
        <x:v>CLOSED BY ORIGINAL SCOPE</x:v>
      </x:c>
      <x:c r="E2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 s="219" t="str"/>
      <x:c r="G29" s="219"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row>
    <x:row r="30" ht="49" customHeight="1">
      <x:c r="A30" s="180" t="str">
        <x:v>LIB-06</x:v>
      </x:c>
      <x:c r="B30" s="180" t="str">
        <x:v>CLOSED</x:v>
      </x:c>
      <x:c r="C30" s="180" t="str">
        <x:v>COMPLETED CURRENT SOURCE VERIFICATION</x:v>
      </x:c>
      <x:c r="D30" s="180" t="str">
        <x:v>CLOSED BY ORIGINAL SCOPE</x:v>
      </x:c>
      <x:c r="E30" s="180" t="str">
        <x:v>Expanded schematic has 195 components and 133 nets. Every PCB pad agrees with the schematic netlist, and intended filled-copper connectivity has no disconnected pad net.</x:v>
      </x:c>
      <x:c r="F30" s="180" t="str">
        <x:v>Original documentary, design-inspection or execution scope satisfied. Related supplier and physical criteria retain their own dispositions.</x:v>
      </x:c>
      <x:c r="G30" s="180" t="str">
        <x:v>analyses/manufacturing_i20/RESULTS.json
iterations/I20_controlled_handoff/NATIVE_BINDING.json
current/SOURCE_EFFECTIVITY.json</x:v>
      </x:c>
    </x:row>
    <x:row r="31" ht="88" customHeight="1">
      <x:c r="A31" s="219" t="str">
        <x:v>LIB-07</x:v>
      </x:c>
      <x:c r="B31" s="219" t="str">
        <x:v>CLOSED</x:v>
      </x:c>
      <x:c r="C31" s="219" t="str">
        <x:v>CURRENT EVIDENCE REVIEWED</x:v>
      </x:c>
      <x:c r="D31" s="219" t="str">
        <x:v>CLOSED BY ORIGINAL SCOPE</x:v>
      </x:c>
      <x:c r="E3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1" s="219" t="str"/>
      <x:c r="G31" s="219" t="str">
        <x:v>lanes/firmware_oil/RECOVERED_RELEASE_CHECKS.json
lanes/firmware_oil/RECOVERED_FIRMWARE_TEST_RESULTS.json
lanes/firmware_oil/FINAL_I04_OIL_FIRMWARE_EFFECTIVITY.json
iterations/I20_controlled_handoff/NATIVE_BINDING.json
current/SOURCE_EFFECTIVITY.json
analyses/mated_i18/RESULTS.json</x:v>
      </x:c>
    </x:row>
    <x:row r="32" ht="140" customHeight="1">
      <x:c r="A32" s="180" t="str">
        <x:v>LIB-08</x:v>
      </x:c>
      <x:c r="B32" s="180" t="str">
        <x:v>OPEN</x:v>
      </x:c>
      <x:c r="C32" s="180" t="str">
        <x:v>CURRENT EVIDENCE REVIEWED</x:v>
      </x:c>
      <x:c r="D32" s="180" t="str">
        <x:v>OPEN ORIGINAL ACCEPTANCE</x:v>
      </x:c>
      <x:c r="E32" s="180" t="str">
        <x:v>Pad and shield connectivity, native mask/clearance and source parity pass. Full package thermal closure is still unresolved.</x:v>
      </x:c>
      <x:c r="F32" s="180" t="str">
        <x:v>Finish exact manufacturer exposed-pad/package thermal and solder-mask applicability review.</x:v>
      </x:c>
      <x:c r="G32" s="180"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row>
    <x:row r="33" ht="140" customHeight="1">
      <x:c r="A33" s="219" t="str">
        <x:v>LIB-09</x:v>
      </x:c>
      <x:c r="B33" s="219" t="str">
        <x:v>CLOSED</x:v>
      </x:c>
      <x:c r="C33" s="219" t="str">
        <x:v>CURRENT EVIDENCE REVIEWED</x:v>
      </x:c>
      <x:c r="D33" s="219" t="str">
        <x:v>CLOSED BY ORIGINAL SCOPE</x:v>
      </x:c>
      <x:c r="E3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3" s="219" t="str"/>
      <x:c r="G33" s="219"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iterations/I20_controlled_handoff/NATIVE_BINDING.json
current/SOURCE_EFFECTIVITY.json
analyses/mated_i18/RESULTS.json</x:v>
      </x:c>
    </x:row>
    <x:row r="34" ht="140" customHeight="1">
      <x:c r="A34" s="180" t="str">
        <x:v>LIB-10</x:v>
      </x:c>
      <x:c r="B34" s="180" t="str">
        <x:v>CLOSED</x:v>
      </x:c>
      <x:c r="C34" s="180" t="str">
        <x:v>CURRENT EVIDENCE REVIEWED</x:v>
      </x:c>
      <x:c r="D34" s="180" t="str">
        <x:v>CLOSED BY ORIGINAL SCOPE</x:v>
      </x:c>
      <x:c r="E3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34" s="180" t="str"/>
      <x:c r="G34"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current/SOURCE_EFFECTIVITY.json
analyses/mated_i18/RESULTS.json</x:v>
      </x:c>
    </x:row>
    <x:row r="35" ht="88" customHeight="1">
      <x:c r="A35" s="219" t="str">
        <x:v>WCA-01</x:v>
      </x:c>
      <x:c r="B35" s="219" t="str">
        <x:v>OPEN</x:v>
      </x:c>
      <x:c r="C35" s="219" t="str">
        <x:v>COMPLETED CONDITIONAL MODEL</x:v>
      </x:c>
      <x:c r="D35" s="219" t="str">
        <x:v>CURRENT SOURCE OR MODEL WITH REMAINING CONDITIONS</x:v>
      </x:c>
      <x:c r="E35" s="219"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5" s="219" t="str">
        <x:v>unknown die pulse and external source bounds remain explicit conditions.</x:v>
      </x:c>
      <x:c r="G35" s="219" t="str">
        <x:v>lanes/power/FINAL_I04_POWER_EFFECTIVITY.json
lanes/power/COUPLED_STARTUP_ENVELOPE.json
lanes/power_limits/POWER_LIMITS_SUMMARY.json
analyses/power_i19/SUMMARY.json
analyses/power_i19/EXTREMA_CONFIRMATION.json
analyses/thermal_i18/face_15.0/RESULTS.json</x:v>
      </x:c>
    </x:row>
    <x:row r="36" ht="88" customHeight="1">
      <x:c r="A36" s="180" t="str">
        <x:v>WCA-02</x:v>
      </x:c>
      <x:c r="B36" s="180" t="str">
        <x:v>OPEN</x:v>
      </x:c>
      <x:c r="C36" s="180" t="str">
        <x:v>COMPLETED CONDITIONAL MODEL</x:v>
      </x:c>
      <x:c r="D36" s="180" t="str">
        <x:v>CURRENT SOURCE OR MODEL WITH REMAINING CONDITIONS</x:v>
      </x:c>
      <x:c r="E36"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6" s="180" t="str">
        <x:v>allocated fault severity and supplier transient limits are not universal proof.</x:v>
      </x:c>
      <x:c r="G36" s="180" t="str">
        <x:v>lanes/power/FINAL_I04_POWER_EFFECTIVITY.json
lanes/power/COUPLED_STARTUP_ENVELOPE.json
lanes/power_limits/POWER_LIMITS_SUMMARY.json
analyses/power_i19/SUMMARY.json
analyses/power_i19/EXTREMA_CONFIRMATION.json
analyses/thermal_i18/face_15.0/RESULTS.json</x:v>
      </x:c>
    </x:row>
    <x:row r="37" ht="88" customHeight="1">
      <x:c r="A37" s="219" t="str">
        <x:v>WCA-03</x:v>
      </x:c>
      <x:c r="B37" s="219" t="str">
        <x:v>OPEN</x:v>
      </x:c>
      <x:c r="C37" s="219" t="str">
        <x:v>COMPLETED CONDITIONAL MODEL</x:v>
      </x:c>
      <x:c r="D37" s="219" t="str">
        <x:v>CURRENT SOURCE OR MODEL WITH REMAINING CONDITIONS</x:v>
      </x:c>
      <x:c r="E37" s="219"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7" s="219" t="str">
        <x:v>simultaneous bias/age/temperature bounds use explicit allocations where no supplier guarantee is available.</x:v>
      </x:c>
      <x:c r="G37" s="219" t="str">
        <x:v>lanes/power/FINAL_I04_POWER_EFFECTIVITY.json
lanes/power/COUPLED_STARTUP_ENVELOPE.json
lanes/power_limits/POWER_LIMITS_SUMMARY.json
analyses/power_i19/SUMMARY.json
analyses/power_i19/EXTREMA_CONFIRMATION.json
analyses/thermal_i18/face_15.0/RESULTS.json</x:v>
      </x:c>
    </x:row>
    <x:row r="38" ht="88" customHeight="1">
      <x:c r="A38" s="180" t="str">
        <x:v>WCA-04</x:v>
      </x:c>
      <x:c r="B38" s="180" t="str">
        <x:v>OPEN</x:v>
      </x:c>
      <x:c r="C38" s="180" t="str">
        <x:v>COMPLETED CONDITIONAL MODEL</x:v>
      </x:c>
      <x:c r="D38" s="180" t="str">
        <x:v>CURRENT SOURCE OR MODEL WITH REMAINING CONDITIONS</x:v>
      </x:c>
      <x:c r="E38"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8" s="180" t="str">
        <x:v>hot L(I), core-loss and current-limit response bounds remain stated applicability conditions.</x:v>
      </x:c>
      <x:c r="G38" s="180" t="str">
        <x:v>lanes/power/FINAL_I04_POWER_EFFECTIVITY.json
lanes/power/COUPLED_STARTUP_ENVELOPE.json
lanes/power_limits/POWER_LIMITS_SUMMARY.json
analyses/power_i19/SUMMARY.json
analyses/power_i19/EXTREMA_CONFIRMATION.json
analyses/thermal_i18/face_15.0/RESULTS.json</x:v>
      </x:c>
    </x:row>
    <x:row r="39" ht="88" customHeight="1">
      <x:c r="A39" s="219" t="str">
        <x:v>WCA-05</x:v>
      </x:c>
      <x:c r="B39" s="219" t="str">
        <x:v>OPEN</x:v>
      </x:c>
      <x:c r="C39" s="219" t="str">
        <x:v>COMPLETED CONDITIONAL MODEL</x:v>
      </x:c>
      <x:c r="D39" s="219" t="str">
        <x:v>CURRENT SOURCE OR MODEL WITH REMAINING CONDITIONS</x:v>
      </x:c>
      <x:c r="E39" s="219"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39" s="219" t="str">
        <x:v>missing guaranteed extreme device behavior remains an applicability condition.</x:v>
      </x:c>
      <x:c r="G39" s="219" t="str">
        <x:v>lanes/firmware_oil/RECOVERED_FIRMWARE_TEST_RESULTS.json
lanes/firmware_oil/RECOVERY_CALIBRATION_GAIN_REDLINE.json
interfaces/OIL_HARNESS_ERROR_SWEEP.json
analyses/power_i19/SUMMARY.json
analyses/power_i19/EXTREMA_CONFIRMATION.json
analyses/thermal_i18/face_15.0/RESULTS.json</x:v>
      </x:c>
    </x:row>
    <x:row r="40" ht="88" customHeight="1">
      <x:c r="A40" s="180" t="str">
        <x:v>WCA-06</x:v>
      </x:c>
      <x:c r="B40" s="180" t="str">
        <x:v>OPEN</x:v>
      </x:c>
      <x:c r="C40" s="180" t="str">
        <x:v>COMPLETED CONDITIONAL MODEL</x:v>
      </x:c>
      <x:c r="D40" s="180" t="str">
        <x:v>CURRENT SOURCE OR MODEL WITH REMAINING CONDITIONS</x:v>
      </x:c>
      <x:c r="E40"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40" s="180" t="str">
        <x:v>undocumented powered-off silicon behavior remains conditional.</x:v>
      </x:c>
      <x:c r="G40" s="180" t="str">
        <x:v>lanes/firmware_oil/RECOVERED_FIRMWARE_TEST_RESULTS.json
lanes/firmware_oil/RECOVERY_CALIBRATION_GAIN_REDLINE.json
interfaces/OIL_HARNESS_ERROR_SWEEP.json
analyses/power_i19/SUMMARY.json
analyses/power_i19/EXTREMA_CONFIRMATION.json
analyses/thermal_i18/face_15.0/RESULTS.json</x:v>
      </x:c>
    </x:row>
    <x:row r="41" ht="88" customHeight="1">
      <x:c r="A41" s="219" t="str">
        <x:v>WCA-07</x:v>
      </x:c>
      <x:c r="B41" s="219" t="str">
        <x:v>OPEN</x:v>
      </x:c>
      <x:c r="C41" s="219" t="str">
        <x:v>COMPLETED CONDITIONAL MODEL</x:v>
      </x:c>
      <x:c r="D41" s="219" t="str">
        <x:v>CURRENT SOURCE OR MODEL WITH REMAINING CONDITIONS</x:v>
      </x:c>
      <x:c r="E41" s="219"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41" s="219" t="str">
        <x:v>a guaranteed worst-case optical minimum and dashboard visibility are not established.</x:v>
      </x:c>
      <x:c r="G41" s="219" t="str">
        <x:v>analyses/power_i19/SUMMARY.json
analyses/power_i19/EXTREMA_CONFIRMATION.json
analyses/thermal_i18/face_15.0/RESULTS.json</x:v>
      </x:c>
    </x:row>
    <x:row r="42" ht="101" customHeight="1">
      <x:c r="A42" s="180" t="str">
        <x:v>WCA-08</x:v>
      </x:c>
      <x:c r="B42" s="180" t="str">
        <x:v>CLOSED</x:v>
      </x:c>
      <x:c r="C42" s="180" t="str">
        <x:v>CURRENT EVIDENCE REVIEWED</x:v>
      </x:c>
      <x:c r="D42" s="180" t="str">
        <x:v>CLOSED BY ORIGINAL SCOPE</x:v>
      </x:c>
      <x:c r="E42" s="180"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x:v>
      </x:c>
      <x:c r="F42" s="180" t="str"/>
      <x:c r="G42" s="180"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row>
    <x:row r="43" ht="114" customHeight="1">
      <x:c r="A43" s="219" t="str">
        <x:v>WCA-09</x:v>
      </x:c>
      <x:c r="B43" s="219" t="str">
        <x:v>CLOSED</x:v>
      </x:c>
      <x:c r="C43" s="219" t="str">
        <x:v>CURRENT EVIDENCE REVIEWED</x:v>
      </x:c>
      <x:c r="D43" s="219" t="str">
        <x:v>CLOSED BY ORIGINAL SCOPE</x:v>
      </x:c>
      <x:c r="E43" s="219" t="str">
        <x:v>Current electrical finite bounds and independent numerical extrema are available. Native geometry is I20. The 0.125 mm thermal result remains mesh-sensitive and does not prove package temperatures.
Original criterion disposition remains closed. The prior detailed assessment is retained in previous_I06_disposition and the historical register; current evidence and remaining conditions govern this row.</x:v>
      </x:c>
      <x:c r="F43" s="219" t="str"/>
      <x:c r="G43" s="219" t="str">
        <x:v>control/EXECUTION_PLAN_CURRENT.md
control/RECOVERY_LEDGER.md
control/DESKTOP_ACTION_DISPOSITIONS_CURRENT.json
iterations/I06_harness_handoff/CANDIDATE_MANIFEST.json
control/FINAL_GATES.json
analyses/power_i19/SUMMARY.json
analyses/power_i19/EXTREMA_CONFIRMATION.json
analyses/thermal_i18/face_15.0/RESULTS.json</x:v>
      </x:c>
    </x:row>
    <x:row r="44" ht="88" customHeight="1">
      <x:c r="A44" s="180" t="str">
        <x:v>WCA-10</x:v>
      </x:c>
      <x:c r="B44" s="180" t="str">
        <x:v>OPEN</x:v>
      </x:c>
      <x:c r="C44" s="180" t="str">
        <x:v>SUPPLIER OR RESPONSIBLE ACCEPTANCE</x:v>
      </x:c>
      <x:c r="D44" s="180" t="str">
        <x:v>CURRENT SOURCE OR MODEL WITH REMAINING CONDITIONS</x:v>
      </x:c>
      <x:c r="E44" s="180" t="str">
        <x:v>Current electrical finite bounds and independent numerical extrema are available. Native geometry is I20. The 0.125 mm thermal result remains mesh-sensitive and does not prove package temperatures.
Original criterion disposition remains open. The prior detailed assessment is retained in previous_I06_disposition and the historical register; current evidence and remaining conditions govern this row.</x:v>
      </x:c>
      <x:c r="F44" s="180" t="str">
        <x:v>actual authorized supply allocation and unresolved declarations remain supplier acceptance.</x:v>
      </x:c>
      <x:c r="G44" s="180" t="str">
        <x:v>analyses/assembly_handling/EXACT_MPN_HANDLING_REGISTER.json
analyses/assembly_handling/PROCESS_RECONCILIATION.md
lanes/mechanics/ASSEMBLY_PROCESS_RVB22.md
analyses/power_i19/SUMMARY.json
analyses/power_i19/EXTREMA_CONFIRMATION.json
analyses/thermal_i18/face_15.0/RESULTS.json</x:v>
      </x:c>
    </x:row>
    <x:row r="45" ht="75" customHeight="1">
      <x:c r="A45" s="219" t="str">
        <x:v>PWR-01</x:v>
      </x:c>
      <x:c r="B45" s="219" t="str">
        <x:v>OPEN</x:v>
      </x:c>
      <x:c r="C45" s="219" t="str">
        <x:v>COMPLETED CONDITIONAL MODEL</x:v>
      </x:c>
      <x:c r="D45" s="219" t="str">
        <x:v>CURRENT SOURCE OR MODEL WITH REMAINING CONDITIONS</x:v>
      </x:c>
      <x:c r="E4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5" s="219" t="str">
        <x:v>actual vehicle envelope applicability and qualified acceptance remain.</x:v>
      </x:c>
      <x:c r="G45" s="219" t="str">
        <x:v>lanes/power/FINAL_I04_POWER_EFFECTIVITY.json
lanes/power/COUPLED_STARTUP_ENVELOPE.json
lanes/power_limits/POWER_LIMITS_SUMMARY.json
analyses/power_i19/SUMMARY.json
analyses/power_i19/EXTREMA_CONFIRMATION.json</x:v>
      </x:c>
    </x:row>
    <x:row r="46" ht="75" customHeight="1">
      <x:c r="A46" s="180" t="str">
        <x:v>PWR-02</x:v>
      </x:c>
      <x:c r="B46" s="180" t="str">
        <x:v>OPEN</x:v>
      </x:c>
      <x:c r="C46" s="180" t="str">
        <x:v>COMPLETED CONDITIONAL MODEL</x:v>
      </x:c>
      <x:c r="D46" s="180" t="str">
        <x:v>CURRENT SOURCE OR MODEL WITH REMAINING CONDITIONS</x:v>
      </x:c>
      <x:c r="E4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6" s="180" t="str">
        <x:v>actual source impedance and fault clearing applicability remain conditions.</x:v>
      </x:c>
      <x:c r="G46" s="180" t="str">
        <x:v>lanes/power/FINAL_I04_POWER_EFFECTIVITY.json
lanes/power/COUPLED_STARTUP_ENVELOPE.json
lanes/power_limits/POWER_LIMITS_SUMMARY.json
analyses/power_i19/SUMMARY.json
analyses/power_i19/EXTREMA_CONFIRMATION.json</x:v>
      </x:c>
    </x:row>
    <x:row r="47" ht="75" customHeight="1">
      <x:c r="A47" s="219" t="str">
        <x:v>PWR-03</x:v>
      </x:c>
      <x:c r="B47" s="219" t="str">
        <x:v>OPEN</x:v>
      </x:c>
      <x:c r="C47" s="219" t="str">
        <x:v>COMPLETED CONDITIONAL MODEL</x:v>
      </x:c>
      <x:c r="D47" s="219" t="str">
        <x:v>CURRENT SOURCE OR MODEL WITH REMAINING CONDITIONS</x:v>
      </x:c>
      <x:c r="E4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7" s="219" t="str">
        <x:v>device pulse guarantees do not follow from a static absmax comparison.</x:v>
      </x:c>
      <x:c r="G47" s="219" t="str">
        <x:v>lanes/power/FINAL_I04_POWER_EFFECTIVITY.json
lanes/power/COUPLED_STARTUP_ENVELOPE.json
lanes/power_limits/POWER_LIMITS_SUMMARY.json
analyses/power_i19/SUMMARY.json
analyses/power_i19/EXTREMA_CONFIRMATION.json</x:v>
      </x:c>
    </x:row>
    <x:row r="48" ht="75" customHeight="1">
      <x:c r="A48" s="180" t="str">
        <x:v>PWR-04</x:v>
      </x:c>
      <x:c r="B48" s="180" t="str">
        <x:v>OPEN</x:v>
      </x:c>
      <x:c r="C48" s="180" t="str">
        <x:v>COMPLETED CONDITIONAL MODEL</x:v>
      </x:c>
      <x:c r="D48" s="180" t="str">
        <x:v>CURRENT SOURCE OR MODEL WITH REMAINING CONDITIONS</x:v>
      </x:c>
      <x:c r="E4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8" s="180" t="str">
        <x:v>actual transient silicon and repeated-pulse thermal applicability remain conditional.</x:v>
      </x:c>
      <x:c r="G48" s="180" t="str">
        <x:v>lanes/power/FINAL_I04_POWER_EFFECTIVITY.json
lanes/power/COUPLED_STARTUP_ENVELOPE.json
lanes/power_limits/POWER_LIMITS_SUMMARY.json
analyses/power_i19/SUMMARY.json
analyses/power_i19/EXTREMA_CONFIRMATION.json</x:v>
      </x:c>
    </x:row>
    <x:row r="49" ht="88" customHeight="1">
      <x:c r="A49" s="219" t="str">
        <x:v>PWR-05</x:v>
      </x:c>
      <x:c r="B49" s="219" t="str">
        <x:v>OPEN</x:v>
      </x:c>
      <x:c r="C49" s="219" t="str">
        <x:v>COMPLETED CONDITIONAL MODEL</x:v>
      </x:c>
      <x:c r="D49" s="219" t="str">
        <x:v>CURRENT SOURCE OR MODEL WITH REMAINING CONDITIONS</x:v>
      </x:c>
      <x:c r="E4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49" s="219" t="str">
        <x:v>arbitrary unknown die bonds are not silently collapsed.</x:v>
      </x:c>
      <x:c r="G49" s="219" t="str">
        <x:v>analyses/lost_ground/LOST_GROUND_RESULTS_RECONSTRUCTED.json
interfaces/LOST_GROUND_FINITE_DC_SCREEN.json
interfaces/HARNESS_INTERFACE_CONTRACT.json
interfaces/SINGLE_RETURN_EFFECTIVITY.json
analyses/power_i19/SUMMARY.json
analyses/power_i19/EXTREMA_CONFIRMATION.json</x:v>
      </x:c>
    </x:row>
    <x:row r="50" ht="75" customHeight="1">
      <x:c r="A50" s="180" t="str">
        <x:v>PWR-06</x:v>
      </x:c>
      <x:c r="B50" s="180" t="str">
        <x:v>OPEN</x:v>
      </x:c>
      <x:c r="C50" s="180" t="str">
        <x:v>HARDWARE OR INSTALLATION ACCEPTANCE</x:v>
      </x:c>
      <x:c r="D50" s="180" t="str">
        <x:v>CURRENT SOURCE OR MODEL WITH REMAINING CONDITIONS</x:v>
      </x:c>
      <x:c r="E5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0" s="180" t="str">
        <x:v>actual takeoff fuse and harness clearing/ampacity evidence remain.</x:v>
      </x:c>
      <x:c r="G50" s="180" t="str">
        <x:v>interfaces/HARNESS_INTERFACE_CONTRACT.json
interfaces/HARNESS_CHECKS.json
analyses/harness_wire/HARNESS_WIRE_DELTA.json
analyses/power_i19/SUMMARY.json
analyses/power_i19/EXTREMA_CONFIRMATION.json</x:v>
      </x:c>
    </x:row>
    <x:row r="51" ht="75" customHeight="1">
      <x:c r="A51" s="219" t="str">
        <x:v>PWR-07</x:v>
      </x:c>
      <x:c r="B51" s="219" t="str">
        <x:v>OPEN</x:v>
      </x:c>
      <x:c r="C51" s="219" t="str">
        <x:v>CURRENT NATIVE COMPLETE OTHER EVIDENCE REQUIRED</x:v>
      </x:c>
      <x:c r="D51" s="219" t="str">
        <x:v>CURRENT SOURCE OR MODEL WITH REMAINING CONDITIONS</x:v>
      </x:c>
      <x:c r="E5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1" s="219" t="str">
        <x:v>Native source/build gate is now complete. Remaining original evidence: Independent schematic/netlist inspection and assembled continuity check.</x:v>
      </x:c>
      <x:c r="G51" s="219" t="str">
        <x:v>runtime/final_I06_actual_preflight/RESULT.json
runtime/run_native_candidate.py
analyses/power_i19/SUMMARY.json
analyses/power_i19/EXTREMA_CONFIRMATION.json</x:v>
      </x:c>
    </x:row>
    <x:row r="52" ht="88" customHeight="1">
      <x:c r="A52" s="180" t="str">
        <x:v>PWR-08</x:v>
      </x:c>
      <x:c r="B52" s="180" t="str">
        <x:v>OPEN</x:v>
      </x:c>
      <x:c r="C52" s="180" t="str">
        <x:v>COMPLETED CONDITIONAL MODEL</x:v>
      </x:c>
      <x:c r="D52" s="180" t="str">
        <x:v>CURRENT SOURCE OR MODEL WITH REMAINING CONDITIONS</x:v>
      </x:c>
      <x:c r="E5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2" s="180" t="str">
        <x:v>residual upstream-rail damage exposure and its responsible acceptance remain explicit.</x:v>
      </x:c>
      <x:c r="G52" s="180" t="str">
        <x:v>analyses/lost_ground/LOST_GROUND_RESULTS_RECONSTRUCTED.json
interfaces/LOST_GROUND_FINITE_DC_SCREEN.json
interfaces/HARNESS_INTERFACE_CONTRACT.json
interfaces/SINGLE_RETURN_EFFECTIVITY.json
analyses/power_i19/SUMMARY.json
analyses/power_i19/EXTREMA_CONFIRMATION.json</x:v>
      </x:c>
    </x:row>
    <x:row r="53" ht="75" customHeight="1">
      <x:c r="A53" s="219" t="str">
        <x:v>PWR-09</x:v>
      </x:c>
      <x:c r="B53" s="219" t="str">
        <x:v>OPEN</x:v>
      </x:c>
      <x:c r="C53" s="219" t="str">
        <x:v>HARDWARE OR INSTALLATION ACCEPTANCE</x:v>
      </x:c>
      <x:c r="D53" s="219" t="str">
        <x:v>CURRENT SOURCE OR MODEL WITH REMAINING CONDITIONS</x:v>
      </x:c>
      <x:c r="E5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3" s="219" t="str">
        <x:v>original F additionally requests startup/load bench results.</x:v>
      </x:c>
      <x:c r="G53" s="219" t="str">
        <x:v>lanes/power/FINAL_I04_POWER_EFFECTIVITY.json
lanes/power/COUPLED_STARTUP_ENVELOPE.json
lanes/power_limits/POWER_LIMITS_SUMMARY.json
analyses/power_i19/SUMMARY.json
analyses/power_i19/EXTREMA_CONFIRMATION.json</x:v>
      </x:c>
    </x:row>
    <x:row r="54" ht="36" customHeight="1">
      <x:c r="A54" s="180" t="str">
        <x:v>PWR-10</x:v>
      </x:c>
      <x:c r="B54" s="180" t="str">
        <x:v>N/A</x:v>
      </x:c>
      <x:c r="C54" s="180" t="str">
        <x:v>NOT APPLICABLE</x:v>
      </x:c>
      <x:c r="D54" s="180" t="str">
        <x:v>NOT APPLICABLE</x:v>
      </x:c>
      <x:c r="E54" s="180" t="str">
        <x:v>No separate IGN circuit exists; cavity4NC and fused switchedF1.3 are the deliberate architecture. Do not infer an unimplemented IGN threshold stage.</x:v>
      </x:c>
      <x:c r="F54" s="180" t="str">
        <x:v>Not applicable under preserved original review scope.</x:v>
      </x:c>
      <x:c r="G54" s="180" t="str">
        <x:v>analyses/power_i19/SUMMARY.json
analyses/power_i19/EXTREMA_CONFIRMATION.json</x:v>
      </x:c>
    </x:row>
    <x:row r="55" ht="75" customHeight="1">
      <x:c r="A55" s="219" t="str">
        <x:v>PWR-11</x:v>
      </x:c>
      <x:c r="B55" s="219" t="str">
        <x:v>OPEN</x:v>
      </x:c>
      <x:c r="C55" s="219" t="str">
        <x:v>COMPLETED CONDITIONAL MODEL</x:v>
      </x:c>
      <x:c r="D55" s="219" t="str">
        <x:v>CURRENT SOURCE OR MODEL WITH REMAINING CONDITIONS</x:v>
      </x:c>
      <x:c r="E5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5" s="219" t="str">
        <x:v>they are equivalent controller hypotheses, not measured inrush.</x:v>
      </x:c>
      <x:c r="G55" s="219" t="str">
        <x:v>lanes/power/FINAL_I04_POWER_EFFECTIVITY.json
lanes/power/COUPLED_STARTUP_ENVELOPE.json
lanes/power_limits/POWER_LIMITS_SUMMARY.json
analyses/power_i19/SUMMARY.json
analyses/power_i19/EXTREMA_CONFIRMATION.json</x:v>
      </x:c>
    </x:row>
    <x:row r="56" ht="75" customHeight="1">
      <x:c r="A56" s="180" t="str">
        <x:v>PWR-12</x:v>
      </x:c>
      <x:c r="B56" s="180" t="str">
        <x:v>OPEN</x:v>
      </x:c>
      <x:c r="C56" s="180" t="str">
        <x:v>HARDWARE OR INSTALLATION ACCEPTANCE</x:v>
      </x:c>
      <x:c r="D56" s="180" t="str">
        <x:v>CURRENT SOURCE OR MODEL WITH REMAINING CONDITIONS</x:v>
      </x:c>
      <x:c r="E5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56" s="180" t="str">
        <x:v>original input sweep testing and actual recovery remain hardware evidence.</x:v>
      </x:c>
      <x:c r="G56" s="180" t="str">
        <x:v>lanes/power/FINAL_I04_POWER_EFFECTIVITY.json
lanes/power/COUPLED_STARTUP_ENVELOPE.json
lanes/power_limits/POWER_LIMITS_SUMMARY.json
analyses/power_i19/SUMMARY.json
analyses/power_i19/EXTREMA_CONFIRMATION.json</x:v>
      </x:c>
    </x:row>
    <x:row r="57" ht="101" customHeight="1">
      <x:c r="A57" s="219" t="str">
        <x:v>REG-01</x:v>
      </x:c>
      <x:c r="B57" s="219" t="str">
        <x:v>CLOSED</x:v>
      </x:c>
      <x:c r="C57" s="219" t="str">
        <x:v>CURRENT EVIDENCE REVIEWED</x:v>
      </x:c>
      <x:c r="D57" s="219" t="str">
        <x:v>CLOSED BY ORIGINAL SCOPE</x:v>
      </x:c>
      <x:c r="E57" s="219"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57" s="219" t="str"/>
      <x:c r="G57" s="219"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row>
    <x:row r="58" ht="88" customHeight="1">
      <x:c r="A58" s="180" t="str">
        <x:v>REG-02</x:v>
      </x:c>
      <x:c r="B58" s="180" t="str">
        <x:v>OPEN</x:v>
      </x:c>
      <x:c r="C58" s="180" t="str">
        <x:v>DESKTOP WORK REMAINING</x:v>
      </x:c>
      <x:c r="D58" s="180" t="str">
        <x:v>OPEN THERMAL ENGINEERING</x:v>
      </x:c>
      <x:c r="E58" s="180" t="str">
        <x:v>I19 finite rail model passes 3,456 circuit cases. Minimum local rail is 3.121029 V and the conservative zero-DC-credit release envelope is 3.594820 V. These are bounded simulations. Full-load thermal closure remains open. Converter current/electrical screens do not establish the thermal part of this criterion.</x:v>
      </x:c>
      <x:c r="F58" s="180" t="str">
        <x:v>Establish converged package-temperature margins at the stated full-load/air/landing bounds, or implement and verify a coordinated cooling or enforceable power correction.</x:v>
      </x:c>
      <x:c r="G58" s="180" t="str">
        <x:v>control/FINAL_I04_BRINGUP_BINDING.json
control/RVB22_BRING_UP_AND_MEASUREMENT_CONTRACT.md
control/BRINGUP_ACTUAL_NODE_INDEX.json
analyses/power_i19/SUMMARY.json
analyses/power_i19/EXTREMA_CONFIRMATION.json
analyses/thermal_i18/face_15.0/RESULTS.json</x:v>
      </x:c>
    </x:row>
    <x:row r="59" ht="101" customHeight="1">
      <x:c r="A59" s="219" t="str">
        <x:v>REG-03</x:v>
      </x:c>
      <x:c r="B59" s="219" t="str">
        <x:v>CLOSED</x:v>
      </x:c>
      <x:c r="C59" s="219" t="str">
        <x:v>CURRENT EVIDENCE REVIEWED</x:v>
      </x:c>
      <x:c r="D59" s="219" t="str">
        <x:v>CLOSED BY ORIGINAL SCOPE</x:v>
      </x:c>
      <x:c r="E59" s="219"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59" s="219" t="str"/>
      <x:c r="G59" s="219" t="str">
        <x:v>lanes/power/POWER_GEOMETRY_REPORT.json
lanes/power/COUPLED_STARTUP_ENVELOPE.json
lanes/power_limits/POWER_LIMITS_SUMMARY.json
lanes/power/FINAL_I04_POWER_EFFECTIVITY.json
analyses/power_i19/SUMMARY.json
analyses/power_i19/EXTREMA_CONFIRMATION.json
analyses/thermal_i18/face_15.0/RESULTS.json</x:v>
      </x:c>
    </x:row>
    <x:row r="60" ht="88" customHeight="1">
      <x:c r="A60" s="180" t="str">
        <x:v>REG-04</x:v>
      </x:c>
      <x:c r="B60" s="180" t="str">
        <x:v>CLOSED</x:v>
      </x:c>
      <x:c r="C60" s="180" t="str">
        <x:v>COMPLETED SOURCE DOCUMENTARY SCOPE</x:v>
      </x:c>
      <x:c r="D60" s="180" t="str">
        <x:v>CLOSED BY ORIGINAL SCOPE</x:v>
      </x:c>
      <x:c r="E60" s="180"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0" s="180" t="str">
        <x:v>Current source/evidence binding completed. The original documentary or calculation scope is satisfied; applicability and external acceptance conditions remain in the linked evidence and related open criteria.</x:v>
      </x:c>
      <x:c r="G60" s="180" t="str">
        <x:v>lanes/power/FINAL_I04_POWER_EFFECTIVITY.json
lanes/power/COUPLED_STARTUP_ENVELOPE.json
lanes/power_limits/POWER_LIMITS_SUMMARY.json
analyses/power_i19/SUMMARY.json
analyses/power_i19/EXTREMA_CONFIRMATION.json
analyses/thermal_i18/face_15.0/RESULTS.json</x:v>
      </x:c>
    </x:row>
    <x:row r="61" ht="88" customHeight="1">
      <x:c r="A61" s="219" t="str">
        <x:v>REG-05</x:v>
      </x:c>
      <x:c r="B61" s="219" t="str">
        <x:v>CLOSED</x:v>
      </x:c>
      <x:c r="C61" s="219" t="str">
        <x:v>COMPLETED SOURCE DOCUMENTARY SCOPE</x:v>
      </x:c>
      <x:c r="D61" s="219" t="str">
        <x:v>CLOSED BY ORIGINAL SCOPE</x:v>
      </x:c>
      <x:c r="E61" s="219"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1" s="219" t="str">
        <x:v>Current source/evidence binding completed. The original documentary or calculation scope is satisfied; applicability and external acceptance conditions remain in the linked evidence and related open criteria.</x:v>
      </x:c>
      <x:c r="G61" s="219" t="str">
        <x:v>lanes/power/FINAL_I04_POWER_EFFECTIVITY.json
lanes/power/COUPLED_STARTUP_ENVELOPE.json
lanes/power_limits/POWER_LIMITS_SUMMARY.json
analyses/power_i19/SUMMARY.json
analyses/power_i19/EXTREMA_CONFIRMATION.json
analyses/thermal_i18/face_15.0/RESULTS.json</x:v>
      </x:c>
    </x:row>
    <x:row r="62" ht="88" customHeight="1">
      <x:c r="A62" s="180" t="str">
        <x:v>REG-06</x:v>
      </x:c>
      <x:c r="B62" s="180" t="str">
        <x:v>OPEN</x:v>
      </x:c>
      <x:c r="C62" s="180" t="str">
        <x:v>COMPLETED CONDITIONAL MODEL</x:v>
      </x:c>
      <x:c r="D62" s="180" t="str">
        <x:v>CURRENT SOURCE OR MODEL WITH REMAINING CONDITIONS</x:v>
      </x:c>
      <x:c r="E62" s="180"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2" s="180" t="str">
        <x:v>actual silicon response across all modes remains conditional.</x:v>
      </x:c>
      <x:c r="G62" s="180" t="str">
        <x:v>lanes/power/FINAL_I04_POWER_EFFECTIVITY.json
lanes/power/COUPLED_STARTUP_ENVELOPE.json
lanes/power_limits/POWER_LIMITS_SUMMARY.json
analyses/power_i19/SUMMARY.json
analyses/power_i19/EXTREMA_CONFIRMATION.json
analyses/thermal_i18/face_15.0/RESULTS.json</x:v>
      </x:c>
    </x:row>
    <x:row r="63" ht="101" customHeight="1">
      <x:c r="A63" s="219" t="str">
        <x:v>REG-07</x:v>
      </x:c>
      <x:c r="B63" s="219" t="str">
        <x:v>CLOSED</x:v>
      </x:c>
      <x:c r="C63" s="219" t="str">
        <x:v>CURRENT EVIDENCE REVIEWED</x:v>
      </x:c>
      <x:c r="D63" s="219" t="str">
        <x:v>CLOSED BY ORIGINAL SCOPE</x:v>
      </x:c>
      <x:c r="E63" s="219"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3" s="219" t="str"/>
      <x:c r="G63" s="219"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x:v>
      </x:c>
    </x:row>
    <x:row r="64" ht="114" customHeight="1">
      <x:c r="A64" s="180" t="str">
        <x:v>REG-08</x:v>
      </x:c>
      <x:c r="B64" s="180" t="str">
        <x:v>OPEN</x:v>
      </x:c>
      <x:c r="C64" s="180" t="str">
        <x:v>HARDWARE OR INSTALLATION ACCEPTANCE</x:v>
      </x:c>
      <x:c r="D64" s="180" t="str">
        <x:v>CURRENT SOURCE OR MODEL WITH REMAINING CONDITIONS</x:v>
      </x:c>
      <x:c r="E64" s="180"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4" s="180" t="str">
        <x:v>actual ripple/desense validation remains.</x:v>
      </x:c>
      <x:c r="G64" s="180" t="str">
        <x:v>lanes/rf/RF_FINAL_REPORT.md
lanes/rf/RF_FINAL_SUMMARY.json
lanes/rf/RF_I04_ADDENDUM.md
lanes/rf/RF_I04_SUMMARY.json
lanes/emc/RF_STRIP_NETWORK.json
analyses/power_i19/SUMMARY.json
analyses/power_i19/EXTREMA_CONFIRMATION.json
analyses/thermal_i18/face_15.0/RESULTS.json</x:v>
      </x:c>
    </x:row>
    <x:row r="65" ht="88" customHeight="1">
      <x:c r="A65" s="219" t="str">
        <x:v>REG-09</x:v>
      </x:c>
      <x:c r="B65" s="219" t="str">
        <x:v>OPEN</x:v>
      </x:c>
      <x:c r="C65" s="219" t="str">
        <x:v>HARDWARE OR INSTALLATION ACCEPTANCE</x:v>
      </x:c>
      <x:c r="D65" s="219" t="str">
        <x:v>CURRENT SOURCE OR MODEL WITH REMAINING CONDITIONS</x:v>
      </x:c>
      <x:c r="E65" s="219" t="str">
        <x:v>I19 finite rail model passes 3,456 circuit cases. Minimum local rail is 3.121029 V and the conservative zero-DC-credit release envelope is 3.594820 V. These are bounded simulations. Full-load thermal closure remains open.
Original criterion disposition remains open. The prior detailed assessment is retained in previous_I06_disposition and the historical register; current evidence and remaining conditions govern this row.</x:v>
      </x:c>
      <x:c r="F65" s="219" t="str">
        <x:v>actual containment/recovery test is still required.</x:v>
      </x:c>
      <x:c r="G65" s="219" t="str">
        <x:v>lanes/power/FINAL_I04_POWER_EFFECTIVITY.json
lanes/power/COUPLED_STARTUP_ENVELOPE.json
lanes/power_limits/POWER_LIMITS_SUMMARY.json
analyses/power_i19/SUMMARY.json
analyses/power_i19/EXTREMA_CONFIRMATION.json
analyses/thermal_i18/face_15.0/RESULTS.json</x:v>
      </x:c>
    </x:row>
    <x:row r="66" ht="101" customHeight="1">
      <x:c r="A66" s="180" t="str">
        <x:v>REG-10</x:v>
      </x:c>
      <x:c r="B66" s="180" t="str">
        <x:v>CLOSED</x:v>
      </x:c>
      <x:c r="C66" s="180" t="str">
        <x:v>CURRENT EVIDENCE REVIEWED</x:v>
      </x:c>
      <x:c r="D66" s="180" t="str">
        <x:v>CLOSED BY ORIGINAL SCOPE</x:v>
      </x:c>
      <x:c r="E66" s="180" t="str">
        <x:v>I19 finite rail model passes 3,456 circuit cases. Minimum local rail is 3.121029 V and the conservative zero-DC-credit release envelope is 3.594820 V. These are bounded simulations. Full-load thermal closure remains open.
Original criterion disposition remains closed. The prior detailed assessment is retained in previous_I06_disposition and the historical register; current evidence and remaining conditions govern this row.</x:v>
      </x:c>
      <x:c r="F66" s="180" t="str"/>
      <x:c r="G66" s="180" t="str">
        <x:v>control/RVB22_BRING_UP_AND_MEASUREMENT_CONTRACT.md
control/BRINGUP_SCHEMATIC_TEXT_DELTA.json
control/BRINGUP_ACTUAL_NODE_INDEX.json
control/FINAL_I04_BRINGUP_BINDING.json
analyses/power_i19/SUMMARY.json
analyses/power_i19/EXTREMA_CONFIRMATION.json
analyses/thermal_i18/face_15.0/RESULTS.json</x:v>
      </x:c>
    </x:row>
    <x:row r="67" ht="88" customHeight="1">
      <x:c r="A67" s="219" t="str">
        <x:v>SEQ-01</x:v>
      </x:c>
      <x:c r="B67" s="219" t="str">
        <x:v>OPEN</x:v>
      </x:c>
      <x:c r="C67" s="219" t="str">
        <x:v>HARDWARE OR INSTALLATION ACCEPTANCE</x:v>
      </x:c>
      <x:c r="D67" s="219" t="str">
        <x:v>CURRENT SOURCE OR MODEL WITH REMAINING CONDITIONS</x:v>
      </x:c>
      <x:c r="E6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7" s="219" t="str">
        <x:v>required physical continuity and startup captures remain.</x:v>
      </x:c>
      <x:c r="G67" s="219" t="str">
        <x:v>control/FINAL_I04_BRINGUP_BINDING.json
control/RVB22_BRING_UP_AND_MEASUREMENT_CONTRACT.md
control/BRINGUP_ACTUAL_NODE_INDEX.json
analyses/power_i19/SUMMARY.json
iterations/I20_controlled_handoff/NATIVE_BINDING.json
current/SOURCE_EFFECTIVITY.json</x:v>
      </x:c>
    </x:row>
    <x:row r="68" ht="88" customHeight="1">
      <x:c r="A68" s="180" t="str">
        <x:v>SEQ-02</x:v>
      </x:c>
      <x:c r="B68" s="180" t="str">
        <x:v>OPEN</x:v>
      </x:c>
      <x:c r="C68" s="180" t="str">
        <x:v>HARDWARE OR INSTALLATION ACCEPTANCE</x:v>
      </x:c>
      <x:c r="D68" s="180" t="str">
        <x:v>CURRENT SOURCE OR MODEL WITH REMAINING CONDITIONS</x:v>
      </x:c>
      <x:c r="E6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8" s="180" t="str">
        <x:v>actual programming-contact continuity remains.</x:v>
      </x:c>
      <x:c r="G68" s="180" t="str">
        <x:v>control/FINAL_I04_BRINGUP_BINDING.json
control/RVB22_BRING_UP_AND_MEASUREMENT_CONTRACT.md
control/BRINGUP_ACTUAL_NODE_INDEX.json
analyses/power_i19/SUMMARY.json
iterations/I20_controlled_handoff/NATIVE_BINDING.json
current/SOURCE_EFFECTIVITY.json</x:v>
      </x:c>
    </x:row>
    <x:row r="69" ht="88" customHeight="1">
      <x:c r="A69" s="219" t="str">
        <x:v>SEQ-03</x:v>
      </x:c>
      <x:c r="B69" s="219" t="str">
        <x:v>OPEN</x:v>
      </x:c>
      <x:c r="C69" s="219" t="str">
        <x:v>HARDWARE OR INSTALLATION ACCEPTANCE</x:v>
      </x:c>
      <x:c r="D69" s="219" t="str">
        <x:v>CURRENT SOURCE OR MODEL WITH REMAINING CONDITIONS</x:v>
      </x:c>
      <x:c r="E6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69" s="219" t="str">
        <x:v>original timing tests require the current assembled source.</x:v>
      </x:c>
      <x:c r="G69" s="219" t="str">
        <x:v>lanes/power/FINAL_I04_POWER_EFFECTIVITY.json
lanes/power/COUPLED_STARTUP_ENVELOPE.json
lanes/power_limits/POWER_LIMITS_SUMMARY.json
analyses/power_i19/SUMMARY.json
iterations/I20_controlled_handoff/NATIVE_BINDING.json
current/SOURCE_EFFECTIVITY.json</x:v>
      </x:c>
    </x:row>
    <x:row r="70" ht="75" customHeight="1">
      <x:c r="A70" s="180" t="str">
        <x:v>SEQ-04</x:v>
      </x:c>
      <x:c r="B70" s="180" t="str">
        <x:v>OPEN</x:v>
      </x:c>
      <x:c r="C70" s="180" t="str">
        <x:v>HARDWARE OR INSTALLATION ACCEPTANCE</x:v>
      </x:c>
      <x:c r="D70" s="180" t="str">
        <x:v>CURRENT SOURCE OR MODEL WITH REMAINING CONDITIONS</x:v>
      </x:c>
      <x:c r="E7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0" s="180" t="str">
        <x:v>actual boot scope captures remain.</x:v>
      </x:c>
      <x:c r="G70" s="180" t="str">
        <x:v>lanes/firmware_oil/RECOVERED_RELEASE_CHECKS.json
lanes/firmware_oil/RECOVERED_FIRMWARE_TEST_RESULTS.json
analyses/power_i19/SUMMARY.json
iterations/I20_controlled_handoff/NATIVE_BINDING.json
current/SOURCE_EFFECTIVITY.json</x:v>
      </x:c>
    </x:row>
    <x:row r="71" ht="101" customHeight="1">
      <x:c r="A71" s="219" t="str">
        <x:v>SEQ-05</x:v>
      </x:c>
      <x:c r="B71" s="219" t="str">
        <x:v>OPEN</x:v>
      </x:c>
      <x:c r="C71" s="219" t="str">
        <x:v>COMPLETED CONDITIONAL MODEL</x:v>
      </x:c>
      <x:c r="D71" s="219" t="str">
        <x:v>CURRENT SOURCE OR MODEL WITH REMAINING CONDITIONS</x:v>
      </x:c>
      <x:c r="E7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1" s="219" t="str">
        <x:v>unspecified die injection/latch-up and arbitrary bonds remain conditional.</x:v>
      </x:c>
      <x:c r="G71" s="219" t="str">
        <x:v>analyses/lost_ground/LOST_GROUND_RESULTS_RECONSTRUCTED.json
interfaces/LOST_GROUND_FINITE_DC_SCREEN.json
interfaces/HARNESS_INTERFACE_CONTRACT.json
interfaces/SINGLE_RETURN_EFFECTIVITY.json
analyses/power_i19/SUMMARY.json
iterations/I20_controlled_handoff/NATIVE_BINDING.json
current/SOURCE_EFFECTIVITY.json</x:v>
      </x:c>
    </x:row>
    <x:row r="72" ht="88" customHeight="1">
      <x:c r="A72" s="180" t="str">
        <x:v>SEQ-06</x:v>
      </x:c>
      <x:c r="B72" s="180" t="str">
        <x:v>OPEN</x:v>
      </x:c>
      <x:c r="C72" s="180" t="str">
        <x:v>COMPLETED CONDITIONAL MODEL</x:v>
      </x:c>
      <x:c r="D72" s="180" t="str">
        <x:v>CURRENT SOURCE OR MODEL WITH REMAINING CONDITIONS</x:v>
      </x:c>
      <x:c r="E7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2" s="180" t="str">
        <x:v>absent vendor off-state bounds remain explicit.</x:v>
      </x:c>
      <x:c r="G72" s="180" t="str">
        <x:v>lanes/firmware_oil/RECOVERED_FIRMWARE_TEST_RESULTS.json
lanes/firmware_oil/RECOVERY_CALIBRATION_GAIN_REDLINE.json
interfaces/OIL_HARNESS_ERROR_SWEEP.json
analyses/power_i19/SUMMARY.json
iterations/I20_controlled_handoff/NATIVE_BINDING.json
current/SOURCE_EFFECTIVITY.json</x:v>
      </x:c>
    </x:row>
    <x:row r="73" ht="88" customHeight="1">
      <x:c r="A73" s="219" t="str">
        <x:v>SEQ-07</x:v>
      </x:c>
      <x:c r="B73" s="219" t="str">
        <x:v>OPEN</x:v>
      </x:c>
      <x:c r="C73" s="219" t="str">
        <x:v>COMPLETED CONDITIONAL MODEL</x:v>
      </x:c>
      <x:c r="D73" s="219" t="str">
        <x:v>CURRENT SOURCE OR MODEL WITH REMAINING CONDITIONS</x:v>
      </x:c>
      <x:c r="E7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3" s="219" t="str">
        <x:v>actual fixture interlock implementation/qualification remains.</x:v>
      </x:c>
      <x:c r="G73" s="219" t="str">
        <x:v>control/FINAL_I04_BRINGUP_BINDING.json
control/RVB22_BRING_UP_AND_MEASUREMENT_CONTRACT.md
control/BRINGUP_ACTUAL_NODE_INDEX.json
analyses/power_i19/SUMMARY.json
iterations/I20_controlled_handoff/NATIVE_BINDING.json
current/SOURCE_EFFECTIVITY.json</x:v>
      </x:c>
    </x:row>
    <x:row r="74" ht="75" customHeight="1">
      <x:c r="A74" s="180" t="str">
        <x:v>SEQ-08</x:v>
      </x:c>
      <x:c r="B74" s="180" t="str">
        <x:v>OPEN</x:v>
      </x:c>
      <x:c r="C74" s="180" t="str">
        <x:v>HARDWARE OR INSTALLATION ACCEPTANCE</x:v>
      </x:c>
      <x:c r="D74" s="180" t="str">
        <x:v>CURRENT SOURCE OR MODEL WITH REMAINING CONDITIONS</x:v>
      </x:c>
      <x:c r="E7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4" s="180" t="str">
        <x:v>assembled fault injection logs are not available.</x:v>
      </x:c>
      <x:c r="G74" s="180" t="str">
        <x:v>lanes/firmware_oil/RECOVERED_RELEASE_CHECKS.json
lanes/firmware_oil/RECOVERED_FIRMWARE_TEST_RESULTS.json
analyses/power_i19/SUMMARY.json
iterations/I20_controlled_handoff/NATIVE_BINDING.json
current/SOURCE_EFFECTIVITY.json</x:v>
      </x:c>
    </x:row>
    <x:row r="75" ht="49" customHeight="1">
      <x:c r="A75" s="219" t="str">
        <x:v>SEQ-09</x:v>
      </x:c>
      <x:c r="B75" s="219" t="str">
        <x:v>CLOSED</x:v>
      </x:c>
      <x:c r="C75" s="219" t="str">
        <x:v>COMPLETED CURRENT SOURCE VERIFICATION</x:v>
      </x:c>
      <x:c r="D75" s="219" t="str">
        <x:v>CLOSED BY ORIGINAL SCOPE</x:v>
      </x:c>
      <x:c r="E75" s="219" t="str">
        <x:v>Current firmware retains the reset reason, bounded reset count and diagnostic recovery design. Host diagnostic evidence is bound to the same source compiled by the pinned target build.</x:v>
      </x:c>
      <x:c r="F75" s="219" t="str">
        <x:v>Original documentary, design-inspection or execution scope satisfied. Related supplier and physical criteria retain their own dispositions.</x:v>
      </x:c>
      <x:c r="G75" s="219" t="str">
        <x:v>lanes/firmware_oil/RECOVERED_FIRMWARE_TEST_RESULTS.json
current/SOURCE_EFFECTIVITY.json
iterations/I20_controlled_handoff/NATIVE_BINDING.json</x:v>
      </x:c>
    </x:row>
    <x:row r="76" ht="75" customHeight="1">
      <x:c r="A76" s="180" t="str">
        <x:v>SEQ-10</x:v>
      </x:c>
      <x:c r="B76" s="180" t="str">
        <x:v>OPEN</x:v>
      </x:c>
      <x:c r="C76" s="180" t="str">
        <x:v>HARDWARE OR INSTALLATION ACCEPTANCE</x:v>
      </x:c>
      <x:c r="D76" s="180" t="str">
        <x:v>CURRENT SOURCE OR MODEL WITH REMAINING CONDITIONS</x:v>
      </x:c>
      <x:c r="E7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76" s="180" t="str">
        <x:v>real target interruption/restart timing remains.</x:v>
      </x:c>
      <x:c r="G76" s="180" t="str">
        <x:v>lanes/firmware_oil/RECOVERED_RELEASE_CHECKS.json
lanes/firmware_oil/RECOVERED_FIRMWARE_TEST_RESULTS.json
analyses/power_i19/SUMMARY.json
iterations/I20_controlled_handoff/NATIVE_BINDING.json
current/SOURCE_EFFECTIVITY.json</x:v>
      </x:c>
    </x:row>
    <x:row r="77" ht="49" customHeight="1">
      <x:c r="A77" s="219" t="str">
        <x:v>GND-01</x:v>
      </x:c>
      <x:c r="B77" s="219" t="str">
        <x:v>CLOSED</x:v>
      </x:c>
      <x:c r="C77" s="219" t="str">
        <x:v>COMPLETED CURRENT SOURCE VERIFICATION</x:v>
      </x:c>
      <x:c r="D77" s="219" t="str">
        <x:v>CLOSED BY ORIGINAL SCOPE</x:v>
      </x:c>
      <x:c r="E77" s="219" t="str">
        <x:v>Independent reconstruction checks 133 actual filled-copper nets, power and signal returns, all copper Gerbers and every plated/NPTH drill. Return reference exceptions remain explicit under GND-02.</x:v>
      </x:c>
      <x:c r="F77" s="219" t="str">
        <x:v>Original documentary, design-inspection or execution scope satisfied. Related supplier and physical criteria retain their own dispositions.</x:v>
      </x:c>
      <x:c r="G77" s="219" t="str">
        <x:v>analyses/manufacturing_i20/RESULTS.json
current/SOURCE_EFFECTIVITY.json
control/REG07_SOURCE_COPPER_ANNOTATIONS.json</x:v>
      </x:c>
    </x:row>
    <x:row r="78" ht="62" customHeight="1">
      <x:c r="A78" s="180" t="str">
        <x:v>GND-02</x:v>
      </x:c>
      <x:c r="B78" s="180" t="str">
        <x:v>OPEN</x:v>
      </x:c>
      <x:c r="C78" s="180" t="str">
        <x:v>CURRENT NATIVE COMPLETE OTHER EVIDENCE REQUIRED</x:v>
      </x:c>
      <x:c r="D78" s="180" t="str">
        <x:v>CURRENT SOURCE OR MODEL WITH REMAINING CONDITIONS</x:v>
      </x:c>
      <x:c r="E78" s="180" t="str">
        <x:v>All RF segments retain their adjacent ground reference. Some digital segments have adjacent-plane gaps with the alternate ground plane present. That is not an uninterrupted nearest reference.</x:v>
      </x:c>
      <x:c r="F78" s="180" t="str">
        <x:v>Retain the actual reference-gap map and bound affected digital transitions; reroute any path whose source/return bound is not met.</x:v>
      </x:c>
      <x:c r="G78" s="180" t="str">
        <x:v>runtime/final_I06_actual_preflight/RESULT.json
runtime/run_native_candidate.py
analyses/manufacturing_i20/RESULTS.json
current/SOURCE_EFFECTIVITY.json</x:v>
      </x:c>
    </x:row>
    <x:row r="79" ht="127" customHeight="1">
      <x:c r="A79" s="219" t="str">
        <x:v>GND-03</x:v>
      </x:c>
      <x:c r="B79" s="219" t="str">
        <x:v>CLOSED</x:v>
      </x:c>
      <x:c r="C79" s="219" t="str">
        <x:v>CURRENT EVIDENCE REVIEWED</x:v>
      </x:c>
      <x:c r="D79" s="219" t="str">
        <x:v>CLOSED BY ORIGINAL SCOPE</x:v>
      </x:c>
      <x:c r="E7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79" s="219" t="str"/>
      <x:c r="G79"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x:v>
      </x:c>
    </x:row>
    <x:row r="80" ht="75" customHeight="1">
      <x:c r="A80" s="180" t="str">
        <x:v>GND-04</x:v>
      </x:c>
      <x:c r="B80" s="180" t="str">
        <x:v>CLOSED</x:v>
      </x:c>
      <x:c r="C80" s="180" t="str">
        <x:v>COMPLETED SOURCE DOCUMENTARY SCOPE</x:v>
      </x:c>
      <x:c r="D80" s="180" t="str">
        <x:v>CLOSED BY ORIGINAL SCOPE</x:v>
      </x:c>
      <x:c r="E8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0" s="180" t="str">
        <x:v>Current source/evidence binding completed. The original documentary or calculation scope is satisfied; applicability and external acceptance conditions remain in the linked evidence and related open criteria.</x:v>
      </x:c>
      <x:c r="G80" s="180" t="str">
        <x:v>lanes/power/FINAL_I04_POWER_EFFECTIVITY.json
lanes/power/COUPLED_STARTUP_ENVELOPE.json
lanes/power_limits/POWER_LIMITS_SUMMARY.json
analyses/manufacturing_i20/RESULTS.json
current/SOURCE_EFFECTIVITY.json</x:v>
      </x:c>
    </x:row>
    <x:row r="81" ht="75" customHeight="1">
      <x:c r="A81" s="219" t="str">
        <x:v>GND-05</x:v>
      </x:c>
      <x:c r="B81" s="219" t="str">
        <x:v>OPEN</x:v>
      </x:c>
      <x:c r="C81" s="219" t="str">
        <x:v>HARDWARE OR INSTALLATION ACCEPTANCE</x:v>
      </x:c>
      <x:c r="D81" s="219" t="str">
        <x:v>CURRENT SOURCE OR MODEL WITH REMAINING CONDITIONS</x:v>
      </x:c>
      <x:c r="E8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81" s="219" t="str">
        <x:v>F also requires representative load testing.</x:v>
      </x:c>
      <x:c r="G81" s="219" t="str">
        <x:v>lanes/firmware_oil/RECOVERED_FIRMWARE_TEST_RESULTS.json
lanes/firmware_oil/RECOVERY_CALIBRATION_GAIN_REDLINE.json
interfaces/OIL_HARNESS_ERROR_SWEEP.json
analyses/manufacturing_i20/RESULTS.json
current/SOURCE_EFFECTIVITY.json</x:v>
      </x:c>
    </x:row>
    <x:row r="82" ht="127" customHeight="1">
      <x:c r="A82" s="180" t="str">
        <x:v>GND-06</x:v>
      </x:c>
      <x:c r="B82" s="180" t="str">
        <x:v>CLOSED</x:v>
      </x:c>
      <x:c r="C82" s="180" t="str">
        <x:v>CURRENT EVIDENCE REVIEWED</x:v>
      </x:c>
      <x:c r="D82" s="180" t="str">
        <x:v>CLOSED BY ORIGINAL SCOPE</x:v>
      </x:c>
      <x:c r="E8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2" s="180" t="str"/>
      <x:c r="G82"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analyses/manufacturing_i20/RESULTS.json
current/SOURCE_EFFECTIVITY.json</x:v>
      </x:c>
    </x:row>
    <x:row r="83" ht="75" customHeight="1">
      <x:c r="A83" s="219" t="str">
        <x:v>GND-07</x:v>
      </x:c>
      <x:c r="B83" s="219" t="str">
        <x:v>CLOSED</x:v>
      </x:c>
      <x:c r="C83" s="219" t="str">
        <x:v>COMPLETED SOURCE DOCUMENTARY SCOPE</x:v>
      </x:c>
      <x:c r="D83" s="219" t="str">
        <x:v>CLOSED BY ORIGINAL SCOPE</x:v>
      </x:c>
      <x:c r="E8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3" s="219" t="str">
        <x:v>Current source/evidence binding completed. The original documentary or calculation scope is satisfied; applicability and external acceptance conditions remain in the linked evidence and related open criteria.</x:v>
      </x:c>
      <x:c r="G83" s="219" t="str">
        <x:v>lanes/emc/EMC_DESKTOP_REPORT.md
lanes/emc/REDLINE_DISPOSITIONS.json
lanes/emc/EMC_NUMERICAL_VERIFICATION.json
analyses/manufacturing_i20/RESULTS.json
current/SOURCE_EFFECTIVITY.json</x:v>
      </x:c>
    </x:row>
    <x:row r="84" ht="49" customHeight="1">
      <x:c r="A84" s="180" t="str">
        <x:v>GND-08</x:v>
      </x:c>
      <x:c r="B84" s="180" t="str">
        <x:v>CLOSED</x:v>
      </x:c>
      <x:c r="C84" s="180" t="str">
        <x:v>COMPLETED CURRENT SOURCE VERIFICATION</x:v>
      </x:c>
      <x:c r="D84" s="180" t="str">
        <x:v>CLOSED BY ORIGINAL SCOPE</x:v>
      </x:c>
      <x:c r="E84" s="180" t="str">
        <x:v>Native filled copper contains no floating padless islands or disconnected pad nets. DRC and unconnected-item counts are zero.</x:v>
      </x:c>
      <x:c r="F84" s="180" t="str">
        <x:v>Original documentary, design-inspection or execution scope satisfied. Related supplier and physical criteria retain their own dispositions.</x:v>
      </x:c>
      <x:c r="G84" s="180" t="str">
        <x:v>analyses/manufacturing_i20/RESULTS.json
iterations/I20_controlled_handoff/NATIVE_BINDING.json
current/SOURCE_EFFECTIVITY.json</x:v>
      </x:c>
    </x:row>
    <x:row r="85" ht="88" customHeight="1">
      <x:c r="A85" s="219" t="str">
        <x:v>GND-09</x:v>
      </x:c>
      <x:c r="B85" s="219" t="str">
        <x:v>CLOSED</x:v>
      </x:c>
      <x:c r="C85" s="219" t="str">
        <x:v>COMPLETED SOURCE DOCUMENTARY SCOPE</x:v>
      </x:c>
      <x:c r="D85" s="219" t="str">
        <x:v>CLOSED BY ORIGINAL SCOPE</x:v>
      </x:c>
      <x:c r="E8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5" s="219" t="str">
        <x:v>Current source/evidence binding completed. The original documentary or calculation scope is satisfied; applicability and external acceptance conditions remain in the linked evidence and related open criteria.</x:v>
      </x:c>
      <x:c r="G85" s="219" t="str">
        <x:v>analyses/lost_ground/LOST_GROUND_RESULTS_RECONSTRUCTED.json
interfaces/LOST_GROUND_FINITE_DC_SCREEN.json
interfaces/HARNESS_INTERFACE_CONTRACT.json
interfaces/SINGLE_RETURN_EFFECTIVITY.json
analyses/manufacturing_i20/RESULTS.json
current/SOURCE_EFFECTIVITY.json</x:v>
      </x:c>
    </x:row>
    <x:row r="86" ht="88" customHeight="1">
      <x:c r="A86" s="180" t="str">
        <x:v>GND-10</x:v>
      </x:c>
      <x:c r="B86" s="180" t="str">
        <x:v>CLOSED</x:v>
      </x:c>
      <x:c r="C86" s="180" t="str">
        <x:v>CURRENT EVIDENCE REVIEWED</x:v>
      </x:c>
      <x:c r="D86" s="180" t="str">
        <x:v>CLOSED BY ORIGINAL SCOPE</x:v>
      </x:c>
      <x:c r="E8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6" s="180" t="str"/>
      <x:c r="G86" s="180" t="str">
        <x:v>control/RVB22_BRING_UP_AND_MEASUREMENT_CONTRACT.md
control/BRINGUP_SCHEMATIC_TEXT_DELTA.json
control/BRINGUP_ACTUAL_NODE_INDEX.json
control/FINAL_I04_BRINGUP_BINDING.json
analyses/manufacturing_i20/RESULTS.json
current/SOURCE_EFFECTIVITY.json</x:v>
      </x:c>
    </x:row>
    <x:row r="87" ht="127" customHeight="1">
      <x:c r="A87" s="219" t="str">
        <x:v>VIA-01</x:v>
      </x:c>
      <x:c r="B87" s="219" t="str">
        <x:v>CLOSED</x:v>
      </x:c>
      <x:c r="C87" s="219" t="str">
        <x:v>CURRENT EVIDENCE REVIEWED</x:v>
      </x:c>
      <x:c r="D87" s="219" t="str">
        <x:v>CLOSED BY ORIGINAL SCOPE</x:v>
      </x:c>
      <x:c r="E8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7" s="219" t="str"/>
      <x:c r="G87" s="219"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x:v>
      </x:c>
    </x:row>
    <x:row r="88" ht="49" customHeight="1">
      <x:c r="A88" s="180" t="str">
        <x:v>VIA-02</x:v>
      </x:c>
      <x:c r="B88" s="180" t="str">
        <x:v>CLOSED</x:v>
      </x:c>
      <x:c r="C88" s="180" t="str">
        <x:v>COMPLETED CURRENT SOURCE VERIFICATION</x:v>
      </x:c>
      <x:c r="D88" s="180" t="str">
        <x:v>CLOSED BY ORIGINAL SCOPE</x:v>
      </x:c>
      <x:c r="E88" s="180" t="str">
        <x:v>Current filled-reference inspection and retained transition geometry provide local ground transitions for the critical RF path. Remaining digital alternate-reference conditions are recorded under GND-02.</x:v>
      </x:c>
      <x:c r="F88" s="180" t="str">
        <x:v>Original documentary, design-inspection or execution scope satisfied. Related supplier and physical criteria retain their own dispositions.</x:v>
      </x:c>
      <x:c r="G88" s="180" t="str">
        <x:v>analyses/manufacturing_i20/RESULTS.json
analyses/rf_i18/EXTENDED_NETWORK_RESULTS.json
current/SOURCE_EFFECTIVITY.json</x:v>
      </x:c>
    </x:row>
    <x:row r="89" ht="114" customHeight="1">
      <x:c r="A89" s="219" t="str">
        <x:v>VIA-03</x:v>
      </x:c>
      <x:c r="B89" s="219" t="str">
        <x:v>CLOSED</x:v>
      </x:c>
      <x:c r="C89" s="219" t="str">
        <x:v>CURRENT EVIDENCE REVIEWED</x:v>
      </x:c>
      <x:c r="D89" s="219" t="str">
        <x:v>CLOSED BY ORIGINAL SCOPE</x:v>
      </x:c>
      <x:c r="E8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89" s="219" t="str"/>
      <x:c r="G89" s="219" t="str">
        <x:v>lanes/rf/RF_FINAL_REPORT.md
lanes/rf/RF_FINAL_SUMMARY.json
lanes/rf/RF_I04_ADDENDUM.md
lanes/rf/RF_I04_SUMMARY.json
lanes/rf/FINAL_I04_SOURCE_BINDING.json
lanes/emc/EMC_SUMMARY.json
analyses/manufacturing_i20/RESULTS.json
analyses/service_i19/RESULTS.json</x:v>
      </x:c>
    </x:row>
    <x:row r="90" ht="114" customHeight="1">
      <x:c r="A90" s="180" t="str">
        <x:v>VIA-04</x:v>
      </x:c>
      <x:c r="B90" s="180" t="str">
        <x:v>CLOSED</x:v>
      </x:c>
      <x:c r="C90" s="180" t="str">
        <x:v>CURRENT EVIDENCE REVIEWED</x:v>
      </x:c>
      <x:c r="D90" s="180" t="str">
        <x:v>CLOSED BY ORIGINAL SCOPE</x:v>
      </x:c>
      <x:c r="E9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0" s="180" t="str"/>
      <x:c r="G90" s="180" t="str">
        <x:v>lanes/rf/RF_FINAL_REPORT.md
lanes/rf/RF_FINAL_SUMMARY.json
lanes/rf/RF_I04_ADDENDUM.md
lanes/rf/RF_I04_SUMMARY.json
lanes/rf/FINAL_I04_SOURCE_BINDING.json
lanes/emc/EMC_SUMMARY.json
analyses/manufacturing_i20/RESULTS.json
analyses/service_i19/RESULTS.json</x:v>
      </x:c>
    </x:row>
    <x:row r="91" ht="49" customHeight="1">
      <x:c r="A91" s="219" t="str">
        <x:v>VIA-05</x:v>
      </x:c>
      <x:c r="B91" s="219" t="str">
        <x:v>CLOSED</x:v>
      </x:c>
      <x:c r="C91" s="219" t="str">
        <x:v>COMPLETED CURRENT SOURCE VERIFICATION</x:v>
      </x:c>
      <x:c r="D91" s="219" t="str">
        <x:v>CLOSED BY ORIGINAL SCOPE</x:v>
      </x:c>
      <x:c r="E91" s="219" t="str">
        <x:v>U.FL local grounds and both RF layer references are connected. All RF centerline segments have zero adjacent-ground gap after their own via antipads. The centered straight 0.700 mm connector entry is preserved.</x:v>
      </x:c>
      <x:c r="F91" s="219" t="str">
        <x:v>Original documentary, design-inspection or execution scope satisfied. Related supplier and physical criteria retain their own dispositions.</x:v>
      </x:c>
      <x:c r="G91" s="219" t="str">
        <x:v>analyses/manufacturing_i20/RESULTS.json
current/SOURCE_EFFECTIVITY.json
analyses/rf_i18/EXTENDED_NETWORK_RESULTS.json</x:v>
      </x:c>
    </x:row>
    <x:row r="92" ht="75" customHeight="1">
      <x:c r="A92" s="180" t="str">
        <x:v>VIA-06</x:v>
      </x:c>
      <x:c r="B92" s="180" t="str">
        <x:v>OPEN</x:v>
      </x:c>
      <x:c r="C92" s="180" t="str">
        <x:v>COMPLETED CONDITIONAL MODEL</x:v>
      </x:c>
      <x:c r="D92" s="180" t="str">
        <x:v>CURRENT SOURCE OR MODEL WITH REMAINING CONDITIONS</x:v>
      </x:c>
      <x:c r="E9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92" s="180" t="str">
        <x:v>actual finished plating/temperature applicability remains supplier-dependent.</x:v>
      </x:c>
      <x:c r="G92" s="180" t="str">
        <x:v>lanes/power/FINAL_I04_POWER_EFFECTIVITY.json
lanes/power/COUPLED_STARTUP_ENVELOPE.json
lanes/power_limits/POWER_LIMITS_SUMMARY.json
analyses/manufacturing_i20/RESULTS.json
analyses/service_i19/RESULTS.json</x:v>
      </x:c>
    </x:row>
    <x:row r="93" ht="75" customHeight="1">
      <x:c r="A93" s="219" t="str">
        <x:v>VIA-07</x:v>
      </x:c>
      <x:c r="B93" s="219" t="str">
        <x:v>OPEN</x:v>
      </x:c>
      <x:c r="C93" s="219" t="str">
        <x:v>SUPPLIER OR RESPONSIBLE ACCEPTANCE</x:v>
      </x:c>
      <x:c r="D93" s="219" t="str">
        <x:v>CURRENT SOURCE OR MODEL WITH REMAINING CONDITIONS</x:v>
      </x:c>
      <x:c r="E9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93" s="219" t="str">
        <x:v>actual assembler approval is not inferred.</x:v>
      </x:c>
      <x:c r="G93" s="219" t="str">
        <x:v>analyses/assembly_handling/EXACT_MPN_HANDLING_REGISTER.json
analyses/assembly_handling/PROCESS_RECONCILIATION.md
lanes/mechanics/ASSEMBLY_PROCESS_RVB22.md
analyses/manufacturing_i20/RESULTS.json
analyses/service_i19/RESULTS.json</x:v>
      </x:c>
    </x:row>
    <x:row r="94" ht="75" customHeight="1">
      <x:c r="A94" s="180" t="str">
        <x:v>VIA-08</x:v>
      </x:c>
      <x:c r="B94" s="180" t="str">
        <x:v>OPEN</x:v>
      </x:c>
      <x:c r="C94" s="180" t="str">
        <x:v>SUPPLIER OR RESPONSIBLE ACCEPTANCE</x:v>
      </x:c>
      <x:c r="D94" s="180" t="str">
        <x:v>CURRENT SOURCE OR MODEL WITH REMAINING CONDITIONS</x:v>
      </x:c>
      <x:c r="E9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94" s="180" t="str">
        <x:v>current fabricator capability confirmation remains.</x:v>
      </x:c>
      <x:c r="G94" s="180" t="str">
        <x:v>analyses/assembly_handling/EXACT_MPN_HANDLING_REGISTER.json
analyses/assembly_handling/PROCESS_RECONCILIATION.md
lanes/mechanics/ASSEMBLY_PROCESS_RVB22.md
analyses/manufacturing_i20/RESULTS.json
analyses/service_i19/RESULTS.json</x:v>
      </x:c>
    </x:row>
    <x:row r="95" ht="114" customHeight="1">
      <x:c r="A95" s="219" t="str">
        <x:v>VIA-09</x:v>
      </x:c>
      <x:c r="B95" s="219" t="str">
        <x:v>CLOSED</x:v>
      </x:c>
      <x:c r="C95" s="219" t="str">
        <x:v>CURRENT EVIDENCE REVIEWED</x:v>
      </x:c>
      <x:c r="D95" s="219" t="str">
        <x:v>CLOSED BY ORIGINAL SCOPE</x:v>
      </x:c>
      <x:c r="E9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5" s="219" t="str"/>
      <x:c r="G95" s="219" t="str">
        <x:v>lanes/rf/RF_FINAL_REPORT.md
lanes/rf/RF_FINAL_SUMMARY.json
lanes/rf/RF_I04_ADDENDUM.md
lanes/rf/RF_I04_SUMMARY.json
lanes/rf/FINAL_I04_SOURCE_BINDING.json
lanes/emc/EMC_SUMMARY.json
analyses/manufacturing_i20/RESULTS.json
analyses/service_i19/RESULTS.json</x:v>
      </x:c>
    </x:row>
    <x:row r="96" ht="62" customHeight="1">
      <x:c r="A96" s="180" t="str">
        <x:v>VIA-10</x:v>
      </x:c>
      <x:c r="B96" s="180" t="str">
        <x:v>CLOSED</x:v>
      </x:c>
      <x:c r="C96" s="180" t="str">
        <x:v>COMPLETED CURRENT SOURCE VERIFICATION</x:v>
      </x:c>
      <x:c r="D96" s="180" t="str">
        <x:v>CLOSED BY ORIGINAL SCOPE</x:v>
      </x:c>
      <x:c r="E96" s="180" t="str">
        <x:v>Native clearance and density checks pass. The complete mated-body model and all 37 test-probe envelopes pass with minimum 0.700 mm radial clearance. Filled/capped process requirements are separately controlled.</x:v>
      </x:c>
      <x:c r="F96" s="180" t="str">
        <x:v>Original documentary, design-inspection or execution scope satisfied. Related supplier and physical criteria retain their own dispositions.</x:v>
      </x:c>
      <x:c r="G96" s="180" t="str">
        <x:v>iterations/I20_controlled_handoff/NATIVE_BINDING.json
analyses/mated_i18/RESULTS.json
analyses/service_i19/RESULTS.json
current/SOURCE_EFFECTIVITY.json</x:v>
      </x:c>
    </x:row>
    <x:row r="97" ht="101" customHeight="1">
      <x:c r="A97" s="219" t="str">
        <x:v>SI-01</x:v>
      </x:c>
      <x:c r="B97" s="219" t="str">
        <x:v>CLOSED</x:v>
      </x:c>
      <x:c r="C97" s="219" t="str">
        <x:v>COMPLETED SOURCE DOCUMENTARY SCOPE</x:v>
      </x:c>
      <x:c r="D97" s="219" t="str">
        <x:v>CLOSED BY ORIGINAL SCOPE</x:v>
      </x:c>
      <x:c r="E9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7" s="219" t="str">
        <x:v>Current source/evidence binding completed. The original documentary or calculation scope is satisfied; applicability and external acceptance conditions remain in the linked evidence and related open criteria.</x:v>
      </x:c>
      <x:c r="G97" s="219" t="str">
        <x:v>lanes/rf/RF_FINAL_REPORT.md
lanes/rf/RF_FINAL_SUMMARY.json
lanes/rf/RF_I04_ADDENDUM.md
lanes/rf/RF_I04_SUMMARY.json
lanes/emc/RF_STRIP_NETWORK.json
analyses/manufacturing_i20/RESULTS.json
control/SI11_COUPLING_PATH_REVIEW.json</x:v>
      </x:c>
    </x:row>
    <x:row r="98" ht="101" customHeight="1">
      <x:c r="A98" s="180" t="str">
        <x:v>SI-02</x:v>
      </x:c>
      <x:c r="B98" s="180" t="str">
        <x:v>CLOSED</x:v>
      </x:c>
      <x:c r="C98" s="180" t="str">
        <x:v>COMPLETED SOURCE DOCUMENTARY SCOPE</x:v>
      </x:c>
      <x:c r="D98" s="180" t="str">
        <x:v>CLOSED BY ORIGINAL SCOPE</x:v>
      </x:c>
      <x:c r="E9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8" s="180" t="str">
        <x:v>Current source/evidence binding completed. The original documentary or calculation scope is satisfied; applicability and external acceptance conditions remain in the linked evidence and related open criteria.</x:v>
      </x:c>
      <x:c r="G98" s="180" t="str">
        <x:v>lanes/rf/RF_FINAL_REPORT.md
lanes/rf/RF_FINAL_SUMMARY.json
lanes/rf/RF_I04_ADDENDUM.md
lanes/rf/RF_I04_SUMMARY.json
lanes/emc/RF_STRIP_NETWORK.json
analyses/manufacturing_i20/RESULTS.json
control/SI11_COUPLING_PATH_REVIEW.json</x:v>
      </x:c>
    </x:row>
    <x:row r="99" ht="127" customHeight="1">
      <x:c r="A99" s="219" t="str">
        <x:v>SI-03</x:v>
      </x:c>
      <x:c r="B99" s="219" t="str">
        <x:v>CLOSED</x:v>
      </x:c>
      <x:c r="C99" s="219" t="str">
        <x:v>CURRENT EVIDENCE REVIEWED</x:v>
      </x:c>
      <x:c r="D99" s="219" t="str">
        <x:v>CLOSED BY ORIGINAL SCOPE</x:v>
      </x:c>
      <x:c r="E9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99" s="219" t="str"/>
      <x:c r="G99" s="219" t="str">
        <x:v>analyses/can_branch/COMPLETE_CAN_BRANCH_RESULTS.json
analyses/can_branch/COMPLETE_CAN_BRANCH_REVIEW.md
analyses/harness_wire/AVSS_CAN_STUB_MODEL.json
analyses/can_branch/CAN22-02_NUMERICAL_CHECKS.json
analyses/can_branch/CAN22-02_INDEPENDENT_REVIEW.json
analyses/can_branch/CAN22-02_THRESHOLD_REFINEMENT.json
analyses/can_branch/FINAL_CAN_SOURCE_BINDING.json
analyses/manufacturing_i20/RESULTS.json
control/SI11_COUPLING_PATH_REVIEW.json</x:v>
      </x:c>
    </x:row>
    <x:row r="100" ht="75" customHeight="1">
      <x:c r="A100" s="180" t="str">
        <x:v>SI-04</x:v>
      </x:c>
      <x:c r="B100" s="180" t="str">
        <x:v>CLOSED</x:v>
      </x:c>
      <x:c r="C100" s="180" t="str">
        <x:v>CURRENT EVIDENCE REVIEWED</x:v>
      </x:c>
      <x:c r="D100" s="180" t="str">
        <x:v>CLOSED BY ORIGINAL SCOPE</x:v>
      </x:c>
      <x:c r="E10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0" s="180" t="str"/>
      <x:c r="G100" s="180" t="str">
        <x:v>lanes/firmware_oil/RECOVERED_RELEASE_CHECKS.json
lanes/firmware_oil/RECOVERED_FIRMWARE_TEST_RESULTS.json
lanes/firmware_oil/FINAL_I04_OIL_FIRMWARE_EFFECTIVITY.json
analyses/manufacturing_i20/RESULTS.json
control/SI11_COUPLING_PATH_REVIEW.json</x:v>
      </x:c>
    </x:row>
    <x:row r="101" ht="75" customHeight="1">
      <x:c r="A101" s="219" t="str">
        <x:v>SI-05</x:v>
      </x:c>
      <x:c r="B101" s="219" t="str">
        <x:v>CLOSED</x:v>
      </x:c>
      <x:c r="C101" s="219" t="str">
        <x:v>COMPLETED SOURCE DOCUMENTARY SCOPE</x:v>
      </x:c>
      <x:c r="D101" s="219" t="str">
        <x:v>CLOSED BY ORIGINAL SCOPE</x:v>
      </x:c>
      <x:c r="E10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1" s="219" t="str">
        <x:v>Current source/evidence binding completed. The original documentary or calculation scope is satisfied; applicability and external acceptance conditions remain in the linked evidence and related open criteria.</x:v>
      </x:c>
      <x:c r="G101" s="219" t="str">
        <x:v>control/SI11_COUPLING_PATH_REVIEW.json
control/REG07_SOURCE_COPPER_ANNOTATIONS.json
analyses/manufacturing_i20/RESULTS.json</x:v>
      </x:c>
    </x:row>
    <x:row r="102" ht="114" customHeight="1">
      <x:c r="A102" s="180" t="str">
        <x:v>SI-06</x:v>
      </x:c>
      <x:c r="B102" s="180" t="str">
        <x:v>CLOSED</x:v>
      </x:c>
      <x:c r="C102" s="180" t="str">
        <x:v>CURRENT EVIDENCE REVIEWED</x:v>
      </x:c>
      <x:c r="D102" s="180" t="str">
        <x:v>CLOSED BY ORIGINAL SCOPE</x:v>
      </x:c>
      <x:c r="E10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2" s="180" t="str"/>
      <x:c r="G102" s="180" t="str">
        <x:v>lanes/rf/RF_FINAL_REPORT.md
lanes/rf/RF_FINAL_SUMMARY.json
lanes/rf/RF_I04_ADDENDUM.md
lanes/rf/RF_I04_SUMMARY.json
lanes/rf/FINAL_I04_SOURCE_BINDING.json
lanes/emc/EMC_SUMMARY.json
analyses/manufacturing_i20/RESULTS.json
control/SI11_COUPLING_PATH_REVIEW.json</x:v>
      </x:c>
    </x:row>
    <x:row r="103" ht="75" customHeight="1">
      <x:c r="A103" s="219" t="str">
        <x:v>SI-07</x:v>
      </x:c>
      <x:c r="B103" s="219" t="str">
        <x:v>OPEN</x:v>
      </x:c>
      <x:c r="C103" s="219" t="str">
        <x:v>HARDWARE OR INSTALLATION ACCEPTANCE</x:v>
      </x:c>
      <x:c r="D103" s="219" t="str">
        <x:v>CURRENT SOURCE OR MODEL WITH REMAINING CONDITIONS</x:v>
      </x:c>
      <x:c r="E10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03" s="219" t="str">
        <x:v>actual receiver scope waveforms required by F remain.</x:v>
      </x:c>
      <x:c r="G103" s="219" t="str">
        <x:v>analyses/can_branch/COMPLETE_CAN_BRANCH_RESULTS.json
analyses/can_branch/FINAL_CAN_SOURCE_BINDING.json
analyses/can_branch/CAN22-02_NUMERICAL_CHECKS.json
analyses/manufacturing_i20/RESULTS.json
control/SI11_COUPLING_PATH_REVIEW.json</x:v>
      </x:c>
    </x:row>
    <x:row r="104" ht="101" customHeight="1">
      <x:c r="A104" s="180" t="str">
        <x:v>SI-08</x:v>
      </x:c>
      <x:c r="B104" s="180" t="str">
        <x:v>CLOSED</x:v>
      </x:c>
      <x:c r="C104" s="180" t="str">
        <x:v>CURRENT EVIDENCE REVIEWED</x:v>
      </x:c>
      <x:c r="D104" s="180" t="str">
        <x:v>CLOSED BY ORIGINAL SCOPE</x:v>
      </x:c>
      <x:c r="E10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4" s="180" t="str"/>
      <x:c r="G104" s="180" t="str">
        <x:v>lanes/firmware_oil/RECOVERY_CALIBRATION_GAIN_REDLINE.json
lanes/firmware_oil/RECOVERED_FIRMWARE_TEST_RESULTS.json
interfaces/OIL_HARNESS_ERROR_SWEEP.json
lanes/firmware_oil/FINAL_I04_OIL_FIRMWARE_EFFECTIVITY.json
lanes/oil_cap/FINAL_C532_SUBGRAPH_BINDING.json
analyses/manufacturing_i20/RESULTS.json
control/SI11_COUPLING_PATH_REVIEW.json</x:v>
      </x:c>
    </x:row>
    <x:row r="105" ht="36" customHeight="1">
      <x:c r="A105" s="219" t="str">
        <x:v>SI-09</x:v>
      </x:c>
      <x:c r="B105" s="219" t="str">
        <x:v>N/A</x:v>
      </x:c>
      <x:c r="C105" s="219" t="str">
        <x:v>NOT APPLICABLE</x:v>
      </x:c>
      <x:c r="D105" s="219" t="str">
        <x:v>NOT APPLICABLE</x:v>
      </x:c>
      <x:c r="E105" s="219" t="str">
        <x:v>NoUSBdata interface is populated; UART0Tag-Connect remains the programming interface.</x:v>
      </x:c>
      <x:c r="F105" s="219" t="str">
        <x:v>Not applicable under preserved original review scope.</x:v>
      </x:c>
      <x:c r="G105" s="219" t="str">
        <x:v>analyses/manufacturing_i20/RESULTS.json
control/SI11_COUPLING_PATH_REVIEW.json</x:v>
      </x:c>
    </x:row>
    <x:row r="106" ht="36" customHeight="1">
      <x:c r="A106" s="180" t="str">
        <x:v>SI-10</x:v>
      </x:c>
      <x:c r="B106" s="180" t="str">
        <x:v>N/A</x:v>
      </x:c>
      <x:c r="C106" s="180" t="str">
        <x:v>NOT APPLICABLE</x:v>
      </x:c>
      <x:c r="D106" s="180" t="str">
        <x:v>NOT APPLICABLE</x:v>
      </x:c>
      <x:c r="E106" s="180" t="str">
        <x:v>NoexternalSPI/CANcontroller bus exists; S3nativeTWAI handlesClassicalCAN. NoSPI timing claim is required.</x:v>
      </x:c>
      <x:c r="F106" s="180" t="str">
        <x:v>Not applicable under preserved original review scope.</x:v>
      </x:c>
      <x:c r="G106" s="180" t="str">
        <x:v>analyses/manufacturing_i20/RESULTS.json
control/SI11_COUPLING_PATH_REVIEW.json</x:v>
      </x:c>
    </x:row>
    <x:row r="107" ht="75" customHeight="1">
      <x:c r="A107" s="219" t="str">
        <x:v>SI-11</x:v>
      </x:c>
      <x:c r="B107" s="219" t="str">
        <x:v>CLOSED</x:v>
      </x:c>
      <x:c r="C107" s="219" t="str">
        <x:v>CURRENT EVIDENCE REVIEWED</x:v>
      </x:c>
      <x:c r="D107" s="219" t="str">
        <x:v>CLOSED BY ORIGINAL SCOPE</x:v>
      </x:c>
      <x:c r="E10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7" s="219" t="str"/>
      <x:c r="G107" s="219" t="str">
        <x:v>control/SI11_COUPLING_PATH_REVIEW.json
control/SI11_COUPLING_REVIEW_AND_TEST_PLAN.md
control/REG07_SOURCE_COPPER_ANNOTATIONS.json
analyses/manufacturing_i20/RESULTS.json</x:v>
      </x:c>
    </x:row>
    <x:row r="108" ht="101" customHeight="1">
      <x:c r="A108" s="180" t="str">
        <x:v>SI-12</x:v>
      </x:c>
      <x:c r="B108" s="180" t="str">
        <x:v>OPEN</x:v>
      </x:c>
      <x:c r="C108" s="180" t="str">
        <x:v>COMPLETED CONDITIONAL MODEL</x:v>
      </x:c>
      <x:c r="D108" s="180" t="str">
        <x:v>CURRENT SOURCE OR MODEL WITH REMAINING CONDITIONS</x:v>
      </x:c>
      <x:c r="E10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08" s="180" t="str">
        <x:v>physical stackup/connector unknowns prevent unconditional manufacturing acceptance.</x:v>
      </x:c>
      <x:c r="G108" s="180" t="str">
        <x:v>lanes/rf/RF_FINAL_REPORT.md
lanes/rf/RF_FINAL_SUMMARY.json
lanes/rf/RF_I04_ADDENDUM.md
lanes/rf/RF_I04_SUMMARY.json
lanes/emc/RF_STRIP_NETWORK.json
analyses/manufacturing_i20/RESULTS.json
control/SI11_COUPLING_PATH_REVIEW.json</x:v>
      </x:c>
    </x:row>
    <x:row r="109" ht="75" customHeight="1">
      <x:c r="A109" s="219" t="str">
        <x:v>CAN-01</x:v>
      </x:c>
      <x:c r="B109" s="219" t="str">
        <x:v>CLOSED</x:v>
      </x:c>
      <x:c r="C109" s="219" t="str">
        <x:v>CURRENT EVIDENCE REVIEWED</x:v>
      </x:c>
      <x:c r="D109" s="219" t="str">
        <x:v>CLOSED BY ORIGINAL SCOPE</x:v>
      </x:c>
      <x:c r="E10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09" s="219" t="str"/>
      <x:c r="G109" s="219" t="str">
        <x:v>iterations/I06_harness_handoff/CANDIDATE_MANIFEST.json
analyses/can_branch/FINAL_CAN_SOURCE_BINDING.json
interfaces/asc_profile/ASC_PROFILE_REVIEW.json</x:v>
      </x:c>
    </x:row>
    <x:row r="110" ht="75" customHeight="1">
      <x:c r="A110" s="180" t="str">
        <x:v>CAN-02</x:v>
      </x:c>
      <x:c r="B110" s="180" t="str">
        <x:v>OPEN</x:v>
      </x:c>
      <x:c r="C110" s="180" t="str">
        <x:v>HARDWARE OR INSTALLATION ACCEPTANCE</x:v>
      </x:c>
      <x:c r="D110" s="180" t="str">
        <x:v>CURRENT SOURCE OR MODEL WITH REMAINING CONDITIONS</x:v>
      </x:c>
      <x:c r="E11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0" s="180" t="str">
        <x:v>independent assembled bus observation remains.</x:v>
      </x:c>
      <x:c r="G110" s="180" t="str">
        <x:v>lanes/firmware_oil/RECOVERED_RELEASE_CHECKS.json
lanes/firmware_oil/RECOVERED_FIRMWARE_TEST_RESULTS.json
analyses/can_branch/FINAL_CAN_SOURCE_BINDING.json
interfaces/asc_profile/ASC_PROFILE_REVIEW.json</x:v>
      </x:c>
    </x:row>
    <x:row r="111" ht="88" customHeight="1">
      <x:c r="A111" s="219" t="str">
        <x:v>CAN-03</x:v>
      </x:c>
      <x:c r="B111" s="219" t="str">
        <x:v>OPEN</x:v>
      </x:c>
      <x:c r="C111" s="219" t="str">
        <x:v>HARDWARE OR INSTALLATION ACCEPTANCE</x:v>
      </x:c>
      <x:c r="D111" s="219" t="str">
        <x:v>CURRENT SOURCE OR MODEL WITH REMAINING CONDITIONS</x:v>
      </x:c>
      <x:c r="E11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1" s="219" t="str">
        <x:v>credible failure-state physical tests remain.</x:v>
      </x:c>
      <x:c r="G111" s="219" t="str">
        <x:v>analyses/lost_ground/LOST_GROUND_RESULTS_RECONSTRUCTED.json
interfaces/LOST_GROUND_FINITE_DC_SCREEN.json
interfaces/HARNESS_INTERFACE_CONTRACT.json
interfaces/SINGLE_RETURN_EFFECTIVITY.json
analyses/can_branch/FINAL_CAN_SOURCE_BINDING.json
interfaces/asc_profile/ASC_PROFILE_REVIEW.json</x:v>
      </x:c>
    </x:row>
    <x:row r="112" ht="75" customHeight="1">
      <x:c r="A112" s="180" t="str">
        <x:v>CAN-04</x:v>
      </x:c>
      <x:c r="B112" s="180" t="str">
        <x:v>CLOSED</x:v>
      </x:c>
      <x:c r="C112" s="180" t="str">
        <x:v>CURRENT EVIDENCE REVIEWED</x:v>
      </x:c>
      <x:c r="D112" s="180" t="str">
        <x:v>CLOSED BY ORIGINAL SCOPE</x:v>
      </x:c>
      <x:c r="E11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2" s="180" t="str"/>
      <x:c r="G112" s="180" t="str">
        <x:v>iterations/I06_harness_handoff/CANDIDATE_MANIFEST.json
analyses/can_branch/FINAL_CAN_SOURCE_BINDING.json
interfaces/asc_profile/ASC_PROFILE_REVIEW.json</x:v>
      </x:c>
    </x:row>
    <x:row r="113" ht="75" customHeight="1">
      <x:c r="A113" s="219" t="str">
        <x:v>CAN-05</x:v>
      </x:c>
      <x:c r="B113" s="219" t="str">
        <x:v>OPEN</x:v>
      </x:c>
      <x:c r="C113" s="219" t="str">
        <x:v>HARDWARE OR INSTALLATION ACCEPTANCE</x:v>
      </x:c>
      <x:c r="D113" s="219" t="str">
        <x:v>CURRENT SOURCE OR MODEL WITH REMAINING CONDITIONS</x:v>
      </x:c>
      <x:c r="E11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3" s="219" t="str">
        <x:v>unpowered assembled resistance remains.</x:v>
      </x:c>
      <x:c r="G113" s="219" t="str">
        <x:v>interfaces/HARNESS_INTERFACE_CONTRACT.json
interfaces/HARNESS_CHECKS.json
analyses/harness_wire/HARNESS_WIRE_DELTA.json
analyses/can_branch/FINAL_CAN_SOURCE_BINDING.json
interfaces/asc_profile/ASC_PROFILE_REVIEW.json</x:v>
      </x:c>
    </x:row>
    <x:row r="114" ht="75" customHeight="1">
      <x:c r="A114" s="180" t="str">
        <x:v>CAN-06</x:v>
      </x:c>
      <x:c r="B114" s="180" t="str">
        <x:v>OPEN</x:v>
      </x:c>
      <x:c r="C114" s="180" t="str">
        <x:v>COMPLETED CONDITIONAL MODEL</x:v>
      </x:c>
      <x:c r="D114" s="180" t="str">
        <x:v>CURRENT SOURCE OR MODEL WITH REMAINING CONDITIONS</x:v>
      </x:c>
      <x:c r="E11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4" s="180" t="str">
        <x:v>actual installed bus edge/phase applicability remains conditional.</x:v>
      </x:c>
      <x:c r="G114" s="180" t="str">
        <x:v>analyses/can_branch/COMPLETE_CAN_BRANCH_RESULTS.json
analyses/can_branch/FINAL_CAN_SOURCE_BINDING.json
analyses/can_branch/CAN22-02_NUMERICAL_CHECKS.json
interfaces/asc_profile/ASC_PROFILE_REVIEW.json</x:v>
      </x:c>
    </x:row>
    <x:row r="115" ht="75" customHeight="1">
      <x:c r="A115" s="219" t="str">
        <x:v>CAN-07</x:v>
      </x:c>
      <x:c r="B115" s="219" t="str">
        <x:v>OPEN</x:v>
      </x:c>
      <x:c r="C115" s="219" t="str">
        <x:v>HARDWARE OR INSTALLATION ACCEPTANCE</x:v>
      </x:c>
      <x:c r="D115" s="219" t="str">
        <x:v>CURRENT SOURCE OR MODEL WITH REMAINING CONDITIONS</x:v>
      </x:c>
      <x:c r="E11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5" s="219" t="str">
        <x:v>differential/common-mode measurements and undocumented clamp behavior remain.</x:v>
      </x:c>
      <x:c r="G115" s="219" t="str">
        <x:v>analyses/can_branch/COMPLETE_CAN_BRANCH_RESULTS.json
analyses/can_branch/FINAL_CAN_SOURCE_BINDING.json
analyses/can_branch/CAN22-02_NUMERICAL_CHECKS.json
interfaces/asc_profile/ASC_PROFILE_REVIEW.json</x:v>
      </x:c>
    </x:row>
    <x:row r="116" ht="75" customHeight="1">
      <x:c r="A116" s="180" t="str">
        <x:v>CAN-08</x:v>
      </x:c>
      <x:c r="B116" s="180" t="str">
        <x:v>OPEN</x:v>
      </x:c>
      <x:c r="C116" s="180" t="str">
        <x:v>HARDWARE OR INSTALLATION ACCEPTANCE</x:v>
      </x:c>
      <x:c r="D116" s="180" t="str">
        <x:v>CURRENT SOURCE OR MODEL WITH REMAINING CONDITIONS</x:v>
      </x:c>
      <x:c r="E1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6" s="180" t="str">
        <x:v>controlled fixture fault tests remain.</x:v>
      </x:c>
      <x:c r="G116" s="180" t="str">
        <x:v>lanes/emc/EMC_DESKTOP_REPORT.md
lanes/emc/REDLINE_DISPOSITIONS.json
lanes/emc/EMC_NUMERICAL_VERIFICATION.json
analyses/can_branch/FINAL_CAN_SOURCE_BINDING.json
interfaces/asc_profile/ASC_PROFILE_REVIEW.json</x:v>
      </x:c>
    </x:row>
    <x:row r="117" ht="36" customHeight="1">
      <x:c r="A117" s="219" t="str">
        <x:v>CAN-09</x:v>
      </x:c>
      <x:c r="B117" s="219" t="str">
        <x:v>N/A</x:v>
      </x:c>
      <x:c r="C117" s="219" t="str">
        <x:v>NOT APPLICABLE</x:v>
      </x:c>
      <x:c r="D117" s="219" t="str">
        <x:v>NOT APPLICABLE</x:v>
      </x:c>
      <x:c r="E117" s="219" t="str">
        <x:v>NoCANcommonmodechoke fitted; avoid unjustified choke parasitics while retaining entryESD. EMCneed may require later validated change.</x:v>
      </x:c>
      <x:c r="F117" s="219" t="str">
        <x:v>Not applicable under preserved original review scope.</x:v>
      </x:c>
      <x:c r="G117" s="219" t="str">
        <x:v>analyses/can_branch/FINAL_CAN_SOURCE_BINDING.json
interfaces/asc_profile/ASC_PROFILE_REVIEW.json</x:v>
      </x:c>
    </x:row>
    <x:row r="118" ht="75" customHeight="1">
      <x:c r="A118" s="180" t="str">
        <x:v>CAN-10</x:v>
      </x:c>
      <x:c r="B118" s="180" t="str">
        <x:v>OPEN</x:v>
      </x:c>
      <x:c r="C118" s="180" t="str">
        <x:v>HARDWARE OR INSTALLATION ACCEPTANCE</x:v>
      </x:c>
      <x:c r="D118" s="180" t="str">
        <x:v>CURRENT SOURCE OR MODEL WITH REMAINING CONDITIONS</x:v>
      </x:c>
      <x:c r="E11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18" s="180" t="str">
        <x:v>corresponding actual bus waveforms remain.</x:v>
      </x:c>
      <x:c r="G118" s="180" t="str">
        <x:v>lanes/firmware_oil/RECOVERED_RELEASE_CHECKS.json
lanes/firmware_oil/RECOVERED_FIRMWARE_TEST_RESULTS.json
analyses/can_branch/FINAL_CAN_SOURCE_BINDING.json
interfaces/asc_profile/ASC_PROFILE_REVIEW.json</x:v>
      </x:c>
    </x:row>
    <x:row r="119" ht="88" customHeight="1">
      <x:c r="A119" s="219" t="str">
        <x:v>CAN-11</x:v>
      </x:c>
      <x:c r="B119" s="219" t="str">
        <x:v>CLOSED</x:v>
      </x:c>
      <x:c r="C119" s="219" t="str">
        <x:v>CURRENT EVIDENCE REVIEWED</x:v>
      </x:c>
      <x:c r="D119" s="219" t="str">
        <x:v>CLOSED BY ORIGINAL SCOPE</x:v>
      </x:c>
      <x:c r="E11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19" s="219" t="str"/>
      <x:c r="G119" s="219" t="str">
        <x:v>control/RVB22_BRING_UP_AND_MEASUREMENT_CONTRACT.md
control/BRINGUP_SCHEMATIC_TEXT_DELTA.json
control/BRINGUP_ACTUAL_NODE_INDEX.json
control/FINAL_I04_BRINGUP_BINDING.json
analyses/can_branch/FINAL_CAN_SOURCE_BINDING.json
interfaces/asc_profile/ASC_PROFILE_REVIEW.json</x:v>
      </x:c>
    </x:row>
    <x:row r="120" ht="75" customHeight="1">
      <x:c r="A120" s="180" t="str">
        <x:v>CAN-12</x:v>
      </x:c>
      <x:c r="B120" s="180" t="str">
        <x:v>OPEN</x:v>
      </x:c>
      <x:c r="C120" s="180" t="str">
        <x:v>HARDWARE OR INSTALLATION ACCEPTANCE</x:v>
      </x:c>
      <x:c r="D120" s="180" t="str">
        <x:v>CURRENT SOURCE OR MODEL WITH REMAINING CONDITIONS</x:v>
      </x:c>
      <x:c r="E1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0" s="180" t="str">
        <x:v>independent analyzer end-to-end counts under real bus bursts remain.</x:v>
      </x:c>
      <x:c r="G120" s="180" t="str">
        <x:v>lanes/firmware_oil/RECOVERED_RELEASE_CHECKS.json
lanes/firmware_oil/RECOVERED_FIRMWARE_TEST_RESULTS.json
analyses/can_branch/FINAL_CAN_SOURCE_BINDING.json
interfaces/asc_profile/ASC_PROFILE_REVIEW.json</x:v>
      </x:c>
    </x:row>
    <x:row r="121" ht="75" customHeight="1">
      <x:c r="A121" s="219" t="str">
        <x:v>CAN-13</x:v>
      </x:c>
      <x:c r="B121" s="219" t="str">
        <x:v>OPEN</x:v>
      </x:c>
      <x:c r="C121" s="219" t="str">
        <x:v>HARDWARE OR INSTALLATION ACCEPTANCE</x:v>
      </x:c>
      <x:c r="D121" s="219" t="str">
        <x:v>CURRENT SOURCE OR MODEL WITH REMAINING CONDITIONS</x:v>
      </x:c>
      <x:c r="E12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1" s="219" t="str">
        <x:v>actual vehicle/profile semantics and observations remain.</x:v>
      </x:c>
      <x:c r="G121" s="219" t="str">
        <x:v>interfaces/asc_profile/ASC_PROFILE_REVIEW.json
interfaces/asc_profile/PRIMARY_SOURCE_MANIFEST.json
analyses/can_branch/FINAL_CAN_SOURCE_BINDING.json</x:v>
      </x:c>
    </x:row>
    <x:row r="122" ht="75" customHeight="1">
      <x:c r="A122" s="180" t="str">
        <x:v>CAN-14</x:v>
      </x:c>
      <x:c r="B122" s="180" t="str">
        <x:v>CLOSED</x:v>
      </x:c>
      <x:c r="C122" s="180" t="str">
        <x:v>CURRENT EVIDENCE REVIEWED</x:v>
      </x:c>
      <x:c r="D122" s="180" t="str">
        <x:v>CLOSED BY ORIGINAL SCOPE</x:v>
      </x:c>
      <x:c r="E12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2" s="180" t="str"/>
      <x:c r="G122" s="180" t="str">
        <x:v>lanes/firmware_oil/RECOVERED_RELEASE_CHECKS.json
lanes/firmware_oil/RECOVERED_FIRMWARE_TEST_RESULTS.json
lanes/firmware_oil/FINAL_I04_OIL_FIRMWARE_EFFECTIVITY.json
analyses/can_branch/FINAL_CAN_SOURCE_BINDING.json
interfaces/asc_profile/ASC_PROFILE_REVIEW.json</x:v>
      </x:c>
    </x:row>
    <x:row r="123" ht="127" customHeight="1">
      <x:c r="A123" s="219" t="str">
        <x:v>ADC-01</x:v>
      </x:c>
      <x:c r="B123" s="219" t="str">
        <x:v>CLOSED</x:v>
      </x:c>
      <x:c r="C123" s="219" t="str">
        <x:v>CURRENT EVIDENCE REVIEWED</x:v>
      </x:c>
      <x:c r="D123" s="219" t="str">
        <x:v>CLOSED BY ORIGINAL SCOPE</x:v>
      </x:c>
      <x:c r="E12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3" s="219" t="str"/>
      <x:c r="G123"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lanes/firmware_oil/FINAL_I04_OIL_FIRMWARE_EFFECTIVITY.json
current/SOURCE_EFFECTIVITY.json</x:v>
      </x:c>
    </x:row>
    <x:row r="124" ht="88" customHeight="1">
      <x:c r="A124" s="180" t="str">
        <x:v>ADC-02</x:v>
      </x:c>
      <x:c r="B124" s="180" t="str">
        <x:v>CLOSED</x:v>
      </x:c>
      <x:c r="C124" s="180" t="str">
        <x:v>CURRENT EVIDENCE REVIEWED</x:v>
      </x:c>
      <x:c r="D124" s="180" t="str">
        <x:v>CLOSED BY ORIGINAL SCOPE</x:v>
      </x:c>
      <x:c r="E12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4" s="180" t="str"/>
      <x:c r="G124"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row>
    <x:row r="125" ht="88" customHeight="1">
      <x:c r="A125" s="219" t="str">
        <x:v>ADC-03</x:v>
      </x:c>
      <x:c r="B125" s="219" t="str">
        <x:v>CLOSED</x:v>
      </x:c>
      <x:c r="C125" s="219" t="str">
        <x:v>CURRENT EVIDENCE REVIEWED</x:v>
      </x:c>
      <x:c r="D125" s="219" t="str">
        <x:v>CLOSED BY ORIGINAL SCOPE</x:v>
      </x:c>
      <x:c r="E12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5" s="219" t="str"/>
      <x:c r="G125" s="219"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row>
    <x:row r="126" ht="88" customHeight="1">
      <x:c r="A126" s="180" t="str">
        <x:v>ADC-04</x:v>
      </x:c>
      <x:c r="B126" s="180" t="str">
        <x:v>CLOSED</x:v>
      </x:c>
      <x:c r="C126" s="180" t="str">
        <x:v>CURRENT EVIDENCE REVIEWED</x:v>
      </x:c>
      <x:c r="D126" s="180" t="str">
        <x:v>CLOSED BY ORIGINAL SCOPE</x:v>
      </x:c>
      <x:c r="E12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6" s="180" t="str"/>
      <x:c r="G126"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row>
    <x:row r="127" ht="75" customHeight="1">
      <x:c r="A127" s="219" t="str">
        <x:v>ADC-05</x:v>
      </x:c>
      <x:c r="B127" s="219" t="str">
        <x:v>OPEN</x:v>
      </x:c>
      <x:c r="C127" s="219" t="str">
        <x:v>HARDWARE OR INSTALLATION ACCEPTANCE</x:v>
      </x:c>
      <x:c r="D127" s="219" t="str">
        <x:v>CURRENT SOURCE OR MODEL WITH REMAINING CONDITIONS</x:v>
      </x:c>
      <x:c r="E12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7" s="219" t="str">
        <x:v>actual target ADC tracking interval and step tests remain.</x:v>
      </x:c>
      <x:c r="G127" s="219" t="str">
        <x:v>lanes/firmware_oil/RECOVERED_FIRMWARE_TEST_RESULTS.json
lanes/firmware_oil/RECOVERY_CALIBRATION_GAIN_REDLINE.json
interfaces/OIL_HARNESS_ERROR_SWEEP.json
lanes/firmware_oil/FINAL_I04_OIL_FIRMWARE_EFFECTIVITY.json
current/SOURCE_EFFECTIVITY.json</x:v>
      </x:c>
    </x:row>
    <x:row r="128" ht="88" customHeight="1">
      <x:c r="A128" s="180" t="str">
        <x:v>ADC-06</x:v>
      </x:c>
      <x:c r="B128" s="180" t="str">
        <x:v>CLOSED</x:v>
      </x:c>
      <x:c r="C128" s="180" t="str">
        <x:v>CURRENT EVIDENCE REVIEWED</x:v>
      </x:c>
      <x:c r="D128" s="180" t="str">
        <x:v>CLOSED BY ORIGINAL SCOPE</x:v>
      </x:c>
      <x:c r="E12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28" s="180" t="str"/>
      <x:c r="G128" s="180" t="str">
        <x:v>lanes/firmware_oil/RECOVERY_CALIBRATION_GAIN_REDLINE.json
lanes/firmware_oil/RECOVERED_FIRMWARE_TEST_RESULTS.json
interfaces/OIL_HARNESS_ERROR_SWEEP.json
lanes/firmware_oil/FINAL_I04_OIL_FIRMWARE_EFFECTIVITY.json
lanes/oil_cap/FINAL_C532_SUBGRAPH_BINDING.json
current/SOURCE_EFFECTIVITY.json</x:v>
      </x:c>
    </x:row>
    <x:row r="129" ht="75" customHeight="1">
      <x:c r="A129" s="219" t="str">
        <x:v>ADC-07</x:v>
      </x:c>
      <x:c r="B129" s="219" t="str">
        <x:v>OPEN</x:v>
      </x:c>
      <x:c r="C129" s="219" t="str">
        <x:v>COMPLETED CONDITIONAL MODEL</x:v>
      </x:c>
      <x:c r="D129" s="219" t="str">
        <x:v>CURRENT SOURCE OR MODEL WITH REMAINING CONDITIONS</x:v>
      </x:c>
      <x:c r="E12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29" s="219" t="str">
        <x:v>installed interference spectrum is still an explicit input.</x:v>
      </x:c>
      <x:c r="G129" s="219" t="str">
        <x:v>lanes/firmware_oil/RECOVERED_FIRMWARE_TEST_RESULTS.json
lanes/firmware_oil/RECOVERY_CALIBRATION_GAIN_REDLINE.json
interfaces/OIL_HARNESS_ERROR_SWEEP.json
lanes/firmware_oil/FINAL_I04_OIL_FIRMWARE_EFFECTIVITY.json
current/SOURCE_EFFECTIVITY.json</x:v>
      </x:c>
    </x:row>
    <x:row r="130" ht="75" customHeight="1">
      <x:c r="A130" s="180" t="str">
        <x:v>ADC-08</x:v>
      </x:c>
      <x:c r="B130" s="180" t="str">
        <x:v>OPEN</x:v>
      </x:c>
      <x:c r="C130" s="180" t="str">
        <x:v>HARDWARE OR INSTALLATION ACCEPTANCE</x:v>
      </x:c>
      <x:c r="D130" s="180" t="str">
        <x:v>CURRENT SOURCE OR MODEL WITH REMAINING CONDITIONS</x:v>
      </x:c>
      <x:c r="E13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0" s="180" t="str">
        <x:v>physical sensor/frontend/target pulse response remains.</x:v>
      </x:c>
      <x:c r="G130" s="180" t="str">
        <x:v>lanes/firmware_oil/RECOVERED_FIRMWARE_TEST_RESULTS.json
lanes/firmware_oil/RECOVERY_CALIBRATION_GAIN_REDLINE.json
interfaces/OIL_HARNESS_ERROR_SWEEP.json
lanes/firmware_oil/FINAL_I04_OIL_FIRMWARE_EFFECTIVITY.json
current/SOURCE_EFFECTIVITY.json</x:v>
      </x:c>
    </x:row>
    <x:row r="131" ht="75" customHeight="1">
      <x:c r="A131" s="219" t="str">
        <x:v>ADC-09</x:v>
      </x:c>
      <x:c r="B131" s="219" t="str">
        <x:v>OPEN</x:v>
      </x:c>
      <x:c r="C131" s="219" t="str">
        <x:v>COMPLETED CONDITIONAL MODEL</x:v>
      </x:c>
      <x:c r="D131" s="219" t="str">
        <x:v>CURRENT SOURCE OR MODEL WITH REMAINING CONDITIONS</x:v>
      </x:c>
      <x:c r="E13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1" s="219" t="str">
        <x:v>undocumented silicon trigger/off-state behavior remains conditional.</x:v>
      </x:c>
      <x:c r="G131" s="219" t="str">
        <x:v>lanes/firmware_oil/RECOVERED_FIRMWARE_TEST_RESULTS.json
lanes/firmware_oil/RECOVERY_CALIBRATION_GAIN_REDLINE.json
interfaces/OIL_HARNESS_ERROR_SWEEP.json
lanes/firmware_oil/FINAL_I04_OIL_FIRMWARE_EFFECTIVITY.json
current/SOURCE_EFFECTIVITY.json</x:v>
      </x:c>
    </x:row>
    <x:row r="132" ht="75" customHeight="1">
      <x:c r="A132" s="180" t="str">
        <x:v>ADC-10</x:v>
      </x:c>
      <x:c r="B132" s="180" t="str">
        <x:v>OPEN</x:v>
      </x:c>
      <x:c r="C132" s="180" t="str">
        <x:v>HARDWARE OR INSTALLATION ACCEPTANCE</x:v>
      </x:c>
      <x:c r="D132" s="180" t="str">
        <x:v>CURRENT SOURCE OR MODEL WITH REMAINING CONDITIONS</x:v>
      </x:c>
      <x:c r="E13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2" s="180" t="str">
        <x:v>per-unit calibration residuals remain measured evidence.</x:v>
      </x:c>
      <x:c r="G132" s="180" t="str">
        <x:v>lanes/firmware_oil/RECOVERED_FIRMWARE_TEST_RESULTS.json
lanes/firmware_oil/RECOVERY_CALIBRATION_GAIN_REDLINE.json
interfaces/OIL_HARNESS_ERROR_SWEEP.json
lanes/firmware_oil/FINAL_I04_OIL_FIRMWARE_EFFECTIVITY.json
current/SOURCE_EFFECTIVITY.json</x:v>
      </x:c>
    </x:row>
    <x:row r="133" ht="75" customHeight="1">
      <x:c r="A133" s="219" t="str">
        <x:v>ADC-11</x:v>
      </x:c>
      <x:c r="B133" s="219" t="str">
        <x:v>CLOSED</x:v>
      </x:c>
      <x:c r="C133" s="219" t="str">
        <x:v>COMPLETED SOURCE DOCUMENTARY SCOPE</x:v>
      </x:c>
      <x:c r="D133" s="219" t="str">
        <x:v>CLOSED BY ORIGINAL SCOPE</x:v>
      </x:c>
      <x:c r="E13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33" s="219" t="str">
        <x:v>Current source/evidence binding completed. The original documentary or calculation scope is satisfied; applicability and external acceptance conditions remain in the linked evidence and related open criteria.</x:v>
      </x:c>
      <x:c r="G133" s="219" t="str">
        <x:v>lanes/firmware_oil/RECOVERED_RELEASE_CHECKS.json
lanes/firmware_oil/RECOVERED_FIRMWARE_TEST_RESULTS.json
lanes/firmware_oil/FINAL_I04_OIL_FIRMWARE_EFFECTIVITY.json
current/SOURCE_EFFECTIVITY.json</x:v>
      </x:c>
    </x:row>
    <x:row r="134" ht="75" customHeight="1">
      <x:c r="A134" s="180" t="str">
        <x:v>ADC-12</x:v>
      </x:c>
      <x:c r="B134" s="180" t="str">
        <x:v>OPEN</x:v>
      </x:c>
      <x:c r="C134" s="180" t="str">
        <x:v>HARDWARE OR INSTALLATION ACCEPTANCE</x:v>
      </x:c>
      <x:c r="D134" s="180" t="str">
        <x:v>CURRENT SOURCE OR MODEL WITH REMAINING CONDITIONS</x:v>
      </x:c>
      <x:c r="E13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4" s="180" t="str">
        <x:v>correlated raw-code/noise tests remain physical.</x:v>
      </x:c>
      <x:c r="G134" s="180" t="str">
        <x:v>lanes/emc/EMC_DESKTOP_REPORT.md
lanes/emc/REDLINE_DISPOSITIONS.json
lanes/emc/EMC_NUMERICAL_VERIFICATION.json
lanes/firmware_oil/FINAL_I04_OIL_FIRMWARE_EFFECTIVITY.json
current/SOURCE_EFFECTIVITY.json</x:v>
      </x:c>
    </x:row>
    <x:row r="135" ht="75" customHeight="1">
      <x:c r="A135" s="219" t="str">
        <x:v>ADC-13</x:v>
      </x:c>
      <x:c r="B135" s="219" t="str">
        <x:v>OPEN</x:v>
      </x:c>
      <x:c r="C135" s="219" t="str">
        <x:v>HARDWARE OR INSTALLATION ACCEPTANCE</x:v>
      </x:c>
      <x:c r="D135" s="219" t="str">
        <x:v>CURRENT SOURCE OR MODEL WITH REMAINING CONDITIONS</x:v>
      </x:c>
      <x:c r="E13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5" s="219" t="str">
        <x:v>per-unit reference instruments and calibration records remain.</x:v>
      </x:c>
      <x:c r="G135" s="219" t="str">
        <x:v>lanes/firmware_oil/RECOVERED_RELEASE_CHECKS.json
lanes/firmware_oil/RECOVERED_FIRMWARE_TEST_RESULTS.json
lanes/firmware_oil/FINAL_I04_OIL_FIRMWARE_EFFECTIVITY.json
current/SOURCE_EFFECTIVITY.json</x:v>
      </x:c>
    </x:row>
    <x:row r="136" ht="75" customHeight="1">
      <x:c r="A136" s="180" t="str">
        <x:v>ADC-14</x:v>
      </x:c>
      <x:c r="B136" s="180" t="str">
        <x:v>OPEN</x:v>
      </x:c>
      <x:c r="C136" s="180" t="str">
        <x:v>HARDWARE OR INSTALLATION ACCEPTANCE</x:v>
      </x:c>
      <x:c r="D136" s="180" t="str">
        <x:v>CURRENT SOURCE OR MODEL WITH REMAINING CONDITIONS</x:v>
      </x:c>
      <x:c r="E13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36" s="180" t="str">
        <x:v>actual rising/falling measurements remain.</x:v>
      </x:c>
      <x:c r="G136" s="180" t="str">
        <x:v>control/FINAL_I04_BRINGUP_BINDING.json
control/RVB22_BRING_UP_AND_MEASUREMENT_CONTRACT.md
control/BRINGUP_ACTUAL_NODE_INDEX.json
lanes/firmware_oil/FINAL_I04_OIL_FIRMWARE_EFFECTIVITY.json
current/SOURCE_EFFECTIVITY.json</x:v>
      </x:c>
    </x:row>
    <x:row r="137" ht="101" customHeight="1">
      <x:c r="A137" s="219" t="str">
        <x:v>GPS-01</x:v>
      </x:c>
      <x:c r="B137" s="219" t="str">
        <x:v>OPEN</x:v>
      </x:c>
      <x:c r="C137" s="219" t="str">
        <x:v>CURRENT EVIDENCE REVIEWED</x:v>
      </x:c>
      <x:c r="D137" s="219" t="str">
        <x:v>OPEN ORIGINAL ACCEPTANCE</x:v>
      </x:c>
      <x:c r="E137" s="219" t="str">
        <x:v>Current PA1616D footprint, expanded netlist, placement and conservative body envelope are consistent. The requested independent exact top-view pad-number drawing reconciliation remains a distinct check.</x:v>
      </x:c>
      <x:c r="F137" s="219" t="str">
        <x:v>Complete and retain the manufacturer drawing-to-native-pad overlay for PA1616D.</x:v>
      </x:c>
      <x:c r="G137" s="219" t="str">
        <x:v>runtime/run_native_candidate.py
runtime/final_I06_actual_preflight/RESULT.json
runtime/NATIVE_NEGATIVE_CONTROL_RECHECK.json
iterations/I06_harness_handoff/CANDIDATE_MANIFEST.json
analyses/rf_i18/EXTENDED_NETWORK_RESULTS.json
analyses/mated_i18/RESULTS.json
iterations/I20_controlled_handoff/NATIVE_BINDING.json</x:v>
      </x:c>
    </x:row>
    <x:row r="138" ht="88" customHeight="1">
      <x:c r="A138" s="180" t="str">
        <x:v>GPS-02</x:v>
      </x:c>
      <x:c r="B138" s="180" t="str">
        <x:v>CLOSED</x:v>
      </x:c>
      <x:c r="C138" s="180" t="str">
        <x:v>CURRENT EVIDENCE REVIEWED</x:v>
      </x:c>
      <x:c r="D138" s="180" t="str">
        <x:v>CLOSED BY ORIGINAL SCOPE</x:v>
      </x:c>
      <x:c r="E138" s="180"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x:v>
      </x:c>
      <x:c r="F138" s="180" t="str"/>
      <x:c r="G138" s="180" t="str">
        <x:v>lanes/firmware_oil/RECOVERED_RELEASE_CHECKS.json
lanes/firmware_oil/RECOVERED_FIRMWARE_TEST_RESULTS.json
lanes/firmware_oil/FINAL_I04_OIL_FIRMWARE_EFFECTIVITY.json
analyses/rf_i18/EXTENDED_NETWORK_RESULTS.json
analyses/mated_i18/RESULTS.json
iterations/I20_controlled_handoff/NATIVE_BINDING.json</x:v>
      </x:c>
    </x:row>
    <x:row r="139" ht="88" customHeight="1">
      <x:c r="A139" s="219" t="str">
        <x:v>GPS-03</x:v>
      </x:c>
      <x:c r="B139" s="219" t="str">
        <x:v>CLOSED</x:v>
      </x:c>
      <x:c r="C139" s="219" t="str">
        <x:v>CURRENT EVIDENCE REVIEWED</x:v>
      </x:c>
      <x:c r="D139" s="219" t="str">
        <x:v>CLOSED BY ORIGINAL SCOPE</x:v>
      </x:c>
      <x:c r="E139" s="219"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x:v>
      </x:c>
      <x:c r="F139" s="219" t="str"/>
      <x:c r="G139" s="219" t="str">
        <x:v>iterations/I06_harness_handoff/CANDIDATE_MANIFEST.json
analyses/rf_i18/EXTENDED_NETWORK_RESULTS.json
analyses/mated_i18/RESULTS.json
iterations/I20_controlled_handoff/NATIVE_BINDING.json</x:v>
      </x:c>
    </x:row>
    <x:row r="140" ht="88" customHeight="1">
      <x:c r="A140" s="180" t="str">
        <x:v>GPS-04</x:v>
      </x:c>
      <x:c r="B140" s="180" t="str">
        <x:v>OPEN</x:v>
      </x:c>
      <x:c r="C140" s="180" t="str">
        <x:v>HARDWARE OR INSTALLATION ACCEPTANCE</x:v>
      </x:c>
      <x:c r="D140" s="180" t="str">
        <x:v>CURRENT SOURCE OR MODEL WITH REMAINING CONDITIONS</x:v>
      </x:c>
      <x:c r="E140" s="180"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0" s="180" t="str">
        <x:v>actual cold/warm start and persistence logs remain.</x:v>
      </x:c>
      <x:c r="G140" s="180" t="str">
        <x:v>lanes/firmware_oil/RECOVERED_RELEASE_CHECKS.json
lanes/firmware_oil/RECOVERED_FIRMWARE_TEST_RESULTS.json
analyses/rf_i18/EXTENDED_NETWORK_RESULTS.json
analyses/mated_i18/RESULTS.json
iterations/I20_controlled_handoff/NATIVE_BINDING.json</x:v>
      </x:c>
    </x:row>
    <x:row r="141" ht="88" customHeight="1">
      <x:c r="A141" s="219" t="str">
        <x:v>GPS-05</x:v>
      </x:c>
      <x:c r="B141" s="219" t="str">
        <x:v>OPEN</x:v>
      </x:c>
      <x:c r="C141" s="219" t="str">
        <x:v>HARDWARE OR INSTALLATION ACCEPTANCE</x:v>
      </x:c>
      <x:c r="D141" s="219" t="str">
        <x:v>CURRENT SOURCE OR MODEL WITH REMAINING CONDITIONS</x:v>
      </x:c>
      <x:c r="E141" s="219"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1" s="219" t="str">
        <x:v>actual maximum module burst measurement remains.</x:v>
      </x:c>
      <x:c r="G141" s="219" t="str">
        <x:v>lanes/firmware_oil/RECOVERED_RELEASE_CHECKS.json
lanes/firmware_oil/RECOVERED_FIRMWARE_TEST_RESULTS.json
analyses/rf_i18/EXTENDED_NETWORK_RESULTS.json
analyses/mated_i18/RESULTS.json
iterations/I20_controlled_handoff/NATIVE_BINDING.json</x:v>
      </x:c>
    </x:row>
    <x:row r="142" ht="88" customHeight="1">
      <x:c r="A142" s="180" t="str">
        <x:v>GPS-06</x:v>
      </x:c>
      <x:c r="B142" s="180" t="str">
        <x:v>OPEN</x:v>
      </x:c>
      <x:c r="C142" s="180" t="str">
        <x:v>HARDWARE OR INSTALLATION ACCEPTANCE</x:v>
      </x:c>
      <x:c r="D142" s="180" t="str">
        <x:v>CURRENT SOURCE OR MODEL WITH REMAINING CONDITIONS</x:v>
      </x:c>
      <x:c r="E142" s="180"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2" s="180" t="str">
        <x:v>exact module configuration responses/readback remain.</x:v>
      </x:c>
      <x:c r="G142" s="180" t="str">
        <x:v>lanes/firmware_oil/RECOVERED_RELEASE_CHECKS.json
lanes/firmware_oil/RECOVERED_FIRMWARE_TEST_RESULTS.json
analyses/rf_i18/EXTENDED_NETWORK_RESULTS.json
analyses/mated_i18/RESULTS.json
iterations/I20_controlled_handoff/NATIVE_BINDING.json</x:v>
      </x:c>
    </x:row>
    <x:row r="143" ht="88" customHeight="1">
      <x:c r="A143" s="219" t="str">
        <x:v>GPS-07</x:v>
      </x:c>
      <x:c r="B143" s="219" t="str">
        <x:v>OPEN</x:v>
      </x:c>
      <x:c r="C143" s="219" t="str">
        <x:v>HARDWARE OR INSTALLATION ACCEPTANCE</x:v>
      </x:c>
      <x:c r="D143" s="219" t="str">
        <x:v>CURRENT SOURCE OR MODEL WITH REMAINING CONDITIONS</x:v>
      </x:c>
      <x:c r="E143" s="219"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3" s="219" t="str">
        <x:v>hardware timestamp correlation remains.</x:v>
      </x:c>
      <x:c r="G143" s="219" t="str">
        <x:v>lanes/firmware_oil/RECOVERED_RELEASE_CHECKS.json
lanes/firmware_oil/RECOVERED_FIRMWARE_TEST_RESULTS.json
analyses/rf_i18/EXTENDED_NETWORK_RESULTS.json
analyses/mated_i18/RESULTS.json
iterations/I20_controlled_handoff/NATIVE_BINDING.json</x:v>
      </x:c>
    </x:row>
    <x:row r="144" ht="88" customHeight="1">
      <x:c r="A144" s="180" t="str">
        <x:v>GPS-08</x:v>
      </x:c>
      <x:c r="B144" s="180" t="str">
        <x:v>OPEN</x:v>
      </x:c>
      <x:c r="C144" s="180" t="str">
        <x:v>HARDWARE OR INSTALLATION ACCEPTANCE</x:v>
      </x:c>
      <x:c r="D144" s="180" t="str">
        <x:v>CURRENT SOURCE OR MODEL WITH REMAINING CONDITIONS</x:v>
      </x:c>
      <x:c r="E144" s="180"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4" s="180" t="str">
        <x:v>original F also requires field results.</x:v>
      </x:c>
      <x:c r="G144" s="180" t="str">
        <x:v>lanes/firmware_oil/RECOVERED_RELEASE_CHECKS.json
lanes/firmware_oil/RECOVERED_FIRMWARE_TEST_RESULTS.json
analyses/rf_i18/EXTENDED_NETWORK_RESULTS.json
analyses/mated_i18/RESULTS.json
iterations/I20_controlled_handoff/NATIVE_BINDING.json</x:v>
      </x:c>
    </x:row>
    <x:row r="145" ht="114" customHeight="1">
      <x:c r="A145" s="219" t="str">
        <x:v>GPS-09</x:v>
      </x:c>
      <x:c r="B145" s="219" t="str">
        <x:v>OPEN</x:v>
      </x:c>
      <x:c r="C145" s="219" t="str">
        <x:v>HARDWARE OR INSTALLATION ACCEPTANCE</x:v>
      </x:c>
      <x:c r="D145" s="219" t="str">
        <x:v>CURRENT SOURCE OR MODEL WITH REMAINING CONDITIONS</x:v>
      </x:c>
      <x:c r="E145" s="219"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5" s="219" t="str">
        <x:v>exact accessory identity and open/short/plug behavior remain.</x:v>
      </x:c>
      <x:c r="G145" s="219" t="str">
        <x:v>lanes/rf/RF_FINAL_REPORT.md
lanes/rf/RF_FINAL_SUMMARY.json
lanes/rf/RF_I04_ADDENDUM.md
lanes/rf/RF_I04_SUMMARY.json
lanes/emc/RF_STRIP_NETWORK.json
analyses/rf_i18/EXTENDED_NETWORK_RESULTS.json
analyses/mated_i18/RESULTS.json
iterations/I20_controlled_handoff/NATIVE_BINDING.json</x:v>
      </x:c>
    </x:row>
    <x:row r="146" ht="114" customHeight="1">
      <x:c r="A146" s="180" t="str">
        <x:v>GPS-10</x:v>
      </x:c>
      <x:c r="B146" s="180" t="str">
        <x:v>CLOSED</x:v>
      </x:c>
      <x:c r="C146" s="180" t="str">
        <x:v>COMPLETED SOURCE DOCUMENTARY SCOPE</x:v>
      </x:c>
      <x:c r="D146" s="180" t="str">
        <x:v>CLOSED BY ORIGINAL SCOPE</x:v>
      </x:c>
      <x:c r="E146" s="180"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x:v>
      </x:c>
      <x:c r="F146" s="180" t="str">
        <x:v>Current source/evidence binding completed. The original documentary or calculation scope is satisfied; applicability and external acceptance conditions remain in the linked evidence and related open criteria.</x:v>
      </x:c>
      <x:c r="G146" s="180" t="str">
        <x:v>lanes/rf/RF_FINAL_REPORT.md
lanes/rf/RF_FINAL_SUMMARY.json
lanes/rf/RF_I04_ADDENDUM.md
lanes/rf/RF_I04_SUMMARY.json
lanes/emc/RF_STRIP_NETWORK.json
analyses/rf_i18/EXTENDED_NETWORK_RESULTS.json
analyses/mated_i18/RESULTS.json
iterations/I20_controlled_handoff/NATIVE_BINDING.json</x:v>
      </x:c>
    </x:row>
    <x:row r="147" ht="127" customHeight="1">
      <x:c r="A147" s="219" t="str">
        <x:v>GPS-11</x:v>
      </x:c>
      <x:c r="B147" s="219" t="str">
        <x:v>CLOSED</x:v>
      </x:c>
      <x:c r="C147" s="219" t="str">
        <x:v>CURRENT EVIDENCE REVIEWED</x:v>
      </x:c>
      <x:c r="D147" s="219" t="str">
        <x:v>CLOSED BY ORIGINAL SCOPE</x:v>
      </x:c>
      <x:c r="E147" s="219" t="str">
        <x:v>The current board RF reference and finite network pass their declared bounds. Exact Adafruit adapter/puck PIDs, connector polarity and temperature applicability remain unconfirmed.
Original criterion disposition remains closed. The prior detailed assessment is retained in previous_I06_disposition and the historical register; current evidence and remaining conditions govern this row.</x:v>
      </x:c>
      <x:c r="F147" s="219" t="str"/>
      <x:c r="G147" s="219" t="str">
        <x:v>lanes/rf/RF_FINAL_REPORT.md
lanes/rf/RF_FINAL_SUMMARY.json
lanes/rf/RF_I04_ADDENDUM.md
lanes/rf/RF_I04_SUMMARY.json
lanes/rf/FINAL_I04_SOURCE_BINDING.json
lanes/emc/EMC_SUMMARY.json
analyses/rf_i18/EXTENDED_NETWORK_RESULTS.json
analyses/mated_i18/RESULTS.json
iterations/I20_controlled_handoff/NATIVE_BINDING.json</x:v>
      </x:c>
    </x:row>
    <x:row r="148" ht="114" customHeight="1">
      <x:c r="A148" s="180" t="str">
        <x:v>GPS-12</x:v>
      </x:c>
      <x:c r="B148" s="180" t="str">
        <x:v>OPEN</x:v>
      </x:c>
      <x:c r="C148" s="180" t="str">
        <x:v>HARDWARE OR INSTALLATION ACCEPTANCE</x:v>
      </x:c>
      <x:c r="D148" s="180" t="str">
        <x:v>CURRENT SOURCE OR MODEL WITH REMAINING CONDITIONS</x:v>
      </x:c>
      <x:c r="E148" s="180"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8" s="180" t="str">
        <x:v>representative outdoor comparison is unperformed.</x:v>
      </x:c>
      <x:c r="G148" s="180" t="str">
        <x:v>lanes/rf/RF_FINAL_REPORT.md
lanes/rf/RF_FINAL_SUMMARY.json
lanes/rf/RF_I04_ADDENDUM.md
lanes/rf/RF_I04_SUMMARY.json
lanes/emc/RF_STRIP_NETWORK.json
analyses/rf_i18/EXTENDED_NETWORK_RESULTS.json
analyses/mated_i18/RESULTS.json
iterations/I20_controlled_handoff/NATIVE_BINDING.json</x:v>
      </x:c>
    </x:row>
    <x:row r="149" ht="88" customHeight="1">
      <x:c r="A149" s="219" t="str">
        <x:v>GPS-13</x:v>
      </x:c>
      <x:c r="B149" s="219" t="str">
        <x:v>OPEN</x:v>
      </x:c>
      <x:c r="C149" s="219" t="str">
        <x:v>HARDWARE OR INSTALLATION ACCEPTANCE</x:v>
      </x:c>
      <x:c r="D149" s="219" t="str">
        <x:v>CURRENT SOURCE OR MODEL WITH REMAINING CONDITIONS</x:v>
      </x:c>
      <x:c r="E149" s="219"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49" s="219" t="str">
        <x:v>real acquisition,C/N0/fix/timing with aggressors remain.</x:v>
      </x:c>
      <x:c r="G149" s="219" t="str">
        <x:v>lanes/emc/EMC_DESKTOP_REPORT.md
lanes/emc/REDLINE_DISPOSITIONS.json
lanes/emc/EMC_NUMERICAL_VERIFICATION.json
analyses/rf_i18/EXTENDED_NETWORK_RESULTS.json
analyses/mated_i18/RESULTS.json
iterations/I20_controlled_handoff/NATIVE_BINDING.json</x:v>
      </x:c>
    </x:row>
    <x:row r="150" ht="140" customHeight="1">
      <x:c r="A150" s="180" t="str">
        <x:v>GPS-14</x:v>
      </x:c>
      <x:c r="B150" s="180" t="str">
        <x:v>OPEN</x:v>
      </x:c>
      <x:c r="C150" s="180" t="str">
        <x:v>HARDWARE OR INSTALLATION ACCEPTANCE</x:v>
      </x:c>
      <x:c r="D150" s="180" t="str">
        <x:v>CURRENT SOURCE OR MODEL WITH REMAINING CONDITIONS</x:v>
      </x:c>
      <x:c r="E150" s="180" t="str">
        <x:v>The current board RF reference and finite network pass their declared bounds. Exact Adafruit adapter/puck PIDs, connector polarity and temperature applicability remain unconfirmed.
Original criterion disposition remains open. The prior detailed assessment is retained in previous_I06_disposition and the historical register; current evidence and remaining conditions govern this row.</x:v>
      </x:c>
      <x:c r="F150" s="180" t="str">
        <x:v>actual retention/accessory identity remains.</x:v>
      </x:c>
      <x:c r="G150"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analyses/rf_i18/EXTENDED_NETWORK_RESULTS.json
analyses/mated_i18/RESULTS.json
iterations/I20_controlled_handoff/NATIVE_BINDING.json</x:v>
      </x:c>
    </x:row>
    <x:row r="151" ht="49" customHeight="1">
      <x:c r="A151" s="219" t="str">
        <x:v>BLE-01</x:v>
      </x:c>
      <x:c r="B151" s="219" t="str">
        <x:v>CLOSED</x:v>
      </x:c>
      <x:c r="C151" s="219" t="str">
        <x:v>COMPLETED CURRENT SOURCE VERIFICATION</x:v>
      </x:c>
      <x:c r="D151" s="219" t="str">
        <x:v>CLOSED BY ORIGINAL SCOPE</x:v>
      </x:c>
      <x:c r="E151" s="219" t="str">
        <x:v>The manufacturer antenna region is preserved across all copper layers and the declared assembled solids. The C206 tab and the qualified cable/metal envelopes remain outside the antenna region.</x:v>
      </x:c>
      <x:c r="F151" s="219" t="str">
        <x:v>Original documentary, design-inspection or execution scope satisfied. Related supplier and physical criteria retain their own dispositions.</x:v>
      </x:c>
      <x:c r="G151" s="219" t="str">
        <x:v>analyses/mated_i18/RESULTS.json
analyses/service_i19/RESULTS.json
current/SOURCE_EFFECTIVITY.json</x:v>
      </x:c>
    </x:row>
    <x:row r="152" ht="49" customHeight="1">
      <x:c r="A152" s="180" t="str">
        <x:v>BLE-02</x:v>
      </x:c>
      <x:c r="B152" s="180" t="str">
        <x:v>CLOSED</x:v>
      </x:c>
      <x:c r="C152" s="180" t="str">
        <x:v>COMPLETED CURRENT SOURCE VERIFICATION</x:v>
      </x:c>
      <x:c r="D152" s="180" t="str">
        <x:v>CLOSED BY ORIGINAL SCOPE</x:v>
      </x:c>
      <x:c r="E152" s="180" t="str">
        <x:v>Filled-copper inspection preserves the prohibited antenna region while retaining intended module/RF ground connections. Native parity and all 153 model placements pass.</x:v>
      </x:c>
      <x:c r="F152" s="180" t="str">
        <x:v>Original documentary, design-inspection or execution scope satisfied. Related supplier and physical criteria retain their own dispositions.</x:v>
      </x:c>
      <x:c r="G152" s="180" t="str">
        <x:v>analyses/manufacturing_i20/RESULTS.json
iterations/I20_controlled_handoff/NATIVE_BINDING.json
current/SOURCE_EFFECTIVITY.json</x:v>
      </x:c>
    </x:row>
    <x:row r="153" ht="88" customHeight="1">
      <x:c r="A153" s="219" t="str">
        <x:v>BLE-03</x:v>
      </x:c>
      <x:c r="B153" s="219" t="str">
        <x:v>OPEN</x:v>
      </x:c>
      <x:c r="C153" s="219" t="str">
        <x:v>HARDWARE OR INSTALLATION ACCEPTANCE</x:v>
      </x:c>
      <x:c r="D153" s="219" t="str">
        <x:v>CURRENT SOURCE OR MODEL WITH REMAINING CONDITIONS</x:v>
      </x:c>
      <x:c r="E15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3" s="219" t="str">
        <x:v>actual range/throughput/self-interference tests remain.</x:v>
      </x:c>
      <x:c r="G153" s="219" t="str">
        <x:v>lanes/emc/EMC_DESKTOP_REPORT.md
lanes/emc/REDLINE_DISPOSITIONS.json
lanes/emc/EMC_NUMERICAL_VERIFICATION.json
analyses/mated_i18/RESULTS.json
analyses/service_i19/RESULTS.json
analyses/manufacturing_i20/RESULTS.json</x:v>
      </x:c>
    </x:row>
    <x:row r="154" ht="75" customHeight="1">
      <x:c r="A154" s="180" t="str">
        <x:v>BLE-04</x:v>
      </x:c>
      <x:c r="B154" s="180" t="str">
        <x:v>OPEN</x:v>
      </x:c>
      <x:c r="C154" s="180" t="str">
        <x:v>COMPLETED CONDITIONAL MODEL</x:v>
      </x:c>
      <x:c r="D154" s="180" t="str">
        <x:v>CURRENT SOURCE OR MODEL WITH REMAINING CONDITIONS</x:v>
      </x:c>
      <x:c r="E15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4" s="180" t="str">
        <x:v>worst actual phone behavior cannot be bounded by host arithmetic alone.</x:v>
      </x:c>
      <x:c r="G154" s="180" t="str">
        <x:v>lanes/firmware_oil/RECOVERED_RELEASE_CHECKS.json
lanes/firmware_oil/RECOVERED_FIRMWARE_TEST_RESULTS.json
analyses/mated_i18/RESULTS.json
analyses/service_i19/RESULTS.json
analyses/manufacturing_i20/RESULTS.json</x:v>
      </x:c>
    </x:row>
    <x:row r="155" ht="75" customHeight="1">
      <x:c r="A155" s="219" t="str">
        <x:v>BLE-05</x:v>
      </x:c>
      <x:c r="B155" s="219" t="str">
        <x:v>OPEN</x:v>
      </x:c>
      <x:c r="C155" s="219" t="str">
        <x:v>HARDWARE OR INSTALLATION ACCEPTANCE</x:v>
      </x:c>
      <x:c r="D155" s="219" t="str">
        <x:v>CURRENT SOURCE OR MODEL WITH REMAINING CONDITIONS</x:v>
      </x:c>
      <x:c r="E15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5" s="219" t="str">
        <x:v>actual target BLE backpressure/congestion behavior remains.</x:v>
      </x:c>
      <x:c r="G155" s="219" t="str">
        <x:v>lanes/firmware_oil/RECOVERED_RELEASE_CHECKS.json
lanes/firmware_oil/RECOVERED_FIRMWARE_TEST_RESULTS.json
analyses/mated_i18/RESULTS.json
analyses/service_i19/RESULTS.json
analyses/manufacturing_i20/RESULTS.json</x:v>
      </x:c>
    </x:row>
    <x:row r="156" ht="75" customHeight="1">
      <x:c r="A156" s="180" t="str">
        <x:v>BLE-06</x:v>
      </x:c>
      <x:c r="B156" s="180" t="str">
        <x:v>OPEN</x:v>
      </x:c>
      <x:c r="C156" s="180" t="str">
        <x:v>HARDWARE OR INSTALLATION ACCEPTANCE</x:v>
      </x:c>
      <x:c r="D156" s="180" t="str">
        <x:v>CURRENT SOURCE OR MODEL WITH REMAINING CONDITIONS</x:v>
      </x:c>
      <x:c r="E15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6" s="180" t="str">
        <x:v>actual phone/RaceChrono version recovery matrix remains.</x:v>
      </x:c>
      <x:c r="G156" s="180" t="str">
        <x:v>lanes/firmware_oil/RECOVERED_RELEASE_CHECKS.json
lanes/firmware_oil/RECOVERED_FIRMWARE_TEST_RESULTS.json
analyses/mated_i18/RESULTS.json
analyses/service_i19/RESULTS.json
analyses/manufacturing_i20/RESULTS.json</x:v>
      </x:c>
    </x:row>
    <x:row r="157" ht="75" customHeight="1">
      <x:c r="A157" s="219" t="str">
        <x:v>BLE-07</x:v>
      </x:c>
      <x:c r="B157" s="219" t="str">
        <x:v>OPEN</x:v>
      </x:c>
      <x:c r="C157" s="219" t="str">
        <x:v>CURRENT NATIVE COMPLETE OTHER EVIDENCE REQUIRED</x:v>
      </x:c>
      <x:c r="D157" s="219" t="str">
        <x:v>CURRENT SOURCE OR MODEL WITH REMAINING CONDITIONS</x:v>
      </x:c>
      <x:c r="E15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7" s="219" t="str">
        <x:v>Native source/build gate is now complete. Remaining original evidence: Exact software baseline and reproducible connection tests; no unsupported claim of closure.</x:v>
      </x:c>
      <x:c r="G157" s="219" t="str">
        <x:v>runtime/final_I06_actual_preflight/RESULT.json
runtime/run_native_candidate.py
analyses/mated_i18/RESULTS.json
analyses/service_i19/RESULTS.json
analyses/manufacturing_i20/RESULTS.json</x:v>
      </x:c>
    </x:row>
    <x:row r="158" ht="88" customHeight="1">
      <x:c r="A158" s="180" t="str">
        <x:v>BLE-08</x:v>
      </x:c>
      <x:c r="B158" s="180" t="str">
        <x:v>OPEN</x:v>
      </x:c>
      <x:c r="C158" s="180" t="str">
        <x:v>HARDWARE OR INSTALLATION ACCEPTANCE</x:v>
      </x:c>
      <x:c r="D158" s="180" t="str">
        <x:v>CURRENT SOURCE OR MODEL WITH REMAINING CONDITIONS</x:v>
      </x:c>
      <x:c r="E15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58" s="180" t="str">
        <x:v>actual ESP advertising/streaming rail scope captures remain.</x:v>
      </x:c>
      <x:c r="G158" s="180" t="str">
        <x:v>lanes/power/FINAL_I04_POWER_EFFECTIVITY.json
lanes/power/COUPLED_STARTUP_ENVELOPE.json
lanes/power_limits/POWER_LIMITS_SUMMARY.json
analyses/mated_i18/RESULTS.json
analyses/service_i19/RESULTS.json
analyses/manufacturing_i20/RESULTS.json</x:v>
      </x:c>
    </x:row>
    <x:row r="159" ht="88" customHeight="1">
      <x:c r="A159" s="219" t="str">
        <x:v>BLE-09</x:v>
      </x:c>
      <x:c r="B159" s="219" t="str">
        <x:v>CLOSED</x:v>
      </x:c>
      <x:c r="C159" s="219" t="str">
        <x:v>CURRENT EVIDENCE REVIEWED</x:v>
      </x:c>
      <x:c r="D159" s="219" t="str">
        <x:v>CLOSED BY ORIGINAL SCOPE</x:v>
      </x:c>
      <x:c r="E15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59" s="219" t="str"/>
      <x:c r="G159" s="219" t="str">
        <x:v>lanes/firmware_oil/RECOVERED_RELEASE_CHECKS.json
lanes/firmware_oil/RECOVERED_FIRMWARE_TEST_RESULTS.json
lanes/firmware_oil/FINAL_I04_OIL_FIRMWARE_EFFECTIVITY.json
analyses/mated_i18/RESULTS.json
analyses/service_i19/RESULTS.json
analyses/manufacturing_i20/RESULTS.json</x:v>
      </x:c>
    </x:row>
    <x:row r="160" ht="75" customHeight="1">
      <x:c r="A160" s="180" t="str">
        <x:v>BLE-10</x:v>
      </x:c>
      <x:c r="B160" s="180" t="str">
        <x:v>OPEN</x:v>
      </x:c>
      <x:c r="C160" s="180" t="str">
        <x:v>SUPPLIER OR RESPONSIBLE ACCEPTANCE</x:v>
      </x:c>
      <x:c r="D160" s="180" t="str">
        <x:v>CURRENT SOURCE OR MODEL WITH REMAINING CONDITIONS</x:v>
      </x:c>
      <x:c r="E16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60" s="180" t="str">
        <x:v>market-specific qualified compliance input and approval remain.</x:v>
      </x:c>
      <x:c r="G160" s="180" t="str">
        <x:v>analyses/installation/DASHBOARD_EXPOSURE_AND_SERVICE.md
lanes/mechanics/MECHANICAL_INSTALLATION_RVB22.md
analyses/mated_i18/RESULTS.json
analyses/service_i19/RESULTS.json
analyses/manufacturing_i20/RESULTS.json</x:v>
      </x:c>
    </x:row>
    <x:row r="161" ht="88" customHeight="1">
      <x:c r="A161" s="219" t="str">
        <x:v>MCU-01</x:v>
      </x:c>
      <x:c r="B161" s="219" t="str">
        <x:v>CLOSED</x:v>
      </x:c>
      <x:c r="C161" s="219" t="str">
        <x:v>CURRENT EVIDENCE REVIEWED</x:v>
      </x:c>
      <x:c r="D161" s="219" t="str">
        <x:v>CLOSED BY ORIGINAL SCOPE</x:v>
      </x:c>
      <x:c r="E161" s="219"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1" s="219" t="str"/>
      <x:c r="G161" s="219" t="str">
        <x:v>lanes/firmware_oil/RECOVERED_RELEASE_CHECKS.json
lanes/firmware_oil/RECOVERED_FIRMWARE_TEST_RESULTS.json
lanes/firmware_oil/FINAL_I04_OIL_FIRMWARE_EFFECTIVITY.json
iterations/I20_controlled_handoff/NATIVE_BINDING.json
current/SOURCE_EFFECTIVITY.json
analyses/service_i19/RESULTS.json</x:v>
      </x:c>
    </x:row>
    <x:row r="162" ht="88" customHeight="1">
      <x:c r="A162" s="180" t="str">
        <x:v>MCU-02</x:v>
      </x:c>
      <x:c r="B162" s="180" t="str">
        <x:v>OPEN</x:v>
      </x:c>
      <x:c r="C162" s="180" t="str">
        <x:v>HARDWARE OR INSTALLATION ACCEPTANCE</x:v>
      </x:c>
      <x:c r="D162" s="180" t="str">
        <x:v>CURRENT SOURCE OR MODEL WITH REMAINING CONDITIONS</x:v>
      </x:c>
      <x:c r="E162"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2" s="180" t="str">
        <x:v>actual adapter continuity remains.</x:v>
      </x:c>
      <x:c r="G162" s="180" t="str">
        <x:v>interfaces/HARNESS_INTERFACE_CONTRACT.json
interfaces/HARNESS_CHECKS.json
analyses/harness_wire/HARNESS_WIRE_DELTA.json
iterations/I20_controlled_handoff/NATIVE_BINDING.json
current/SOURCE_EFFECTIVITY.json
analyses/service_i19/RESULTS.json</x:v>
      </x:c>
    </x:row>
    <x:row r="163" ht="101" customHeight="1">
      <x:c r="A163" s="219" t="str">
        <x:v>MCU-03</x:v>
      </x:c>
      <x:c r="B163" s="219" t="str">
        <x:v>CLOSED</x:v>
      </x:c>
      <x:c r="C163" s="219" t="str">
        <x:v>CURRENT EVIDENCE REVIEWED</x:v>
      </x:c>
      <x:c r="D163" s="219" t="str">
        <x:v>CLOSED BY ORIGINAL SCOPE</x:v>
      </x:c>
      <x:c r="E163" s="219"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3" s="219" t="str"/>
      <x:c r="G163" s="219" t="str">
        <x:v>control/RVB22_BRING_UP_AND_MEASUREMENT_CONTRACT.md
control/BRINGUP_SCHEMATIC_TEXT_DELTA.json
control/BRINGUP_ACTUAL_NODE_INDEX.json
control/FINAL_I04_BRINGUP_BINDING.json
iterations/I20_controlled_handoff/NATIVE_BINDING.json
current/SOURCE_EFFECTIVITY.json
analyses/service_i19/RESULTS.json</x:v>
      </x:c>
    </x:row>
    <x:row r="164" ht="88" customHeight="1">
      <x:c r="A164" s="180" t="str">
        <x:v>MCU-04</x:v>
      </x:c>
      <x:c r="B164" s="180" t="str">
        <x:v>OPEN</x:v>
      </x:c>
      <x:c r="C164" s="180" t="str">
        <x:v>HARDWARE OR INSTALLATION ACCEPTANCE</x:v>
      </x:c>
      <x:c r="D164" s="180" t="str">
        <x:v>CURRENT SOURCE OR MODEL WITH REMAINING CONDITIONS</x:v>
      </x:c>
      <x:c r="E164"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4" s="180" t="str">
        <x:v>repeated assembled programming demonstration remains.</x:v>
      </x:c>
      <x:c r="G164" s="180" t="str">
        <x:v>control/FINAL_I04_BRINGUP_BINDING.json
control/RVB22_BRING_UP_AND_MEASUREMENT_CONTRACT.md
control/BRINGUP_ACTUAL_NODE_INDEX.json
iterations/I20_controlled_handoff/NATIVE_BINDING.json
current/SOURCE_EFFECTIVITY.json
analyses/service_i19/RESULTS.json</x:v>
      </x:c>
    </x:row>
    <x:row r="165" ht="140" customHeight="1">
      <x:c r="A165" s="219" t="str">
        <x:v>MCU-05</x:v>
      </x:c>
      <x:c r="B165" s="219" t="str">
        <x:v>OPEN</x:v>
      </x:c>
      <x:c r="C165" s="219" t="str">
        <x:v>CURRENT NATIVE COMPLETE OTHER EVIDENCE REQUIRED</x:v>
      </x:c>
      <x:c r="D165" s="219" t="str">
        <x:v>CURRENT SOURCE OR MODEL WITH REMAINING CONDITIONS</x:v>
      </x:c>
      <x:c r="E165" s="219"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5" s="219" t="str">
        <x:v>Native source/build gate is now complete. Remaining original evidence: 3D/mechanical fit and physical access check for selected cable variant.</x:v>
      </x:c>
      <x:c r="G165"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iterations/I20_controlled_handoff/NATIVE_BINDING.json
current/SOURCE_EFFECTIVITY.json
analyses/service_i19/RESULTS.json</x:v>
      </x:c>
    </x:row>
    <x:row r="166" ht="88" customHeight="1">
      <x:c r="A166" s="180" t="str">
        <x:v>MCU-06</x:v>
      </x:c>
      <x:c r="B166" s="180" t="str">
        <x:v>CLOSED</x:v>
      </x:c>
      <x:c r="C166" s="180" t="str">
        <x:v>CURRENT EVIDENCE REVIEWED</x:v>
      </x:c>
      <x:c r="D166" s="180" t="str">
        <x:v>CLOSED BY ORIGINAL SCOPE</x:v>
      </x:c>
      <x:c r="E166" s="180" t="str">
        <x:v>The current module library, all fitted envelope models, pinned target build and declared programming probe approach are verified. Unit-level behavior remains distinct.
Original criterion disposition remains closed. The prior detailed assessment is retained in previous_I06_disposition and the historical register; current evidence and remaining conditions govern this row.</x:v>
      </x:c>
      <x:c r="F166" s="180" t="str"/>
      <x:c r="G166" s="180" t="str">
        <x:v>iterations/I06_harness_handoff/CANDIDATE_MANIFEST.json
iterations/I20_controlled_handoff/NATIVE_BINDING.json
current/SOURCE_EFFECTIVITY.json
analyses/service_i19/RESULTS.json</x:v>
      </x:c>
    </x:row>
    <x:row r="167" ht="88" customHeight="1">
      <x:c r="A167" s="219" t="str">
        <x:v>MCU-07</x:v>
      </x:c>
      <x:c r="B167" s="219" t="str">
        <x:v>OPEN</x:v>
      </x:c>
      <x:c r="C167" s="219" t="str">
        <x:v>HARDWARE OR INSTALLATION ACCEPTANCE</x:v>
      </x:c>
      <x:c r="D167" s="219" t="str">
        <x:v>CURRENT SOURCE OR MODEL WITH REMAINING CONDITIONS</x:v>
      </x:c>
      <x:c r="E167" s="219"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7" s="219" t="str">
        <x:v>target bootloader/recovery demonstration remains.</x:v>
      </x:c>
      <x:c r="G167" s="219" t="str">
        <x:v>control/FINAL_I04_BRINGUP_BINDING.json
control/RVB22_BRING_UP_AND_MEASUREMENT_CONTRACT.md
control/BRINGUP_ACTUAL_NODE_INDEX.json
iterations/I20_controlled_handoff/NATIVE_BINDING.json
current/SOURCE_EFFECTIVITY.json
analyses/service_i19/RESULTS.json</x:v>
      </x:c>
    </x:row>
    <x:row r="168" ht="62" customHeight="1">
      <x:c r="A168" s="180" t="str">
        <x:v>MCU-08</x:v>
      </x:c>
      <x:c r="B168" s="180" t="str">
        <x:v>CLOSED</x:v>
      </x:c>
      <x:c r="C168" s="180" t="str">
        <x:v>COMPLETED CURRENT SOURCE VERIFICATION</x:v>
      </x:c>
      <x:c r="D168" s="180" t="str">
        <x:v>CLOSED BY ORIGINAL SCOPE</x:v>
      </x:c>
      <x:c r="E168" s="180" t="str">
        <x:v>Current vehicle profile, no-transmit restrictions and debug defaults are bound to the reviewed host configuration checks and the pinned target image. This closes the configuration criterion, not a vehicle transmission measurement.</x:v>
      </x:c>
      <x:c r="F168" s="180" t="str">
        <x:v>Original documentary, design-inspection or execution scope satisfied. Related supplier and physical criteria retain their own dispositions.</x:v>
      </x:c>
      <x:c r="G168" s="180" t="str">
        <x:v>lanes/firmware_oil/RECOVERED_RELEASE_CHECKS.json
current/SOURCE_EFFECTIVITY.json
iterations/I20_controlled_handoff/NATIVE_BINDING.json</x:v>
      </x:c>
    </x:row>
    <x:row r="169" ht="88" customHeight="1">
      <x:c r="A169" s="219" t="str">
        <x:v>MCU-09</x:v>
      </x:c>
      <x:c r="B169" s="219" t="str">
        <x:v>OPEN</x:v>
      </x:c>
      <x:c r="C169" s="219" t="str">
        <x:v>HARDWARE OR INSTALLATION ACCEPTANCE</x:v>
      </x:c>
      <x:c r="D169" s="219" t="str">
        <x:v>CURRENT SOURCE OR MODEL WITH REMAINING CONDITIONS</x:v>
      </x:c>
      <x:c r="E169" s="219"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69" s="219" t="str">
        <x:v>actual all-device startup remains.</x:v>
      </x:c>
      <x:c r="G169" s="219" t="str">
        <x:v>lanes/firmware_oil/RECOVERED_RELEASE_CHECKS.json
lanes/firmware_oil/RECOVERED_FIRMWARE_TEST_RESULTS.json
iterations/I20_controlled_handoff/NATIVE_BINDING.json
current/SOURCE_EFFECTIVITY.json
analyses/service_i19/RESULTS.json</x:v>
      </x:c>
    </x:row>
    <x:row r="170" ht="88" customHeight="1">
      <x:c r="A170" s="180" t="str">
        <x:v>MCU-10</x:v>
      </x:c>
      <x:c r="B170" s="180" t="str">
        <x:v>OPEN</x:v>
      </x:c>
      <x:c r="C170" s="180" t="str">
        <x:v>HARDWARE OR INSTALLATION ACCEPTANCE</x:v>
      </x:c>
      <x:c r="D170" s="180" t="str">
        <x:v>CURRENT SOURCE OR MODEL WITH REMAINING CONDITIONS</x:v>
      </x:c>
      <x:c r="E170" s="180" t="str">
        <x:v>The current module library, all fitted envelope models, pinned target build and declared programming probe approach are verified. Unit-level behavior remains distinct.
Original criterion disposition remains open. The prior detailed assessment is retained in previous_I06_disposition and the historical register; current evidence and remaining conditions govern this row.</x:v>
      </x:c>
      <x:c r="F170" s="180" t="str">
        <x:v>unit behavior-to-physical-measurement correlation remains.</x:v>
      </x:c>
      <x:c r="G170" s="180" t="str">
        <x:v>lanes/firmware_oil/RECOVERED_RELEASE_CHECKS.json
lanes/firmware_oil/RECOVERED_FIRMWARE_TEST_RESULTS.json
iterations/I20_controlled_handoff/NATIVE_BINDING.json
current/SOURCE_EFFECTIVITY.json
analyses/service_i19/RESULTS.json</x:v>
      </x:c>
    </x:row>
    <x:row r="171" ht="88" customHeight="1">
      <x:c r="A171" s="219" t="str">
        <x:v>FW-01</x:v>
      </x:c>
      <x:c r="B171" s="219" t="str">
        <x:v>CLOSED</x:v>
      </x:c>
      <x:c r="C171" s="219" t="str">
        <x:v>CURRENT EVIDENCE REVIEWED</x:v>
      </x:c>
      <x:c r="D171" s="219" t="str">
        <x:v>CLOSED BY ORIGINAL SCOPE</x:v>
      </x:c>
      <x:c r="E171" s="219"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71" s="219" t="str"/>
      <x:c r="G171" s="219" t="str">
        <x:v>lanes/firmware_oil/RECOVERED_RELEASE_CHECKS.json
lanes/firmware_oil/RECOVERED_FIRMWARE_TEST_RESULTS.json
lanes/firmware_oil/FINAL_I04_OIL_FIRMWARE_EFFECTIVITY.json
iterations/I20_controlled_handoff/NATIVE_BINDING.json
current/SOURCE_EFFECTIVITY.json</x:v>
      </x:c>
    </x:row>
    <x:row r="172" ht="49" customHeight="1">
      <x:c r="A172" s="180" t="str">
        <x:v>FW-02</x:v>
      </x:c>
      <x:c r="B172" s="180" t="str">
        <x:v>CLOSED</x:v>
      </x:c>
      <x:c r="C172" s="180" t="str">
        <x:v>COMPLETED CURRENT SOURCE VERIFICATION</x:v>
      </x:c>
      <x:c r="D172" s="180" t="str">
        <x:v>CLOSED BY ORIGINAL SCOPE</x:v>
      </x:c>
      <x:c r="E172" s="180" t="str">
        <x:v>Arduino CLI 1.3.1, ESP32 core 3.3.6 and NimBLE 2.3.6 produced the archived ELF and application binary. All 32 firmware inputs and every archived output hash match.</x:v>
      </x:c>
      <x:c r="F172" s="180" t="str">
        <x:v>Original documentary, design-inspection or execution scope satisfied. Related supplier and physical criteria retain their own dispositions.</x:v>
      </x:c>
      <x:c r="G172" s="180" t="str">
        <x:v>iterations/I20_controlled_handoff/NATIVE_BINDING.json
current/I21_SOURCE_VERIFICATION.json
current/SOURCE_EFFECTIVITY.json</x:v>
      </x:c>
    </x:row>
    <x:row r="173" ht="88" customHeight="1">
      <x:c r="A173" s="219" t="str">
        <x:v>FW-03</x:v>
      </x:c>
      <x:c r="B173" s="219" t="str">
        <x:v>OPEN</x:v>
      </x:c>
      <x:c r="C173" s="219" t="str">
        <x:v>HARDWARE OR INSTALLATION ACCEPTANCE</x:v>
      </x:c>
      <x:c r="D173" s="219" t="str">
        <x:v>CURRENT SOURCE OR MODEL WITH REMAINING CONDITIONS</x:v>
      </x:c>
      <x:c r="E173" s="219"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3" s="219" t="str">
        <x:v>target driver/WCET measurements remain.</x:v>
      </x:c>
      <x:c r="G173" s="219" t="str">
        <x:v>lanes/firmware_oil/RECOVERED_RELEASE_CHECKS.json
lanes/firmware_oil/RECOVERED_FIRMWARE_TEST_RESULTS.json
iterations/I20_controlled_handoff/NATIVE_BINDING.json
current/SOURCE_EFFECTIVITY.json</x:v>
      </x:c>
    </x:row>
    <x:row r="174" ht="88" customHeight="1">
      <x:c r="A174" s="180" t="str">
        <x:v>FW-04</x:v>
      </x:c>
      <x:c r="B174" s="180" t="str">
        <x:v>OPEN</x:v>
      </x:c>
      <x:c r="C174" s="180" t="str">
        <x:v>HARDWARE OR INSTALLATION ACCEPTANCE</x:v>
      </x:c>
      <x:c r="D174" s="180" t="str">
        <x:v>CURRENT SOURCE OR MODEL WITH REMAINING CONDITIONS</x:v>
      </x:c>
      <x:c r="E174"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4" s="180" t="str">
        <x:v>target heap/driver and long-duration soak remain.</x:v>
      </x:c>
      <x:c r="G174" s="180" t="str">
        <x:v>lanes/firmware_oil/RECOVERED_RELEASE_CHECKS.json
lanes/firmware_oil/RECOVERED_FIRMWARE_TEST_RESULTS.json
iterations/I20_controlled_handoff/NATIVE_BINDING.json
current/SOURCE_EFFECTIVITY.json</x:v>
      </x:c>
    </x:row>
    <x:row r="175" ht="88" customHeight="1">
      <x:c r="A175" s="219" t="str">
        <x:v>FW-05</x:v>
      </x:c>
      <x:c r="B175" s="219" t="str">
        <x:v>CLOSED</x:v>
      </x:c>
      <x:c r="C175" s="219" t="str">
        <x:v>COMPLETED SOURCE DOCUMENTARY SCOPE</x:v>
      </x:c>
      <x:c r="D175" s="219" t="str">
        <x:v>CLOSED BY ORIGINAL SCOPE</x:v>
      </x:c>
      <x:c r="E175" s="219"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75" s="219" t="str">
        <x:v>Current source/evidence binding completed. The original documentary or calculation scope is satisfied; applicability and external acceptance conditions remain in the linked evidence and related open criteria.</x:v>
      </x:c>
      <x:c r="G175" s="219" t="str">
        <x:v>lanes/firmware_oil/RECOVERED_RELEASE_CHECKS.json
lanes/firmware_oil/RECOVERED_FIRMWARE_TEST_RESULTS.json
iterations/I20_controlled_handoff/NATIVE_BINDING.json
current/SOURCE_EFFECTIVITY.json</x:v>
      </x:c>
    </x:row>
    <x:row r="176" ht="88" customHeight="1">
      <x:c r="A176" s="180" t="str">
        <x:v>FW-06</x:v>
      </x:c>
      <x:c r="B176" s="180" t="str">
        <x:v>OPEN</x:v>
      </x:c>
      <x:c r="C176" s="180" t="str">
        <x:v>HARDWARE OR INSTALLATION ACCEPTANCE</x:v>
      </x:c>
      <x:c r="D176" s="180" t="str">
        <x:v>CURRENT SOURCE OR MODEL WITH REMAINING CONDITIONS</x:v>
      </x:c>
      <x:c r="E176"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6" s="180" t="str">
        <x:v>actual RaceChrono presentation/profile handling remains.</x:v>
      </x:c>
      <x:c r="G176" s="180" t="str">
        <x:v>lanes/firmware_oil/RECOVERED_RELEASE_CHECKS.json
lanes/firmware_oil/RECOVERED_FIRMWARE_TEST_RESULTS.json
iterations/I20_controlled_handoff/NATIVE_BINDING.json
current/SOURCE_EFFECTIVITY.json</x:v>
      </x:c>
    </x:row>
    <x:row r="177" ht="88" customHeight="1">
      <x:c r="A177" s="219" t="str">
        <x:v>FW-07</x:v>
      </x:c>
      <x:c r="B177" s="219" t="str">
        <x:v>OPEN</x:v>
      </x:c>
      <x:c r="C177" s="219" t="str">
        <x:v>HARDWARE OR INSTALLATION ACCEPTANCE</x:v>
      </x:c>
      <x:c r="D177" s="219" t="str">
        <x:v>CURRENT SOURCE OR MODEL WITH REMAINING CONDITIONS</x:v>
      </x:c>
      <x:c r="E177" s="219"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7" s="219" t="str">
        <x:v>real flash/power interruption testing remains.</x:v>
      </x:c>
      <x:c r="G177" s="219" t="str">
        <x:v>lanes/firmware_oil/RECOVERED_RELEASE_CHECKS.json
lanes/firmware_oil/RECOVERED_FIRMWARE_TEST_RESULTS.json
iterations/I20_controlled_handoff/NATIVE_BINDING.json
current/SOURCE_EFFECTIVITY.json</x:v>
      </x:c>
    </x:row>
    <x:row r="178" ht="88" customHeight="1">
      <x:c r="A178" s="180" t="str">
        <x:v>FW-08</x:v>
      </x:c>
      <x:c r="B178" s="180" t="str">
        <x:v>OPEN</x:v>
      </x:c>
      <x:c r="C178" s="180" t="str">
        <x:v>COMPLETED CONDITIONAL MODEL</x:v>
      </x:c>
      <x:c r="D178" s="180" t="str">
        <x:v>CURRENT SOURCE OR MODEL WITH REMAINING CONDITIONS</x:v>
      </x:c>
      <x:c r="E178"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8" s="180" t="str">
        <x:v>physical board revision is not automatically identified, so wrong-board image rejection is not universally guaranteed.</x:v>
      </x:c>
      <x:c r="G178" s="180" t="str">
        <x:v>lanes/firmware_oil/RECOVERED_RELEASE_CHECKS.json
lanes/firmware_oil/RECOVERED_FIRMWARE_TEST_RESULTS.json
iterations/I20_controlled_handoff/NATIVE_BINDING.json
current/SOURCE_EFFECTIVITY.json</x:v>
      </x:c>
    </x:row>
    <x:row r="179" ht="88" customHeight="1">
      <x:c r="A179" s="219" t="str">
        <x:v>FW-09</x:v>
      </x:c>
      <x:c r="B179" s="219" t="str">
        <x:v>OPEN</x:v>
      </x:c>
      <x:c r="C179" s="219" t="str">
        <x:v>HARDWARE OR INSTALLATION ACCEPTANCE</x:v>
      </x:c>
      <x:c r="D179" s="219" t="str">
        <x:v>CURRENT SOURCE OR MODEL WITH REMAINING CONDITIONS</x:v>
      </x:c>
      <x:c r="E179" s="219"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79" s="219" t="str">
        <x:v>independent live source/analyzer reconciliation remains.</x:v>
      </x:c>
      <x:c r="G179" s="219" t="str">
        <x:v>lanes/firmware_oil/RECOVERED_RELEASE_CHECKS.json
lanes/firmware_oil/RECOVERED_FIRMWARE_TEST_RESULTS.json
iterations/I20_controlled_handoff/NATIVE_BINDING.json
current/SOURCE_EFFECTIVITY.json</x:v>
      </x:c>
    </x:row>
    <x:row r="180" ht="88" customHeight="1">
      <x:c r="A180" s="180" t="str">
        <x:v>FW-10</x:v>
      </x:c>
      <x:c r="B180" s="180" t="str">
        <x:v>OPEN</x:v>
      </x:c>
      <x:c r="C180" s="180" t="str">
        <x:v>HARDWARE OR INSTALLATION ACCEPTANCE</x:v>
      </x:c>
      <x:c r="D180" s="180" t="str">
        <x:v>CURRENT SOURCE OR MODEL WITH REMAINING CONDITIONS</x:v>
      </x:c>
      <x:c r="E180" s="180"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80" s="180" t="str">
        <x:v>original F additionally requires hardware-in-loop release-configuration tests.</x:v>
      </x:c>
      <x:c r="G180" s="180" t="str">
        <x:v>lanes/firmware_oil/RECOVERED_RELEASE_CHECKS.json
lanes/firmware_oil/RECOVERED_FIRMWARE_TEST_RESULTS.json
iterations/I20_controlled_handoff/NATIVE_BINDING.json
current/SOURCE_EFFECTIVITY.json</x:v>
      </x:c>
    </x:row>
    <x:row r="181" ht="88" customHeight="1">
      <x:c r="A181" s="219" t="str">
        <x:v>FW-11</x:v>
      </x:c>
      <x:c r="B181" s="219" t="str">
        <x:v>OPEN</x:v>
      </x:c>
      <x:c r="C181" s="219" t="str">
        <x:v>HARDWARE OR INSTALLATION ACCEPTANCE</x:v>
      </x:c>
      <x:c r="D181" s="219" t="str">
        <x:v>CURRENT SOURCE OR MODEL WITH REMAINING CONDITIONS</x:v>
      </x:c>
      <x:c r="E181" s="219" t="str">
        <x:v>The exact current source has a successful pinned target build with verified ELF/BIN identity. No flash readback, phone or live-vehicle result is claimed.
Original criterion disposition remains open. The prior detailed assessment is retained in previous_I06_disposition and the historical register; current evidence and remaining conditions govern this row.</x:v>
      </x:c>
      <x:c r="F181" s="219" t="str">
        <x:v>representative hardware integration remains.</x:v>
      </x:c>
      <x:c r="G181" s="219" t="str">
        <x:v>lanes/firmware_oil/RECOVERED_RELEASE_CHECKS.json
lanes/firmware_oil/RECOVERED_FIRMWARE_TEST_RESULTS.json
iterations/I20_controlled_handoff/NATIVE_BINDING.json
current/SOURCE_EFFECTIVITY.json</x:v>
      </x:c>
    </x:row>
    <x:row r="182" ht="88" customHeight="1">
      <x:c r="A182" s="180" t="str">
        <x:v>FW-12</x:v>
      </x:c>
      <x:c r="B182" s="180" t="str">
        <x:v>CLOSED</x:v>
      </x:c>
      <x:c r="C182" s="180" t="str">
        <x:v>CURRENT EVIDENCE REVIEWED</x:v>
      </x:c>
      <x:c r="D182" s="180" t="str">
        <x:v>CLOSED BY ORIGINAL SCOPE</x:v>
      </x:c>
      <x:c r="E182" s="180" t="str">
        <x:v>The exact current source has a successful pinned target build with verified ELF/BIN identity. No flash readback, phone or live-vehicle result is claimed.
Original criterion disposition remains closed. The prior detailed assessment is retained in previous_I06_disposition and the historical register; current evidence and remaining conditions govern this row.</x:v>
      </x:c>
      <x:c r="F182" s="180" t="str"/>
      <x:c r="G182" s="180" t="str">
        <x:v>lanes/firmware_oil/RECOVERED_RELEASE_CHECKS.json
lanes/firmware_oil/RECOVERED_FIRMWARE_TEST_RESULTS.json
lanes/firmware_oil/FINAL_I04_OIL_FIRMWARE_EFFECTIVITY.json
iterations/I20_controlled_handoff/NATIVE_BINDING.json
current/SOURCE_EFFECTIVITY.json</x:v>
      </x:c>
    </x:row>
    <x:row r="183" ht="101" customHeight="1">
      <x:c r="A183" s="219" t="str">
        <x:v>HAR-01</x:v>
      </x:c>
      <x:c r="B183" s="219" t="str">
        <x:v>CLOSED</x:v>
      </x:c>
      <x:c r="C183" s="219" t="str">
        <x:v>CURRENT EVIDENCE REVIEWED</x:v>
      </x:c>
      <x:c r="D183" s="219" t="str">
        <x:v>CLOSED BY ORIGINAL SCOPE</x:v>
      </x:c>
      <x:c r="E18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3" s="219" t="str"/>
      <x:c r="G183"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row>
    <x:row r="184" ht="75" customHeight="1">
      <x:c r="A184" s="180" t="str">
        <x:v>HAR-02</x:v>
      </x:c>
      <x:c r="B184" s="180" t="str">
        <x:v>OPEN</x:v>
      </x:c>
      <x:c r="C184" s="180" t="str">
        <x:v>HARDWARE OR INSTALLATION ACCEPTANCE</x:v>
      </x:c>
      <x:c r="D184" s="180" t="str">
        <x:v>CURRENT SOURCE OR MODEL WITH REMAINING CONDITIONS</x:v>
      </x:c>
      <x:c r="E18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4" s="180" t="str">
        <x:v>actual built-cable continuity remains.</x:v>
      </x:c>
      <x:c r="G184" s="180" t="str">
        <x:v>interfaces/HARNESS_INTERFACE_CONTRACT.json
interfaces/HARNESS_CHECKS.json
analyses/harness_wire/HARNESS_WIRE_DELTA.json
interfaces/SINGLE_RETURN_EFFECTIVITY.json</x:v>
      </x:c>
    </x:row>
    <x:row r="185" ht="101" customHeight="1">
      <x:c r="A185" s="219" t="str">
        <x:v>HAR-03</x:v>
      </x:c>
      <x:c r="B185" s="219" t="str">
        <x:v>CLOSED</x:v>
      </x:c>
      <x:c r="C185" s="219" t="str">
        <x:v>CURRENT EVIDENCE REVIEWED</x:v>
      </x:c>
      <x:c r="D185" s="219" t="str">
        <x:v>CLOSED BY ORIGINAL SCOPE</x:v>
      </x:c>
      <x:c r="E18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5" s="219" t="str"/>
      <x:c r="G185"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row>
    <x:row r="186" ht="75" customHeight="1">
      <x:c r="A186" s="180" t="str">
        <x:v>HAR-04</x:v>
      </x:c>
      <x:c r="B186" s="180" t="str">
        <x:v>OPEN</x:v>
      </x:c>
      <x:c r="C186" s="180" t="str">
        <x:v>HARDWARE OR INSTALLATION ACCEPTANCE</x:v>
      </x:c>
      <x:c r="D186" s="180" t="str">
        <x:v>CURRENT SOURCE OR MODEL WITH REMAINING CONDITIONS</x:v>
      </x:c>
      <x:c r="E18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6" s="180" t="str">
        <x:v>actual source fuse/install temperature and crimp/ampacity applicability remain.</x:v>
      </x:c>
      <x:c r="G186" s="180" t="str">
        <x:v>interfaces/HARNESS_INTERFACE_CONTRACT.json
interfaces/HARNESS_CHECKS.json
analyses/harness_wire/HARNESS_WIRE_DELTA.json
interfaces/SINGLE_RETURN_EFFECTIVITY.json</x:v>
      </x:c>
    </x:row>
    <x:row r="187" ht="75" customHeight="1">
      <x:c r="A187" s="219" t="str">
        <x:v>HAR-05</x:v>
      </x:c>
      <x:c r="B187" s="219" t="str">
        <x:v>OPEN</x:v>
      </x:c>
      <x:c r="C187" s="219" t="str">
        <x:v>SUPPLIER OR RESPONSIBLE ACCEPTANCE</x:v>
      </x:c>
      <x:c r="D187" s="219" t="str">
        <x:v>CURRENT SOURCE OR MODEL WITH REMAINING CONDITIONS</x:v>
      </x:c>
      <x:c r="E18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7" s="219" t="str">
        <x:v>actual process/inspection records remain.</x:v>
      </x:c>
      <x:c r="G187" s="219" t="str">
        <x:v>interfaces/HARNESS_INTERFACE_CONTRACT.json
interfaces/HARNESS_CHECKS.json
analyses/harness_wire/HARNESS_WIRE_DELTA.json
interfaces/SINGLE_RETURN_EFFECTIVITY.json</x:v>
      </x:c>
    </x:row>
    <x:row r="188" ht="101" customHeight="1">
      <x:c r="A188" s="180" t="str">
        <x:v>HAR-06</x:v>
      </x:c>
      <x:c r="B188" s="180" t="str">
        <x:v>CLOSED</x:v>
      </x:c>
      <x:c r="C188" s="180" t="str">
        <x:v>CURRENT EVIDENCE REVIEWED</x:v>
      </x:c>
      <x:c r="D188" s="180" t="str">
        <x:v>CLOSED BY ORIGINAL SCOPE</x:v>
      </x:c>
      <x:c r="E18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88" s="180" t="str"/>
      <x:c r="G188"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row>
    <x:row r="189" ht="75" customHeight="1">
      <x:c r="A189" s="219" t="str">
        <x:v>HAR-07</x:v>
      </x:c>
      <x:c r="B189" s="219" t="str">
        <x:v>OPEN</x:v>
      </x:c>
      <x:c r="C189" s="219" t="str">
        <x:v>HARDWARE OR INSTALLATION ACCEPTANCE</x:v>
      </x:c>
      <x:c r="D189" s="219" t="str">
        <x:v>CURRENT SOURCE OR MODEL WITH REMAINING CONDITIONS</x:v>
      </x:c>
      <x:c r="E18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89" s="219" t="str">
        <x:v>protected fixture tests remain.</x:v>
      </x:c>
      <x:c r="G189" s="219" t="str">
        <x:v>interfaces/HARNESS_INTERFACE_CONTRACT.json
interfaces/HARNESS_CHECKS.json
analyses/harness_wire/HARNESS_WIRE_DELTA.json
interfaces/SINGLE_RETURN_EFFECTIVITY.json</x:v>
      </x:c>
    </x:row>
    <x:row r="190" ht="101" customHeight="1">
      <x:c r="A190" s="180" t="str">
        <x:v>HAR-08</x:v>
      </x:c>
      <x:c r="B190" s="180" t="str">
        <x:v>CLOSED</x:v>
      </x:c>
      <x:c r="C190" s="180" t="str">
        <x:v>CURRENT EVIDENCE REVIEWED</x:v>
      </x:c>
      <x:c r="D190" s="180" t="str">
        <x:v>CLOSED BY ORIGINAL SCOPE</x:v>
      </x:c>
      <x:c r="E19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190" s="180" t="str"/>
      <x:c r="G190"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x:v>
      </x:c>
    </x:row>
    <x:row r="191" ht="127" customHeight="1">
      <x:c r="A191" s="219" t="str">
        <x:v>HAR-09</x:v>
      </x:c>
      <x:c r="B191" s="219" t="str">
        <x:v>OPEN</x:v>
      </x:c>
      <x:c r="C191" s="219" t="str">
        <x:v>HARDWARE OR INSTALLATION ACCEPTANCE</x:v>
      </x:c>
      <x:c r="D191" s="219" t="str">
        <x:v>CURRENT SOURCE OR MODEL WITH REMAINING CONDITIONS</x:v>
      </x:c>
      <x:c r="E19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91" s="219" t="str">
        <x:v>installed jacket/clamp/retention evidence remains.</x:v>
      </x:c>
      <x:c r="G191"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x:v>
      </x:c>
    </x:row>
    <x:row r="192" ht="127" customHeight="1">
      <x:c r="A192" s="180" t="str">
        <x:v>HAR-10</x:v>
      </x:c>
      <x:c r="B192" s="180" t="str">
        <x:v>OPEN</x:v>
      </x:c>
      <x:c r="C192" s="180" t="str">
        <x:v>HARDWARE OR INSTALLATION ACCEPTANCE</x:v>
      </x:c>
      <x:c r="D192" s="180" t="str">
        <x:v>CURRENT SOURCE OR MODEL WITH REMAINING CONDITIONS</x:v>
      </x:c>
      <x:c r="E19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192" s="180" t="str">
        <x:v>actual assembly/service inspection remains.</x:v>
      </x:c>
      <x:c r="G192"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interfaces/HARNESS_CHECKS.json
interfaces/SINGLE_RETURN_EFFECTIVITY.json</x:v>
      </x:c>
    </x:row>
    <x:row r="193" ht="140" customHeight="1">
      <x:c r="A193" s="219" t="str">
        <x:v>MECH-01</x:v>
      </x:c>
      <x:c r="B193" s="219" t="str">
        <x:v>OPEN</x:v>
      </x:c>
      <x:c r="C193" s="219" t="str">
        <x:v>CURRENT NATIVE COMPLETE OTHER EVIDENCE REQUIRED</x:v>
      </x:c>
      <x:c r="D193" s="219" t="str">
        <x:v>CURRENT SOURCE OR MODEL WITH REMAINING CONDITIONS</x:v>
      </x:c>
      <x:c r="E193" s="219"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3" s="219" t="str">
        <x:v>Native source/build gate is now complete. Remaining original evidence: Datum-based drawing, STEP interference check and physical fit verification.</x:v>
      </x:c>
      <x:c r="G193"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194" ht="127" customHeight="1">
      <x:c r="A194" s="180" t="str">
        <x:v>MECH-02</x:v>
      </x:c>
      <x:c r="B194" s="180" t="str">
        <x:v>CLOSED</x:v>
      </x:c>
      <x:c r="C194" s="180" t="str">
        <x:v>CURRENT EVIDENCE REVIEWED</x:v>
      </x:c>
      <x:c r="D194" s="180" t="str">
        <x:v>CLOSED BY ORIGINAL SCOPE</x:v>
      </x:c>
      <x:c r="E194" s="180"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4" s="180" t="str"/>
      <x:c r="G194" s="180"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analyses/mated_i18/RESULTS.json
analyses/service_i19/RESULTS.json
current/MANUFACTURING_AND_ASSEMBLY.md</x:v>
      </x:c>
    </x:row>
    <x:row r="195" ht="140" customHeight="1">
      <x:c r="A195" s="219" t="str">
        <x:v>MECH-03</x:v>
      </x:c>
      <x:c r="B195" s="219" t="str">
        <x:v>OPEN</x:v>
      </x:c>
      <x:c r="C195" s="219" t="str">
        <x:v>COMPLETED CONDITIONAL MODEL</x:v>
      </x:c>
      <x:c r="D195" s="219" t="str">
        <x:v>CURRENT SOURCE OR MODEL WITH REMAINING CONDITIONS</x:v>
      </x:c>
      <x:c r="E195" s="219"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5" s="219" t="str">
        <x:v>complete populated solids, mated accessories and installed geometry remain conditional.</x:v>
      </x:c>
      <x:c r="G195"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196" ht="88" customHeight="1">
      <x:c r="A196" s="180" t="str">
        <x:v>MECH-04</x:v>
      </x:c>
      <x:c r="B196" s="180" t="str">
        <x:v>OPEN</x:v>
      </x:c>
      <x:c r="C196" s="180" t="str">
        <x:v>SUPPLIER OR RESPONSIBLE ACCEPTANCE</x:v>
      </x:c>
      <x:c r="D196" s="180" t="str">
        <x:v>CURRENT SOURCE OR MODEL WITH REMAINING CONDITIONS</x:v>
      </x:c>
      <x:c r="E196"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6" s="180" t="str">
        <x:v>actual assembler approval remains.</x:v>
      </x:c>
      <x:c r="G196" s="180" t="str">
        <x:v>analyses/assembly_handling/EXACT_MPN_HANDLING_REGISTER.json
analyses/assembly_handling/PROCESS_RECONCILIATION.md
lanes/mechanics/ASSEMBLY_PROCESS_RVB22.md
analyses/mated_i18/RESULTS.json
analyses/service_i19/RESULTS.json
current/MANUFACTURING_AND_ASSEMBLY.md</x:v>
      </x:c>
    </x:row>
    <x:row r="197" ht="140" customHeight="1">
      <x:c r="A197" s="219" t="str">
        <x:v>MECH-05</x:v>
      </x:c>
      <x:c r="B197" s="219" t="str">
        <x:v>CLOSED</x:v>
      </x:c>
      <x:c r="C197" s="219" t="str">
        <x:v>COMPLETED SOURCE DOCUMENTARY SCOPE</x:v>
      </x:c>
      <x:c r="D197" s="219" t="str">
        <x:v>CLOSED BY ORIGINAL SCOPE</x:v>
      </x:c>
      <x:c r="E197" s="219"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7" s="219" t="str">
        <x:v>Current source/evidence binding completed. The original documentary or calculation scope is satisfied; applicability and external acceptance conditions remain in the linked evidence and related open criteria.</x:v>
      </x:c>
      <x:c r="G197"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198" ht="140" customHeight="1">
      <x:c r="A198" s="180" t="str">
        <x:v>MECH-06</x:v>
      </x:c>
      <x:c r="B198" s="180" t="str">
        <x:v>OPEN</x:v>
      </x:c>
      <x:c r="C198" s="180" t="str">
        <x:v>COMPLETED CONDITIONAL MODEL</x:v>
      </x:c>
      <x:c r="D198" s="180" t="str">
        <x:v>CURRENT SOURCE OR MODEL WITH REMAINING CONDITIONS</x:v>
      </x:c>
      <x:c r="E198"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198" s="180" t="str">
        <x:v>laminate/contact/torque/material assumptions remain conditional.</x:v>
      </x:c>
      <x:c r="G198"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199" ht="140" customHeight="1">
      <x:c r="A199" s="219" t="str">
        <x:v>MECH-07</x:v>
      </x:c>
      <x:c r="B199" s="219" t="str">
        <x:v>CLOSED</x:v>
      </x:c>
      <x:c r="C199" s="219" t="str">
        <x:v>COMPLETED SOURCE DOCUMENTARY SCOPE</x:v>
      </x:c>
      <x:c r="D199" s="219" t="str">
        <x:v>CLOSED BY ORIGINAL SCOPE</x:v>
      </x:c>
      <x:c r="E199" s="219" t="str">
        <x:v>Current C05/W02/T03 construction has complete declared mated-envelope and service checks. All 153 fitted references have envelope models. Actual material, retention, installation and thermal conditions remain explicit.
Original criterion disposition remains closed. The prior detailed assessment is retained in previous_I06_disposition and the historical register; current evidence and remaining conditions govern this row.</x:v>
      </x:c>
      <x:c r="F199" s="219" t="str">
        <x:v>Current source/evidence binding completed. The original documentary or calculation scope is satisfied; applicability and external acceptance conditions remain in the linked evidence and related open criteria.</x:v>
      </x:c>
      <x:c r="G199"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200" ht="140" customHeight="1">
      <x:c r="A200" s="180" t="str">
        <x:v>MECH-08</x:v>
      </x:c>
      <x:c r="B200" s="180" t="str">
        <x:v>OPEN</x:v>
      </x:c>
      <x:c r="C200" s="180" t="str">
        <x:v>HARDWARE OR INSTALLATION ACCEPTANCE</x:v>
      </x:c>
      <x:c r="D200" s="180" t="str">
        <x:v>CURRENT SOURCE OR MODEL WITH REMAINING CONDITIONS</x:v>
      </x:c>
      <x:c r="E200"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0" s="180" t="str">
        <x:v>in-situ RF performance evidence remains.</x:v>
      </x:c>
      <x:c r="G200"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201" ht="140" customHeight="1">
      <x:c r="A201" s="219" t="str">
        <x:v>MECH-09</x:v>
      </x:c>
      <x:c r="B201" s="219" t="str">
        <x:v>OPEN</x:v>
      </x:c>
      <x:c r="C201" s="219" t="str">
        <x:v>HARDWARE OR INSTALLATION ACCEPTANCE</x:v>
      </x:c>
      <x:c r="D201" s="219" t="str">
        <x:v>CURRENT SOURCE OR MODEL WITH REMAINING CONDITIONS</x:v>
      </x:c>
      <x:c r="E201" s="219"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1" s="219" t="str">
        <x:v>actual service access demonstration remains.</x:v>
      </x:c>
      <x:c r="G201"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analyses/mated_i18/RESULTS.json
analyses/service_i19/RESULTS.json
current/MANUFACTURING_AND_ASSEMBLY.md</x:v>
      </x:c>
    </x:row>
    <x:row r="202" ht="88" customHeight="1">
      <x:c r="A202" s="180" t="str">
        <x:v>MECH-10</x:v>
      </x:c>
      <x:c r="B202" s="180" t="str">
        <x:v>OPEN</x:v>
      </x:c>
      <x:c r="C202" s="180" t="str">
        <x:v>HARDWARE OR INSTALLATION ACCEPTANCE</x:v>
      </x:c>
      <x:c r="D202" s="180" t="str">
        <x:v>CURRENT SOURCE OR MODEL WITH REMAINING CONDITIONS</x:v>
      </x:c>
      <x:c r="E202" s="180" t="str">
        <x:v>Current C05/W02/T03 construction has complete declared mated-envelope and service checks. All 153 fitted references have envelope models. Actual material, retention, installation and thermal conditions remain explicit.
Original criterion disposition remains open. The prior detailed assessment is retained in previous_I06_disposition and the historical register; current evidence and remaining conditions govern this row.</x:v>
      </x:c>
      <x:c r="F202" s="180" t="str">
        <x:v>installation-specific tests remain.</x:v>
      </x:c>
      <x:c r="G202" s="180" t="str">
        <x:v>analyses/installation/DASHBOARD_EXPOSURE_AND_SERVICE.md
lanes/mechanics/MECHANICAL_INSTALLATION_RVB22.md
analyses/mated_i18/RESULTS.json
analyses/service_i19/RESULTS.json
current/MANUFACTURING_AND_ASSEMBLY.md</x:v>
      </x:c>
    </x:row>
    <x:row r="203" ht="114" customHeight="1">
      <x:c r="A203" s="219" t="str">
        <x:v>THERM-01</x:v>
      </x:c>
      <x:c r="B203" s="219" t="str">
        <x:v>CLOSED</x:v>
      </x:c>
      <x:c r="C203" s="219" t="str">
        <x:v>CURRENT EVIDENCE REVIEWED</x:v>
      </x:c>
      <x:c r="D203" s="219" t="str">
        <x:v>CLOSED BY ORIGINAL SCOPE</x:v>
      </x:c>
      <x:c r="E203" s="219"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x:v>
      </x:c>
      <x:c r="F203" s="219" t="str"/>
      <x:c r="G203" s="219" t="str">
        <x:v>lanes/mechanics/C03_CARRIER_CHECKS.json
lanes/mechanics/RF_ACCESSORY_ISOLATION_CHECKS.json
analyses/assembly_handling/PRIMARY_BODY_HEIGHT_ADDENDUM.json
lanes/mechanics/FINAL_COMPONENT_ENVELOPES.json
lanes/mechanics/MECHANICAL_INSTALLATION_RVB22.md
lanes/mechanics/FINAL_SOURCE_BINDING.json
analyses/thermal_i18/face_15.0/RESULTS.json
current/THERMAL_REVIEW.md</x:v>
      </x:c>
    </x:row>
    <x:row r="204" ht="127" customHeight="1">
      <x:c r="A204" s="180" t="str">
        <x:v>THERM-02</x:v>
      </x:c>
      <x:c r="B204" s="180" t="str">
        <x:v>OPEN</x:v>
      </x:c>
      <x:c r="C204" s="180" t="str">
        <x:v>DESKTOP WORK REMAINING</x:v>
      </x:c>
      <x:c r="D204" s="180" t="str">
        <x:v>CURRENT SOURCE OR MODEL WITH REMAINING CONDITIONS</x:v>
      </x:c>
      <x:c r="E204"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4" s="180" t="str">
        <x:v>finish that engineering model or revise cooling/operating limits before sensor/IR correlation and actual hot-spot acceptance.</x:v>
      </x:c>
      <x:c r="G204" s="180"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row>
    <x:row r="205" ht="127" customHeight="1">
      <x:c r="A205" s="219" t="str">
        <x:v>THERM-03</x:v>
      </x:c>
      <x:c r="B205" s="219" t="str">
        <x:v>OPEN</x:v>
      </x:c>
      <x:c r="C205" s="219" t="str">
        <x:v>COMPLETED CONDITIONAL MODEL</x:v>
      </x:c>
      <x:c r="D205" s="219" t="str">
        <x:v>CURRENT SOURCE OR MODEL WITH REMAINING CONDITIONS</x:v>
      </x:c>
      <x:c r="E205" s="219"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5" s="219" t="str">
        <x:v>actual mission profile and supplier life/pulse guarantees remain conditional.</x:v>
      </x:c>
      <x:c r="G205"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row>
    <x:row r="206" ht="101" customHeight="1">
      <x:c r="A206" s="180" t="str">
        <x:v>THERM-04</x:v>
      </x:c>
      <x:c r="B206" s="180" t="str">
        <x:v>OPEN</x:v>
      </x:c>
      <x:c r="C206" s="180" t="str">
        <x:v>HARDWARE OR INSTALLATION ACCEPTANCE</x:v>
      </x:c>
      <x:c r="D206" s="180" t="str">
        <x:v>CURRENT SOURCE OR MODEL WITH REMAINING CONDITIONS</x:v>
      </x:c>
      <x:c r="E206"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6" s="180" t="str">
        <x:v>actual accuracy/noise/RF temperature tests remain.</x:v>
      </x:c>
      <x:c r="G206" s="180" t="str">
        <x:v>lanes/firmware_oil/RECOVERED_FIRMWARE_TEST_RESULTS.json
lanes/firmware_oil/RECOVERY_CALIBRATION_GAIN_REDLINE.json
interfaces/OIL_HARNESS_ERROR_SWEEP.json
analyses/thermal_i18/face_15.0/RESULTS.json
current/THERMAL_REVIEW.md</x:v>
      </x:c>
    </x:row>
    <x:row r="207" ht="101" customHeight="1">
      <x:c r="A207" s="219" t="str">
        <x:v>THERM-05</x:v>
      </x:c>
      <x:c r="B207" s="219" t="str">
        <x:v>OPEN</x:v>
      </x:c>
      <x:c r="C207" s="219" t="str">
        <x:v>SUPPLIER OR RESPONSIBLE ACCEPTANCE</x:v>
      </x:c>
      <x:c r="D207" s="219" t="str">
        <x:v>CURRENT SOURCE OR MODEL WITH REMAINING CONDITIONS</x:v>
      </x:c>
      <x:c r="E207" s="219"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7" s="219" t="str">
        <x:v>actual assembler/material and cycling applicability remain.</x:v>
      </x:c>
      <x:c r="G207" s="219" t="str">
        <x:v>analyses/installation/DASHBOARD_EXPOSURE_AND_SERVICE.md
lanes/mechanics/MECHANICAL_INSTALLATION_RVB22.md
analyses/thermal_i18/face_15.0/RESULTS.json
current/THERMAL_REVIEW.md</x:v>
      </x:c>
    </x:row>
    <x:row r="208" ht="101" customHeight="1">
      <x:c r="A208" s="180" t="str">
        <x:v>THERM-06</x:v>
      </x:c>
      <x:c r="B208" s="180" t="str">
        <x:v>OPEN</x:v>
      </x:c>
      <x:c r="C208" s="180" t="str">
        <x:v>HARDWARE OR INSTALLATION ACCEPTANCE</x:v>
      </x:c>
      <x:c r="D208" s="180" t="str">
        <x:v>CURRENT SOURCE OR MODEL WITH REMAINING CONDITIONS</x:v>
      </x:c>
      <x:c r="E208"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8" s="180" t="str">
        <x:v>real mechanical qualification remains.</x:v>
      </x:c>
      <x:c r="G208" s="180" t="str">
        <x:v>analyses/installation/DASHBOARD_EXPOSURE_AND_SERVICE.md
lanes/mechanics/MECHANICAL_INSTALLATION_RVB22.md
analyses/thermal_i18/face_15.0/RESULTS.json
current/THERMAL_REVIEW.md</x:v>
      </x:c>
    </x:row>
    <x:row r="209" ht="101" customHeight="1">
      <x:c r="A209" s="219" t="str">
        <x:v>THERM-07</x:v>
      </x:c>
      <x:c r="B209" s="219" t="str">
        <x:v>OPEN</x:v>
      </x:c>
      <x:c r="C209" s="219" t="str">
        <x:v>COMPLETED CONDITIONAL MODEL</x:v>
      </x:c>
      <x:c r="D209" s="219" t="str">
        <x:v>CURRENT SOURCE OR MODEL WITH REMAINING CONDITIONS</x:v>
      </x:c>
      <x:c r="E209" s="219"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09" s="219" t="str">
        <x:v>selected carrier,adhesive,jacket,hot-creep and material compatibility remain conditional and do not satisfy the full original F.</x:v>
      </x:c>
      <x:c r="G209" s="219" t="str">
        <x:v>analyses/installation/DASHBOARD_EXPOSURE_AND_SERVICE.md
lanes/mechanics/MECHANICAL_INSTALLATION_RVB22.md
analyses/thermal_i18/face_15.0/RESULTS.json
current/THERMAL_REVIEW.md</x:v>
      </x:c>
    </x:row>
    <x:row r="210" ht="101" customHeight="1">
      <x:c r="A210" s="180" t="str">
        <x:v>THERM-08</x:v>
      </x:c>
      <x:c r="B210" s="180" t="str">
        <x:v>CLOSED</x:v>
      </x:c>
      <x:c r="C210" s="180" t="str">
        <x:v>CURRENT EVIDENCE REVIEWED</x:v>
      </x:c>
      <x:c r="D210" s="180" t="str">
        <x:v>CLOSED BY ORIGINAL SCOPE</x:v>
      </x:c>
      <x:c r="E210"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closed. The prior detailed assessment is retained in previous_I06_disposition and the historical register; current evidence and remaining conditions govern this row.</x:v>
      </x:c>
      <x:c r="F210" s="180" t="str"/>
      <x:c r="G210" s="180" t="str">
        <x:v>iterations/I06_harness_handoff/CANDIDATE_MANIFEST.json
analyses/thermal_i18/face_15.0/RESULTS.json
current/THERMAL_REVIEW.md</x:v>
      </x:c>
    </x:row>
    <x:row r="211" ht="127" customHeight="1">
      <x:c r="A211" s="219" t="str">
        <x:v>THERM-09</x:v>
      </x:c>
      <x:c r="B211" s="219" t="str">
        <x:v>OPEN</x:v>
      </x:c>
      <x:c r="C211" s="219" t="str">
        <x:v>HARDWARE OR INSTALLATION ACCEPTANCE</x:v>
      </x:c>
      <x:c r="D211" s="219" t="str">
        <x:v>CURRENT SOURCE OR MODEL WITH REMAINING CONDITIONS</x:v>
      </x:c>
      <x:c r="E211" s="219"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11" s="219" t="str">
        <x:v>actual cable/connector cycle/retention evidence remains.</x:v>
      </x:c>
      <x:c r="G211" s="219" t="str">
        <x:v>lanes/mechanics/FINAL_COMPONENT_ENVELOPES.json
lanes/mechanics/FINAL_SOURCE_BINDING.json
lanes/mechanics/STRUCTURAL_SERVICE_MODEL.json
analyses/assembly_handling/PRIMARY_BODY_HEIGHT_ADDENDUM.json
lanes/mechanics/THERMAL_CONTACT_T01_MODEL.json
lanes/mechanics/THERMAL_CONTACT_T01_REVIEW.md
lanes/mechanics/THERMAL_CONTACT_T01_INVERSE_REQUIREMENTS.json
analyses/thermal_i18/face_15.0/RESULTS.json
current/THERMAL_REVIEW.md</x:v>
      </x:c>
    </x:row>
    <x:row r="212" ht="101" customHeight="1">
      <x:c r="A212" s="180" t="str">
        <x:v>THERM-10</x:v>
      </x:c>
      <x:c r="B212" s="180" t="str">
        <x:v>OPEN</x:v>
      </x:c>
      <x:c r="C212" s="180" t="str">
        <x:v>HARDWARE OR INSTALLATION ACCEPTANCE</x:v>
      </x:c>
      <x:c r="D212" s="180" t="str">
        <x:v>CURRENT SOURCE OR MODEL WITH REMAINING CONDITIONS</x:v>
      </x:c>
      <x:c r="E212" s="180" t="str">
        <x:v>The completed 0.125 mm actual-copper solve gives 143.800 C maximum board region and 105.171 C near C206 at 4.815 W, 65 C bulk air and 70 C landings. Refinement changes the hotspot by 8.376 C. Local ambient and package paths remain unresolved.
Original criterion disposition remains open. The prior detailed assessment is retained in previous_I06_disposition and the historical register; current evidence and remaining conditions govern this row.</x:v>
      </x:c>
      <x:c r="F212" s="180" t="str">
        <x:v>actual elapsed soak and logs remain.</x:v>
      </x:c>
      <x:c r="G212" s="180" t="str">
        <x:v>analyses/installation/DASHBOARD_EXPOSURE_AND_SERVICE.md
lanes/mechanics/MECHANICAL_INSTALLATION_RVB22.md
analyses/thermal_i18/face_15.0/RESULTS.json
current/THERMAL_REVIEW.md</x:v>
      </x:c>
    </x:row>
    <x:row r="213" ht="75" customHeight="1">
      <x:c r="A213" s="219" t="str">
        <x:v>EMC-01</x:v>
      </x:c>
      <x:c r="B213" s="219" t="str">
        <x:v>OPEN</x:v>
      </x:c>
      <x:c r="C213" s="219" t="str">
        <x:v>SUPPLIER OR RESPONSIBLE ACCEPTANCE</x:v>
      </x:c>
      <x:c r="D213" s="219" t="str">
        <x:v>CURRENT SOURCE OR MODEL WITH REMAINING CONDITIONS</x:v>
      </x:c>
      <x:c r="E213"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3" s="219" t="str">
        <x:v>applicable market/standard edition,severity and qualified acceptance remain to be agreed.</x:v>
      </x:c>
      <x:c r="G213" s="219" t="str">
        <x:v>analyses/installation/DASHBOARD_EXPOSURE_AND_SERVICE.md
lanes/mechanics/MECHANICAL_INSTALLATION_RVB22.md
analyses/rf_i18/EXTENDED_NETWORK_RESULTS.json
control/SI11_COUPLING_PATH_REVIEW.json</x:v>
      </x:c>
    </x:row>
    <x:row r="214" ht="75" customHeight="1">
      <x:c r="A214" s="180" t="str">
        <x:v>EMC-02</x:v>
      </x:c>
      <x:c r="B214" s="180" t="str">
        <x:v>OPEN</x:v>
      </x:c>
      <x:c r="C214" s="180" t="str">
        <x:v>HARDWARE OR INSTALLATION ACCEPTANCE</x:v>
      </x:c>
      <x:c r="D214" s="180" t="str">
        <x:v>CURRENT SOURCE OR MODEL WITH REMAINING CONDITIONS</x:v>
      </x:c>
      <x:c r="E21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4" s="180" t="str">
        <x:v>actual fixture/RBW/detector qualification report remains.</x:v>
      </x:c>
      <x:c r="G214" s="180" t="str">
        <x:v>lanes/emc/EMC_DESKTOP_REPORT.md
lanes/emc/REDLINE_DISPOSITIONS.json
lanes/emc/EMC_NUMERICAL_VERIFICATION.json
analyses/rf_i18/EXTENDED_NETWORK_RESULTS.json
control/SI11_COUPLING_PATH_REVIEW.json</x:v>
      </x:c>
    </x:row>
    <x:row r="215" ht="75" customHeight="1">
      <x:c r="A215" s="219" t="str">
        <x:v>EMC-03</x:v>
      </x:c>
      <x:c r="B215" s="219" t="str">
        <x:v>OPEN</x:v>
      </x:c>
      <x:c r="C215" s="219" t="str">
        <x:v>HARDWARE OR INSTALLATION ACCEPTANCE</x:v>
      </x:c>
      <x:c r="D215" s="219" t="str">
        <x:v>CURRENT SOURCE OR MODEL WITH REMAINING CONDITIONS</x:v>
      </x:c>
      <x:c r="E215"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5" s="219" t="str">
        <x:v>worst-mode radiated measurements remain.</x:v>
      </x:c>
      <x:c r="G215" s="219" t="str">
        <x:v>lanes/emc/EMC_DESKTOP_REPORT.md
lanes/emc/REDLINE_DISPOSITIONS.json
lanes/emc/EMC_NUMERICAL_VERIFICATION.json
analyses/rf_i18/EXTENDED_NETWORK_RESULTS.json
control/SI11_COUPLING_PATH_REVIEW.json</x:v>
      </x:c>
    </x:row>
    <x:row r="216" ht="75" customHeight="1">
      <x:c r="A216" s="180" t="str">
        <x:v>EMC-04</x:v>
      </x:c>
      <x:c r="B216" s="180" t="str">
        <x:v>OPEN</x:v>
      </x:c>
      <x:c r="C216" s="180" t="str">
        <x:v>HARDWARE OR INSTALLATION ACCEPTANCE</x:v>
      </x:c>
      <x:c r="D216" s="180" t="str">
        <x:v>CURRENT SOURCE OR MODEL WITH REMAINING CONDITIONS</x:v>
      </x:c>
      <x:c r="E21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6" s="180" t="str">
        <x:v>agreed immunity tests remain.</x:v>
      </x:c>
      <x:c r="G216" s="180" t="str">
        <x:v>lanes/emc/EMC_DESKTOP_REPORT.md
lanes/emc/REDLINE_DISPOSITIONS.json
lanes/emc/EMC_NUMERICAL_VERIFICATION.json
analyses/rf_i18/EXTENDED_NETWORK_RESULTS.json
control/SI11_COUPLING_PATH_REVIEW.json</x:v>
      </x:c>
    </x:row>
    <x:row r="217" ht="75" customHeight="1">
      <x:c r="A217" s="219" t="str">
        <x:v>EMC-05</x:v>
      </x:c>
      <x:c r="B217" s="219" t="str">
        <x:v>CLOSED</x:v>
      </x:c>
      <x:c r="C217" s="219" t="str">
        <x:v>COMPLETED SOURCE DOCUMENTARY SCOPE</x:v>
      </x:c>
      <x:c r="D217" s="219" t="str">
        <x:v>CLOSED BY ORIGINAL SCOPE</x:v>
      </x:c>
      <x:c r="E21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17" s="219" t="str">
        <x:v>Current source/evidence binding completed. The original documentary or calculation scope is satisfied; applicability and external acceptance conditions remain in the linked evidence and related open criteria.</x:v>
      </x:c>
      <x:c r="G217" s="219" t="str">
        <x:v>lanes/emc/EMC_DESKTOP_REPORT.md
lanes/emc/REDLINE_DISPOSITIONS.json
lanes/emc/EMC_NUMERICAL_VERIFICATION.json
analyses/rf_i18/EXTENDED_NETWORK_RESULTS.json
control/SI11_COUPLING_PATH_REVIEW.json</x:v>
      </x:c>
    </x:row>
    <x:row r="218" ht="75" customHeight="1">
      <x:c r="A218" s="180" t="str">
        <x:v>EMC-06</x:v>
      </x:c>
      <x:c r="B218" s="180" t="str">
        <x:v>OPEN</x:v>
      </x:c>
      <x:c r="C218" s="180" t="str">
        <x:v>HARDWARE OR INSTALLATION ACCEPTANCE</x:v>
      </x:c>
      <x:c r="D218" s="180" t="str">
        <x:v>CURRENT SOURCE OR MODEL WITH REMAINING CONDITIONS</x:v>
      </x:c>
      <x:c r="E21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8" s="180" t="str">
        <x:v>measured assembled robustness remains.</x:v>
      </x:c>
      <x:c r="G218" s="180" t="str">
        <x:v>lanes/emc/EMC_DESKTOP_REPORT.md
lanes/emc/REDLINE_DISPOSITIONS.json
lanes/emc/EMC_NUMERICAL_VERIFICATION.json
analyses/rf_i18/EXTENDED_NETWORK_RESULTS.json
control/SI11_COUPLING_PATH_REVIEW.json</x:v>
      </x:c>
    </x:row>
    <x:row r="219" ht="75" customHeight="1">
      <x:c r="A219" s="219" t="str">
        <x:v>EMC-07</x:v>
      </x:c>
      <x:c r="B219" s="219" t="str">
        <x:v>OPEN</x:v>
      </x:c>
      <x:c r="C219" s="219" t="str">
        <x:v>HARDWARE OR INSTALLATION ACCEPTANCE</x:v>
      </x:c>
      <x:c r="D219" s="219" t="str">
        <x:v>CURRENT SOURCE OR MODEL WITH REMAINING CONDITIONS</x:v>
      </x:c>
      <x:c r="E21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19" s="219" t="str">
        <x:v>controlled degradation measurements remain.</x:v>
      </x:c>
      <x:c r="G219" s="219" t="str">
        <x:v>lanes/emc/EMC_DESKTOP_REPORT.md
lanes/emc/REDLINE_DISPOSITIONS.json
lanes/emc/EMC_NUMERICAL_VERIFICATION.json
analyses/rf_i18/EXTENDED_NETWORK_RESULTS.json
control/SI11_COUPLING_PATH_REVIEW.json</x:v>
      </x:c>
    </x:row>
    <x:row r="220" ht="75" customHeight="1">
      <x:c r="A220" s="180" t="str">
        <x:v>EMC-08</x:v>
      </x:c>
      <x:c r="B220" s="180" t="str">
        <x:v>OPEN</x:v>
      </x:c>
      <x:c r="C220" s="180" t="str">
        <x:v>HARDWARE OR INSTALLATION ACCEPTANCE</x:v>
      </x:c>
      <x:c r="D220" s="180" t="str">
        <x:v>CURRENT SOURCE OR MODEL WITH REMAINING CONDITIONS</x:v>
      </x:c>
      <x:c r="E22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20" s="180" t="str">
        <x:v>actual tested configuration applicability remains.</x:v>
      </x:c>
      <x:c r="G220" s="180" t="str">
        <x:v>analyses/installation/DASHBOARD_EXPOSURE_AND_SERVICE.md
lanes/mechanics/MECHANICAL_INSTALLATION_RVB22.md
analyses/rf_i18/EXTENDED_NETWORK_RESULTS.json
control/SI11_COUPLING_PATH_REVIEW.json</x:v>
      </x:c>
    </x:row>
    <x:row r="221" ht="75" customHeight="1">
      <x:c r="A221" s="219" t="str">
        <x:v>EMC-09</x:v>
      </x:c>
      <x:c r="B221" s="219" t="str">
        <x:v>CLOSED</x:v>
      </x:c>
      <x:c r="C221" s="219" t="str">
        <x:v>CURRENT EVIDENCE REVIEWED</x:v>
      </x:c>
      <x:c r="D221" s="219" t="str">
        <x:v>CLOSED BY ORIGINAL SCOPE</x:v>
      </x:c>
      <x:c r="E22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21" s="219" t="str"/>
      <x:c r="G221" s="219" t="str">
        <x:v>control/SI11_COUPLING_PATH_REVIEW.json
control/SI11_COUPLING_REVIEW_AND_TEST_PLAN.md
control/REG07_SOURCE_COPPER_ANNOTATIONS.json
analyses/rf_i18/EXTENDED_NETWORK_RESULTS.json</x:v>
      </x:c>
    </x:row>
    <x:row r="222" ht="75" customHeight="1">
      <x:c r="A222" s="180" t="str">
        <x:v>EMC-10</x:v>
      </x:c>
      <x:c r="B222" s="180" t="str">
        <x:v>OPEN</x:v>
      </x:c>
      <x:c r="C222" s="180" t="str">
        <x:v>HARDWARE OR INSTALLATION ACCEPTANCE</x:v>
      </x:c>
      <x:c r="D222" s="180" t="str">
        <x:v>CURRENT SOURCE OR MODEL WITH REMAINING CONDITIONS</x:v>
      </x:c>
      <x:c r="E22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22" s="180" t="str">
        <x:v>physical power/RF/measurement regression remains.</x:v>
      </x:c>
      <x:c r="G222" s="180" t="str">
        <x:v>lanes/emc/EMC_DESKTOP_REPORT.md
lanes/emc/REDLINE_DISPOSITIONS.json
lanes/emc/EMC_NUMERICAL_VERIFICATION.json
analyses/rf_i18/EXTENDED_NETWORK_RESULTS.json
control/SI11_COUPLING_PATH_REVIEW.json</x:v>
      </x:c>
    </x:row>
    <x:row r="223" ht="101" customHeight="1">
      <x:c r="A223" s="219" t="str">
        <x:v>LAY-01</x:v>
      </x:c>
      <x:c r="B223" s="219" t="str">
        <x:v>CLOSED</x:v>
      </x:c>
      <x:c r="C223" s="219" t="str">
        <x:v>CURRENT EVIDENCE REVIEWED</x:v>
      </x:c>
      <x:c r="D223" s="219" t="str">
        <x:v>CLOSED BY ORIGINAL SCOPE</x:v>
      </x:c>
      <x:c r="E223" s="219"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3" s="219" t="str"/>
      <x:c r="G223" s="219" t="str">
        <x:v>control/RVB22_BRING_UP_AND_MEASUREMENT_CONTRACT.md
control/BRINGUP_SCHEMATIC_TEXT_DELTA.json
control/BRINGUP_ACTUAL_NODE_INDEX.json
control/FINAL_I04_BRINGUP_BINDING.json
analyses/manufacturing_i20/RESULTS.json
analyses/service_i19/RESULTS.json
current/SOURCE_EFFECTIVITY.json</x:v>
      </x:c>
    </x:row>
    <x:row r="224" ht="62" customHeight="1">
      <x:c r="A224" s="180" t="str">
        <x:v>LAY-02</x:v>
      </x:c>
      <x:c r="B224" s="180" t="str">
        <x:v>CLOSED</x:v>
      </x:c>
      <x:c r="C224" s="180" t="str">
        <x:v>COMPLETED CURRENT SOURCE VERIFICATION</x:v>
      </x:c>
      <x:c r="D224" s="180" t="str">
        <x:v>CLOSED BY ORIGINAL SCOPE</x:v>
      </x:c>
      <x:c r="E224" s="180" t="str">
        <x:v>Actual filled layers and the source-bound switching/coupling review are reconciled with I20. No new native clearance or pad-net finding remains. Conditional field coupling and thermal qualification remain in their own criteria.</x:v>
      </x:c>
      <x:c r="F224" s="180" t="str">
        <x:v>Original documentary, design-inspection or execution scope satisfied. Related supplier and physical criteria retain their own dispositions.</x:v>
      </x:c>
      <x:c r="G224" s="180" t="str">
        <x:v>analyses/manufacturing_i20/RESULTS.json
current/SOURCE_EFFECTIVITY.json
control/SI11_COUPLING_PATH_REVIEW.json</x:v>
      </x:c>
    </x:row>
    <x:row r="225" ht="101" customHeight="1">
      <x:c r="A225" s="219" t="str">
        <x:v>LAY-03</x:v>
      </x:c>
      <x:c r="B225" s="219" t="str">
        <x:v>CLOSED</x:v>
      </x:c>
      <x:c r="C225" s="219" t="str">
        <x:v>CURRENT EVIDENCE REVIEWED</x:v>
      </x:c>
      <x:c r="D225" s="219" t="str">
        <x:v>CLOSED BY ORIGINAL SCOPE</x:v>
      </x:c>
      <x:c r="E225" s="219"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5" s="219" t="str"/>
      <x:c r="G225" s="219" t="str">
        <x:v>lanes/power/POWER_GEOMETRY_REPORT.json
lanes/power/COUPLED_STARTUP_ENVELOPE.json
lanes/power_limits/POWER_LIMITS_SUMMARY.json
lanes/power/FINAL_I04_POWER_EFFECTIVITY.json
analyses/manufacturing_i20/RESULTS.json
analyses/service_i19/RESULTS.json
current/SOURCE_EFFECTIVITY.json</x:v>
      </x:c>
    </x:row>
    <x:row r="226" ht="140" customHeight="1">
      <x:c r="A226" s="180" t="str">
        <x:v>LAY-04</x:v>
      </x:c>
      <x:c r="B226" s="180" t="str">
        <x:v>CLOSED</x:v>
      </x:c>
      <x:c r="C226" s="180" t="str">
        <x:v>CURRENT EVIDENCE REVIEWED</x:v>
      </x:c>
      <x:c r="D226" s="180" t="str">
        <x:v>CLOSED BY ORIGINAL SCOPE</x:v>
      </x:c>
      <x:c r="E226" s="180"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6" s="180" t="str"/>
      <x:c r="G226" s="180"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x:v>
      </x:c>
    </x:row>
    <x:row r="227" ht="88" customHeight="1">
      <x:c r="A227" s="219" t="str">
        <x:v>LAY-05</x:v>
      </x:c>
      <x:c r="B227" s="219" t="str">
        <x:v>CLOSED</x:v>
      </x:c>
      <x:c r="C227" s="219" t="str">
        <x:v>COMPLETED SOURCE DOCUMENTARY SCOPE</x:v>
      </x:c>
      <x:c r="D227" s="219" t="str">
        <x:v>CLOSED BY ORIGINAL SCOPE</x:v>
      </x:c>
      <x:c r="E227" s="219"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7" s="219" t="str">
        <x:v>Current source/evidence binding completed. The original documentary or calculation scope is satisfied; applicability and external acceptance conditions remain in the linked evidence and related open criteria.</x:v>
      </x:c>
      <x:c r="G227" s="219" t="str">
        <x:v>lanes/emc/EMC_DESKTOP_REPORT.md
lanes/emc/REDLINE_DISPOSITIONS.json
lanes/emc/EMC_NUMERICAL_VERIFICATION.json
analyses/manufacturing_i20/RESULTS.json
analyses/service_i19/RESULTS.json
current/SOURCE_EFFECTIVITY.json</x:v>
      </x:c>
    </x:row>
    <x:row r="228" ht="88" customHeight="1">
      <x:c r="A228" s="180" t="str">
        <x:v>LAY-06</x:v>
      </x:c>
      <x:c r="B228" s="180" t="str">
        <x:v>OPEN</x:v>
      </x:c>
      <x:c r="C228" s="180" t="str">
        <x:v>COMPLETED CONDITIONAL MODEL</x:v>
      </x:c>
      <x:c r="D228" s="180" t="str">
        <x:v>CURRENT SOURCE OR MODEL WITH REMAINING CONDITIONS</x:v>
      </x:c>
      <x:c r="E228" s="180" t="str">
        <x:v>Current source geometry, filled copper, 153 models, TranquilWorks logo and 37 test-probe approaches are verified within declared envelopes.
Original criterion disposition remains open. The prior detailed assessment is retained in previous_I06_disposition and the historical register; current evidence and remaining conditions govern this row.</x:v>
      </x:c>
      <x:c r="F228" s="180" t="str">
        <x:v>finished plating/thermal-rise applicability remains conditional.</x:v>
      </x:c>
      <x:c r="G228" s="180" t="str">
        <x:v>lanes/power/FINAL_I04_POWER_EFFECTIVITY.json
lanes/power/COUPLED_STARTUP_ENVELOPE.json
lanes/power_limits/POWER_LIMITS_SUMMARY.json
analyses/manufacturing_i20/RESULTS.json
analyses/service_i19/RESULTS.json
current/SOURCE_EFFECTIVITY.json</x:v>
      </x:c>
    </x:row>
    <x:row r="229" ht="140" customHeight="1">
      <x:c r="A229" s="219" t="str">
        <x:v>LAY-07</x:v>
      </x:c>
      <x:c r="B229" s="219" t="str">
        <x:v>CLOSED</x:v>
      </x:c>
      <x:c r="C229" s="219" t="str">
        <x:v>CURRENT EVIDENCE REVIEWED</x:v>
      </x:c>
      <x:c r="D229" s="219" t="str">
        <x:v>CLOSED BY ORIGINAL SCOPE</x:v>
      </x:c>
      <x:c r="E229" s="219" t="str">
        <x:v>Current source geometry, filled copper, 153 models, TranquilWorks logo and 37 test-probe approaches are verified within declared envelopes.
Original criterion disposition remains closed. The prior detailed assessment is retained in previous_I06_disposition and the historical register; current evidence and remaining conditions govern this row.</x:v>
      </x:c>
      <x:c r="F229" s="219" t="str"/>
      <x:c r="G229" s="219" t="str">
        <x:v>lanes/oil_cap/OIL_CAP_GEOMETRY_REPORT.json
lanes/oil_cap/OIL_CAP_SAME_NET_CONTACTS.json
control/check_combined_copper.py
lanes/oil_cap/FINAL_C532_SUBGRAPH_BINDING.json
iterations/I04_compact_shunt/COMBINED_COPPER_CHECK.json
iterations/I04_compact_shunt/COURTYARD_CHECK.json
verification/independent/I04_SOURCE_AND_GATE_AUDIT.json
analyses/manufacturing_i20/RESULTS.json
analyses/service_i19/RESULTS.json
current/SOURCE_EFFECTIVITY.json</x:v>
      </x:c>
    </x:row>
    <x:row r="230" ht="62" customHeight="1">
      <x:c r="A230" s="180" t="str">
        <x:v>LAY-08</x:v>
      </x:c>
      <x:c r="B230" s="180" t="str">
        <x:v>CLOSED</x:v>
      </x:c>
      <x:c r="C230" s="180" t="str">
        <x:v>COMPLETED CURRENT SOURCE VERIFICATION</x:v>
      </x:c>
      <x:c r="D230" s="180" t="str">
        <x:v>CLOSED BY ORIGINAL SCOPE</x:v>
      </x:c>
      <x:c r="E230" s="180" t="str">
        <x:v>Declared populated, mated and RF-accessory geometry has 776 checks with zero interference. The dashboard installation and RF correlation plan remains attached to the selected locations.</x:v>
      </x:c>
      <x:c r="F230" s="180" t="str">
        <x:v>Original documentary, design-inspection or execution scope satisfied. Related supplier and physical criteria retain their own dispositions.</x:v>
      </x:c>
      <x:c r="G230" s="180" t="str">
        <x:v>analyses/mated_i18/RESULTS.json
analyses/service_i19/RESULTS.json
analyses/installation/DASHBOARD_EXPOSURE_AND_SERVICE.md
current/SOURCE_EFFECTIVITY.json</x:v>
      </x:c>
    </x:row>
    <x:row r="231" ht="49" customHeight="1">
      <x:c r="A231" s="219" t="str">
        <x:v>LAY-09</x:v>
      </x:c>
      <x:c r="B231" s="219" t="str">
        <x:v>CLOSED</x:v>
      </x:c>
      <x:c r="C231" s="219" t="str">
        <x:v>COMPLETED CURRENT SOURCE VERIFICATION</x:v>
      </x:c>
      <x:c r="D231" s="219" t="str">
        <x:v>CLOSED BY ORIGINAL SCOPE</x:v>
      </x:c>
      <x:c r="E231" s="219" t="str">
        <x:v>Actual native clearance/legend checks pass, including the compact TW logo and the Tag-Connect 0.508 mm rule. All 37 declared probe approaches pass. Bottom probing requires carrier removal.</x:v>
      </x:c>
      <x:c r="F231" s="219" t="str">
        <x:v>Original documentary, design-inspection or execution scope satisfied. Related supplier and physical criteria retain their own dispositions.</x:v>
      </x:c>
      <x:c r="G231" s="219" t="str">
        <x:v>iterations/I20_controlled_handoff/NATIVE_BINDING.json
analyses/service_i19/RESULTS.json
current/SOURCE_EFFECTIVITY.json</x:v>
      </x:c>
    </x:row>
    <x:row r="232" ht="62" customHeight="1">
      <x:c r="A232" s="180" t="str">
        <x:v>LAY-10</x:v>
      </x:c>
      <x:c r="B232" s="180" t="str">
        <x:v>CLOSED</x:v>
      </x:c>
      <x:c r="C232" s="180" t="str">
        <x:v>COMPLETED CURRENT SOURCE VERIFICATION</x:v>
      </x:c>
      <x:c r="D232" s="180" t="str">
        <x:v>CLOSED BY ORIGINAL SCOPE</x:v>
      </x:c>
      <x:c r="E232" s="180" t="str">
        <x:v>Current source hashes match the I20 native run. Independent comparison finds exact agreement for all four copper Gerbers, 338 plated drills, ten NPTH drills and every pad net.</x:v>
      </x:c>
      <x:c r="F232" s="180" t="str">
        <x:v>Original documentary, design-inspection or execution scope satisfied. Related supplier and physical criteria retain their own dispositions.</x:v>
      </x:c>
      <x:c r="G232" s="180" t="str">
        <x:v>iterations/I20_controlled_handoff/NATIVE_BINDING.json
current/I21_SOURCE_VERIFICATION.json
analyses/manufacturing_i20/RESULTS.json
current/SOURCE_EFFECTIVITY.json</x:v>
      </x:c>
    </x:row>
    <x:row r="233" ht="88" customHeight="1">
      <x:c r="A233" s="219" t="str">
        <x:v>DFM-01</x:v>
      </x:c>
      <x:c r="B233" s="219" t="str">
        <x:v>OPEN</x:v>
      </x:c>
      <x:c r="C233" s="219" t="str">
        <x:v>SUPPLIER OR RESPONSIBLE ACCEPTANCE</x:v>
      </x:c>
      <x:c r="D233" s="219" t="str">
        <x:v>CURRENT SOURCE OR MODEL WITH REMAINING CONDITIONS</x:v>
      </x:c>
      <x:c r="E233" s="219"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3" s="219" t="str">
        <x:v>current supplier capability/impedance agreement remains.</x:v>
      </x:c>
      <x:c r="G233" s="219"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34" ht="88" customHeight="1">
      <x:c r="A234" s="180" t="str">
        <x:v>DFM-02</x:v>
      </x:c>
      <x:c r="B234" s="180" t="str">
        <x:v>OPEN</x:v>
      </x:c>
      <x:c r="C234" s="180" t="str">
        <x:v>CURRENT NATIVE COMPLETE OTHER EVIDENCE REQUIRED</x:v>
      </x:c>
      <x:c r="D234" s="180" t="str">
        <x:v>CURRENT SOURCE OR MODEL WITH REMAINING CONDITIONS</x:v>
      </x:c>
      <x:c r="E234" s="180"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4" s="180" t="str">
        <x:v>Native source/build gate is now complete. Remaining original evidence: Fabrication drawing and DFM report agree with connector and mechanical requirements.</x:v>
      </x:c>
      <x:c r="G234" s="180" t="str">
        <x:v>runtime/final_I06_actual_preflight/RESULT.json
runtime/run_native_candidate.py
iterations/I20_controlled_handoff/NATIVE_BINDING.json
current/SOURCE_EFFECTIVITY.json
current/MANUFACTURING_AND_ASSEMBLY.md</x:v>
      </x:c>
    </x:row>
    <x:row r="235" ht="49" customHeight="1">
      <x:c r="A235" s="219" t="str">
        <x:v>DFM-03</x:v>
      </x:c>
      <x:c r="B235" s="219" t="str">
        <x:v>CLOSED</x:v>
      </x:c>
      <x:c r="C235" s="219" t="str">
        <x:v>COMPLETED CURRENT SOURCE VERIFICATION</x:v>
      </x:c>
      <x:c r="D235" s="219" t="str">
        <x:v>CLOSED BY ORIGINAL SCOPE</x:v>
      </x:c>
      <x:c r="E235" s="219" t="str">
        <x:v>Separate Gerber/drill reconstruction distinguishes 338 plated and ten non-plated drills, including the Tag-Connect locating holes. The controlled outline contains the C206 thermal tab.</x:v>
      </x:c>
      <x:c r="F235" s="219" t="str">
        <x:v>Original documentary, design-inspection or execution scope satisfied. Related supplier and physical criteria retain their own dispositions.</x:v>
      </x:c>
      <x:c r="G235" s="219" t="str">
        <x:v>analyses/manufacturing_i20/RESULTS.json
iterations/I18_capacitor_thermal_tab/CURRENT_OUTLINE_GEOMETRY.json
current/SOURCE_EFFECTIVITY.json</x:v>
      </x:c>
    </x:row>
    <x:row r="236" ht="101" customHeight="1">
      <x:c r="A236" s="180" t="str">
        <x:v>DFM-04</x:v>
      </x:c>
      <x:c r="B236" s="180" t="str">
        <x:v>OPEN</x:v>
      </x:c>
      <x:c r="C236" s="180" t="str">
        <x:v>CURRENT EVIDENCE REVIEWED</x:v>
      </x:c>
      <x:c r="D236" s="180" t="str">
        <x:v>OPEN ORIGINAL ACCEPTANCE</x:v>
      </x:c>
      <x:c r="E236" s="180" t="str">
        <x:v>The current native JLC-targeted clearance, mask and edge rules report zero findings. This is not an executed supplier DFM review or a supplier guarantee of construction limits.</x:v>
      </x:c>
      <x:c r="F236" s="180" t="str">
        <x:v>Obtain a supplier result for the exact current files and minimum copper, plating, mask and edge conditions. Resolve any returned findings in a new coordinated iteration.</x:v>
      </x:c>
      <x:c r="G236" s="180" t="str">
        <x:v>runtime/run_native_candidate.py
runtime/final_I06_actual_preflight/RESULT.json
runtime/NATIVE_NEGATIVE_CONTROL_RECHECK.json
iterations/I06_harness_handoff/CANDIDATE_MANIFEST.json
iterations/I20_controlled_handoff/NATIVE_BINDING.json
current/SOURCE_EFFECTIVITY.json
current/MANUFACTURING_AND_ASSEMBLY.md</x:v>
      </x:c>
    </x:row>
    <x:row r="237" ht="88" customHeight="1">
      <x:c r="A237" s="219" t="str">
        <x:v>DFM-05</x:v>
      </x:c>
      <x:c r="B237" s="219" t="str">
        <x:v>OPEN</x:v>
      </x:c>
      <x:c r="C237" s="219" t="str">
        <x:v>SUPPLIER OR RESPONSIBLE ACCEPTANCE</x:v>
      </x:c>
      <x:c r="D237" s="219" t="str">
        <x:v>CURRENT SOURCE OR MODEL WITH REMAINING CONDITIONS</x:v>
      </x:c>
      <x:c r="E237" s="219"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7" s="219" t="str">
        <x:v>assembler-approved stencil/reflow remains.</x:v>
      </x:c>
      <x:c r="G237" s="219"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38" ht="88" customHeight="1">
      <x:c r="A238" s="180" t="str">
        <x:v>DFM-06</x:v>
      </x:c>
      <x:c r="B238" s="180" t="str">
        <x:v>OPEN</x:v>
      </x:c>
      <x:c r="C238" s="180" t="str">
        <x:v>SUPPLIER OR RESPONSIBLE ACCEPTANCE</x:v>
      </x:c>
      <x:c r="D238" s="180" t="str">
        <x:v>CURRENT SOURCE OR MODEL WITH REMAINING CONDITIONS</x:v>
      </x:c>
      <x:c r="E238" s="180"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8" s="180" t="str">
        <x:v>production-fixture/panel supplier review remains.</x:v>
      </x:c>
      <x:c r="G238" s="180"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39" ht="88" customHeight="1">
      <x:c r="A239" s="219" t="str">
        <x:v>DFM-07</x:v>
      </x:c>
      <x:c r="B239" s="219" t="str">
        <x:v>OPEN</x:v>
      </x:c>
      <x:c r="C239" s="219" t="str">
        <x:v>SUPPLIER OR RESPONSIBLE ACCEPTANCE</x:v>
      </x:c>
      <x:c r="D239" s="219" t="str">
        <x:v>CURRENT SOURCE OR MODEL WITH REMAINING CONDITIONS</x:v>
      </x:c>
      <x:c r="E239" s="219"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39" s="219" t="str">
        <x:v>fabricator/assembler process agreement remains.</x:v>
      </x:c>
      <x:c r="G239" s="219"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40" ht="88" customHeight="1">
      <x:c r="A240" s="180" t="str">
        <x:v>DFM-08</x:v>
      </x:c>
      <x:c r="B240" s="180" t="str">
        <x:v>OPEN</x:v>
      </x:c>
      <x:c r="C240" s="180" t="str">
        <x:v>SUPPLIER OR RESPONSIBLE ACCEPTANCE</x:v>
      </x:c>
      <x:c r="D240" s="180" t="str">
        <x:v>CURRENT SOURCE OR MODEL WITH REMAINING CONDITIONS</x:v>
      </x:c>
      <x:c r="E240" s="180"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40" s="180" t="str">
        <x:v>actual assembler approval remains.</x:v>
      </x:c>
      <x:c r="G240" s="180"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41" ht="88" customHeight="1">
      <x:c r="A241" s="219" t="str">
        <x:v>DFM-09</x:v>
      </x:c>
      <x:c r="B241" s="219" t="str">
        <x:v>OPEN</x:v>
      </x:c>
      <x:c r="C241" s="219" t="str">
        <x:v>SUPPLIER OR RESPONSIBLE ACCEPTANCE</x:v>
      </x:c>
      <x:c r="D241" s="219" t="str">
        <x:v>CURRENT SOURCE OR MODEL WITH REMAINING CONDITIONS</x:v>
      </x:c>
      <x:c r="E241" s="219" t="str">
        <x:v>I20 native rules and independently reconstructed manufacturing exports pass. Current construction has 49 filled/capped/planarized vias. Actual JLC process acceptance and lot evidence are not supplied by CAD.
Original criterion disposition remains open. The prior detailed assessment is retained in previous_I06_disposition and the historical register; current evidence and remaining conditions govern this row.</x:v>
      </x:c>
      <x:c r="F241" s="219" t="str">
        <x:v>remaining incoming declarations and actual build process remain supplier acceptance.</x:v>
      </x:c>
      <x:c r="G241" s="219" t="str">
        <x:v>analyses/assembly_handling/EXACT_MPN_HANDLING_REGISTER.json
analyses/assembly_handling/PROCESS_RECONCILIATION.md
lanes/mechanics/ASSEMBLY_PROCESS_RVB22.md
iterations/I20_controlled_handoff/NATIVE_BINDING.json
current/SOURCE_EFFECTIVITY.json
current/MANUFACTURING_AND_ASSEMBLY.md</x:v>
      </x:c>
    </x:row>
    <x:row r="242" ht="49" customHeight="1">
      <x:c r="A242" s="180" t="str">
        <x:v>DFM-10</x:v>
      </x:c>
      <x:c r="B242" s="180" t="str">
        <x:v>CLOSED</x:v>
      </x:c>
      <x:c r="C242" s="180" t="str">
        <x:v>COMPLETED CURRENT SOURCE VERIFICATION</x:v>
      </x:c>
      <x:c r="D242" s="180" t="str">
        <x:v>CLOSED BY ORIGINAL SCOPE</x:v>
      </x:c>
      <x:c r="E242" s="180" t="str">
        <x:v>All 153 fitted BOM references match their exact source properties. The 151 placement rows match position/side/rotation. F101 and U401 are explicit manual-assembly exceptions; DNP/test configuration is retained.</x:v>
      </x:c>
      <x:c r="F242" s="180" t="str">
        <x:v>Original documentary, design-inspection or execution scope satisfied. Related supplier and physical criteria retain their own dispositions.</x:v>
      </x:c>
      <x:c r="G242" s="180" t="str">
        <x:v>current/SOURCE_EFFECTIVITY.json
iterations/I20_controlled_handoff/NATIVE_BINDING.json</x:v>
      </x:c>
    </x:row>
    <x:row r="243" ht="62" customHeight="1">
      <x:c r="A243" s="219" t="str">
        <x:v>DRW-01</x:v>
      </x:c>
      <x:c r="B243" s="219" t="str">
        <x:v>CLOSED</x:v>
      </x:c>
      <x:c r="C243" s="219" t="str">
        <x:v>COMPLETED CURRENT SOURCE VERIFICATION</x:v>
      </x:c>
      <x:c r="D243" s="219" t="str">
        <x:v>CLOSED BY ORIGINAL SCOPE</x:v>
      </x:c>
      <x:c r="E243" s="219" t="str">
        <x:v>The current manifest binds source CAD, native filled PCB, BOM, placement, Gerber, drill, STEP, schematic PDF and firmware image. C05/W02/T03 and the 49 filled/capped locations are the controlling mechanical/process construction.</x:v>
      </x:c>
      <x:c r="F243" s="219" t="str">
        <x:v>Original documentary, design-inspection or execution scope satisfied. Related supplier and physical criteria retain their own dispositions.</x:v>
      </x:c>
      <x:c r="G243" s="219" t="str">
        <x:v>iterations/I20_controlled_handoff/NATIVE_BINDING.json
current/I21_SOURCE_VERIFICATION.json
current/SOURCE_EFFECTIVITY.json
current/MANUFACTURING_AND_ASSEMBLY.md</x:v>
      </x:c>
    </x:row>
    <x:row r="244" ht="49" customHeight="1">
      <x:c r="A244" s="180" t="str">
        <x:v>DRW-02</x:v>
      </x:c>
      <x:c r="B244" s="180" t="str">
        <x:v>CLOSED</x:v>
      </x:c>
      <x:c r="C244" s="180" t="str">
        <x:v>COMPLETED CURRENT SOURCE VERIFICATION</x:v>
      </x:c>
      <x:c r="D244" s="180" t="str">
        <x:v>CLOSED BY ORIGINAL SCOPE</x:v>
      </x:c>
      <x:c r="E244" s="180" t="str">
        <x:v>BOM/PCB comparison covers all 153 fitted references, exact manufacturer part fields and footprint identity. PnP matches all 151 automated placements with explicit manual exceptions F101 and U401.</x:v>
      </x:c>
      <x:c r="F244" s="180" t="str">
        <x:v>Original documentary, design-inspection or execution scope satisfied. Related supplier and physical criteria retain their own dispositions.</x:v>
      </x:c>
      <x:c r="G244" s="180" t="str">
        <x:v>current/SOURCE_EFFECTIVITY.json
iterations/I20_controlled_handoff/NATIVE_BINDING.json</x:v>
      </x:c>
    </x:row>
    <x:row r="245" ht="88" customHeight="1">
      <x:c r="A245" s="219" t="str">
        <x:v>DRW-03</x:v>
      </x:c>
      <x:c r="B245" s="219" t="str">
        <x:v>OPEN</x:v>
      </x:c>
      <x:c r="C245" s="219" t="str">
        <x:v>CURRENT NATIVE COMPLETE OTHER EVIDENCE REQUIRED</x:v>
      </x:c>
      <x:c r="D245" s="219" t="str">
        <x:v>CURRENT SOURCE OR MODEL WITH REMAINING CONDITIONS</x:v>
      </x:c>
      <x:c r="E245" s="219"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x:v>
      </x:c>
      <x:c r="F245" s="219" t="str">
        <x:v>Native source/build gate is now complete. Remaining original evidence: Pin-1/polarity overlay against manufacturer drawings and an independent reviewer.</x:v>
      </x:c>
      <x:c r="G245" s="219" t="str">
        <x:v>runtime/final_I06_actual_preflight/RESULT.json
runtime/run_native_candidate.py
iterations/I20_controlled_handoff/NATIVE_BINDING.json
current/I21_SOURCE_VERIFICATION.json
current/SOURCE_EFFECTIVITY.json
current/MANUFACTURING_AND_ASSEMBLY.md</x:v>
      </x:c>
    </x:row>
    <x:row r="246" ht="101" customHeight="1">
      <x:c r="A246" s="180" t="str">
        <x:v>DRW-04</x:v>
      </x:c>
      <x:c r="B246" s="180" t="str">
        <x:v>OPEN</x:v>
      </x:c>
      <x:c r="C246" s="180" t="str">
        <x:v>SUPPLIER OR RESPONSIBLE ACCEPTANCE</x:v>
      </x:c>
      <x:c r="D246" s="180" t="str">
        <x:v>CURRENT SOURCE OR MODEL WITH REMAINING CONDITIONS</x:v>
      </x:c>
      <x:c r="E246" s="180"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x:v>
      </x:c>
      <x:c r="F246" s="180" t="str">
        <x:v>actual supplier review is not simulated.</x:v>
      </x:c>
      <x:c r="G246" s="180"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x:v>
      </x:c>
    </x:row>
    <x:row r="247" ht="101" customHeight="1">
      <x:c r="A247" s="219" t="str">
        <x:v>DRW-05</x:v>
      </x:c>
      <x:c r="B247" s="219" t="str">
        <x:v>OPEN</x:v>
      </x:c>
      <x:c r="C247" s="219" t="str">
        <x:v>SUPPLIER OR RESPONSIBLE ACCEPTANCE</x:v>
      </x:c>
      <x:c r="D247" s="219" t="str">
        <x:v>CURRENT SOURCE OR MODEL WITH REMAINING CONDITIONS</x:v>
      </x:c>
      <x:c r="E247" s="219" t="str">
        <x:v>Current I20 source/export identity is checked. The coordinated handoff points to C05/W02/T03 and 49 filled/capped locations. Historical snapshots are retained with their original effectivity.
Original criterion disposition remains open. The prior detailed assessment is retained in previous_I06_disposition and the historical register; current evidence and remaining conditions govern this row.</x:v>
      </x:c>
      <x:c r="F247" s="219" t="str">
        <x:v>actual assembler buildability review remains.</x:v>
      </x:c>
      <x:c r="G247" s="219" t="str">
        <x:v>analyses/assembly_handling/EXACT_MPN_HANDLING_REGISTER.json
analyses/assembly_handling/PROCESS_RECONCILIATION.md
lanes/mechanics/ASSEMBLY_PROCESS_RVB22.md
iterations/I20_controlled_handoff/NATIVE_BINDING.json
current/I21_SOURCE_VERIFICATION.json
current/SOURCE_EFFECTIVITY.json
current/MANUFACTURING_AND_ASSEMBLY.md</x:v>
      </x:c>
    </x:row>
    <x:row r="248" ht="153" customHeight="1">
      <x:c r="A248" s="180" t="str">
        <x:v>DRW-06</x:v>
      </x:c>
      <x:c r="B248" s="180" t="str">
        <x:v>CLOSED</x:v>
      </x:c>
      <x:c r="C248" s="180" t="str">
        <x:v>CURRENT EVIDENCE REVIEWED</x:v>
      </x:c>
      <x:c r="D248" s="180" t="str">
        <x:v>CLOSED BY ORIGINAL SCOPE</x:v>
      </x:c>
      <x:c r="E248" s="180"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48" s="180" t="str"/>
      <x:c r="G248" s="180"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iterations/I20_controlled_handoff/NATIVE_BINDING.json
current/I21_SOURCE_VERIFICATION.json
current/SOURCE_EFFECTIVITY.json
current/MANUFACTURING_AND_ASSEMBLY.md</x:v>
      </x:c>
    </x:row>
    <x:row r="249" ht="88" customHeight="1">
      <x:c r="A249" s="219" t="str">
        <x:v>DRW-07</x:v>
      </x:c>
      <x:c r="B249" s="219" t="str">
        <x:v>CLOSED</x:v>
      </x:c>
      <x:c r="C249" s="219" t="str">
        <x:v>CURRENT EVIDENCE REVIEWED</x:v>
      </x:c>
      <x:c r="D249" s="219" t="str">
        <x:v>CLOSED BY ORIGINAL SCOPE</x:v>
      </x:c>
      <x:c r="E249" s="219"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49" s="219" t="str"/>
      <x:c r="G249" s="219" t="str">
        <x:v>iterations/I06_harness_handoff/CANDIDATE_MANIFEST.json
iterations/I20_controlled_handoff/NATIVE_BINDING.json
current/I21_SOURCE_VERIFICATION.json
current/SOURCE_EFFECTIVITY.json
current/MANUFACTURING_AND_ASSEMBLY.md</x:v>
      </x:c>
    </x:row>
    <x:row r="250" ht="62" customHeight="1">
      <x:c r="A250" s="180" t="str">
        <x:v>DRW-08</x:v>
      </x:c>
      <x:c r="B250" s="180" t="str">
        <x:v>CLOSED</x:v>
      </x:c>
      <x:c r="C250" s="180" t="str">
        <x:v>COMPLETED CURRENT SOURCE VERIFICATION</x:v>
      </x:c>
      <x:c r="D250" s="180" t="str">
        <x:v>CLOSED BY ORIGINAL SCOPE</x:v>
      </x:c>
      <x:c r="E250" s="180" t="str">
        <x:v>I20 native ERC, DRC, warnings, unconnected and schematic/PCB parity findings are all zero. The former ESP32 footprint warning is resolved. No finding waiver is needed.</x:v>
      </x:c>
      <x:c r="F250" s="180" t="str">
        <x:v>Original documentary, design-inspection or execution scope satisfied. Related supplier and physical criteria retain their own dispositions.</x:v>
      </x:c>
      <x:c r="G250" s="180" t="str">
        <x:v>iterations/I20_controlled_handoff/NATIVE_BINDING.json
current/I21_SOURCE_VERIFICATION.json
analyses/manufacturing_i20/RESULTS.json
current/SOURCE_EFFECTIVITY.json</x:v>
      </x:c>
    </x:row>
    <x:row r="251" ht="49" customHeight="1">
      <x:c r="A251" s="219" t="str">
        <x:v>DRW-09</x:v>
      </x:c>
      <x:c r="B251" s="219" t="str">
        <x:v>CLOSED</x:v>
      </x:c>
      <x:c r="C251" s="219" t="str">
        <x:v>COMPLETED CURRENT SOURCE VERIFICATION</x:v>
      </x:c>
      <x:c r="D251" s="219" t="str">
        <x:v>CLOSED BY ORIGINAL SCOPE</x:v>
      </x:c>
      <x:c r="E251" s="219" t="str">
        <x:v>The rerun uses a separate geometric/Gerber parser, not a native CAD pass alone. All four copper exports and every plated/non-plated drill match intended source geometry.</x:v>
      </x:c>
      <x:c r="F251" s="219" t="str">
        <x:v>Original documentary, design-inspection or execution scope satisfied. Related supplier and physical criteria retain their own dispositions.</x:v>
      </x:c>
      <x:c r="G251" s="219" t="str">
        <x:v>analyses/manufacturing_i20/RESULTS.json
current/I21_SOURCE_VERIFICATION.json
current/SOURCE_EFFECTIVITY.json</x:v>
      </x:c>
    </x:row>
    <x:row r="252" ht="127" customHeight="1">
      <x:c r="A252" s="180" t="str">
        <x:v>DRW-10</x:v>
      </x:c>
      <x:c r="B252" s="180" t="str">
        <x:v>CLOSED</x:v>
      </x:c>
      <x:c r="C252" s="180" t="str">
        <x:v>CURRENT EVIDENCE REVIEWED</x:v>
      </x:c>
      <x:c r="D252" s="180" t="str">
        <x:v>CLOSED BY ORIGINAL SCOPE</x:v>
      </x:c>
      <x:c r="E252" s="180" t="str">
        <x:v>Current I20 source/export identity is checked. The coordinated handoff points to C05/W02/T03 and 49 filled/capped locations. Historical snapshots are retained with their original effectivity.
Original criterion disposition remains closed. The prior detailed assessment is retained in previous_I06_disposition and the historical register; current evidence and remaining conditions govern this row.</x:v>
      </x:c>
      <x:c r="F252" s="180" t="str"/>
      <x:c r="G252" s="180" t="str">
        <x:v>control/EXECUTION_PLAN_CURRENT.md
control/RECOVERY_LEDGER.md
control/DESKTOP_ACTION_DISPOSITIONS_CURRENT.json
iterations/I06_harness_handoff/CANDIDATE_MANIFEST.json
control/FINAL_GATES.json
iterations/I20_controlled_handoff/NATIVE_BINDING.json
current/I21_SOURCE_VERIFICATION.json
current/SOURCE_EFFECTIVITY.json
current/MANUFACTURING_AND_ASSEMBLY.md</x:v>
      </x:c>
    </x:row>
    <x:row r="253" ht="88" customHeight="1">
      <x:c r="A253" s="219" t="str">
        <x:v>DFT-01</x:v>
      </x:c>
      <x:c r="B253" s="219" t="str">
        <x:v>CLOSED</x:v>
      </x:c>
      <x:c r="C253" s="219" t="str">
        <x:v>CURRENT EVIDENCE REVIEWED</x:v>
      </x:c>
      <x:c r="D253" s="219" t="str">
        <x:v>CLOSED BY ORIGINAL SCOPE</x:v>
      </x:c>
      <x:c r="E25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3" s="219" t="str"/>
      <x:c r="G253" s="219" t="str">
        <x:v>control/RVB22_BRING_UP_AND_MEASUREMENT_CONTRACT.md
control/BRINGUP_SCHEMATIC_TEXT_DELTA.json
control/BRINGUP_ACTUAL_NODE_INDEX.json
control/FINAL_I04_BRINGUP_BINDING.json
analyses/service_i19/RESULTS.json
current/SOURCE_EFFECTIVITY.json</x:v>
      </x:c>
    </x:row>
    <x:row r="254" ht="75" customHeight="1">
      <x:c r="A254" s="180" t="str">
        <x:v>DFT-02</x:v>
      </x:c>
      <x:c r="B254" s="180" t="str">
        <x:v>CLOSED</x:v>
      </x:c>
      <x:c r="C254" s="180" t="str">
        <x:v>COMPLETED CURRENT SOURCE VERIFICATION</x:v>
      </x:c>
      <x:c r="D254" s="180" t="str">
        <x:v>CLOSED BY ORIGINAL SCOPE</x:v>
      </x:c>
      <x:c r="E254" s="180" t="str">
        <x:v>The current test-point map checks 37 normal probe approaches and nearest ground contacts. Minimum radial clearance is 0.700 mm with a 0.30 mm needle plus 0.10 mm positioning allowance and at least 5 mm slender shaft. Fast signals require a differential or short return probe, not the distant DC ground contacts.</x:v>
      </x:c>
      <x:c r="F254" s="180" t="str">
        <x:v>Original documentary, design-inspection or execution scope satisfied. Related supplier and physical criteria retain their own dispositions.</x:v>
      </x:c>
      <x:c r="G254" s="180" t="str">
        <x:v>analyses/service_i19/RESULTS.json
current/SOURCE_EFFECTIVITY.json</x:v>
      </x:c>
    </x:row>
    <x:row r="255" ht="88" customHeight="1">
      <x:c r="A255" s="219" t="str">
        <x:v>DFT-03</x:v>
      </x:c>
      <x:c r="B255" s="219" t="str">
        <x:v>CLOSED</x:v>
      </x:c>
      <x:c r="C255" s="219" t="str">
        <x:v>CURRENT EVIDENCE REVIEWED</x:v>
      </x:c>
      <x:c r="D255" s="219" t="str">
        <x:v>CLOSED BY ORIGINAL SCOPE</x:v>
      </x:c>
      <x:c r="E25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5" s="219" t="str"/>
      <x:c r="G255" s="219" t="str">
        <x:v>control/RVB22_BRING_UP_AND_MEASUREMENT_CONTRACT.md
control/BRINGUP_SCHEMATIC_TEXT_DELTA.json
control/BRINGUP_ACTUAL_NODE_INDEX.json
control/FINAL_I04_BRINGUP_BINDING.json
analyses/service_i19/RESULTS.json
current/SOURCE_EFFECTIVITY.json</x:v>
      </x:c>
    </x:row>
    <x:row r="256" ht="88" customHeight="1">
      <x:c r="A256" s="180" t="str">
        <x:v>DFT-04</x:v>
      </x:c>
      <x:c r="B256" s="180" t="str">
        <x:v>CLOSED</x:v>
      </x:c>
      <x:c r="C256" s="180" t="str">
        <x:v>CURRENT EVIDENCE REVIEWED</x:v>
      </x:c>
      <x:c r="D256" s="180" t="str">
        <x:v>CLOSED BY ORIGINAL SCOPE</x:v>
      </x:c>
      <x:c r="E25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6" s="180" t="str"/>
      <x:c r="G256" s="180" t="str">
        <x:v>control/RVB22_BRING_UP_AND_MEASUREMENT_CONTRACT.md
control/BRINGUP_SCHEMATIC_TEXT_DELTA.json
control/BRINGUP_ACTUAL_NODE_INDEX.json
control/FINAL_I04_BRINGUP_BINDING.json
analyses/service_i19/RESULTS.json
current/SOURCE_EFFECTIVITY.json</x:v>
      </x:c>
    </x:row>
    <x:row r="257" ht="75" customHeight="1">
      <x:c r="A257" s="219" t="str">
        <x:v>DFT-05</x:v>
      </x:c>
      <x:c r="B257" s="219" t="str">
        <x:v>OPEN</x:v>
      </x:c>
      <x:c r="C257" s="219" t="str">
        <x:v>HARDWARE OR INSTALLATION ACCEPTANCE</x:v>
      </x:c>
      <x:c r="D257" s="219" t="str">
        <x:v>CURRENT SOURCE OR MODEL WITH REMAINING CONDITIONS</x:v>
      </x:c>
      <x:c r="E25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57" s="219" t="str">
        <x:v>known-good assembled reference test remains.</x:v>
      </x:c>
      <x:c r="G257" s="219" t="str">
        <x:v>interfaces/HARNESS_INTERFACE_CONTRACT.json
interfaces/HARNESS_CHECKS.json
analyses/harness_wire/HARNESS_WIRE_DELTA.json
analyses/service_i19/RESULTS.json
current/SOURCE_EFFECTIVITY.json</x:v>
      </x:c>
    </x:row>
    <x:row r="258" ht="88" customHeight="1">
      <x:c r="A258" s="180" t="str">
        <x:v>DFT-06</x:v>
      </x:c>
      <x:c r="B258" s="180" t="str">
        <x:v>CLOSED</x:v>
      </x:c>
      <x:c r="C258" s="180" t="str">
        <x:v>CURRENT EVIDENCE REVIEWED</x:v>
      </x:c>
      <x:c r="D258" s="180" t="str">
        <x:v>CLOSED BY ORIGINAL SCOPE</x:v>
      </x:c>
      <x:c r="E258"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8" s="180" t="str"/>
      <x:c r="G258" s="180" t="str">
        <x:v>control/RVB22_BRING_UP_AND_MEASUREMENT_CONTRACT.md
control/BRINGUP_SCHEMATIC_TEXT_DELTA.json
control/BRINGUP_ACTUAL_NODE_INDEX.json
control/FINAL_I04_BRINGUP_BINDING.json
analyses/service_i19/RESULTS.json
current/SOURCE_EFFECTIVITY.json</x:v>
      </x:c>
    </x:row>
    <x:row r="259" ht="127" customHeight="1">
      <x:c r="A259" s="219" t="str">
        <x:v>DFT-07</x:v>
      </x:c>
      <x:c r="B259" s="219" t="str">
        <x:v>CLOSED</x:v>
      </x:c>
      <x:c r="C259" s="219" t="str">
        <x:v>CURRENT EVIDENCE REVIEWED</x:v>
      </x:c>
      <x:c r="D259" s="219" t="str">
        <x:v>CLOSED BY ORIGINAL SCOPE</x:v>
      </x:c>
      <x:c r="E25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59" s="219" t="str"/>
      <x:c r="G259" s="219" t="str">
        <x:v>interfaces/HARNESS_INTERFACE_CONTRACT.json
interfaces/HARNESS_CHECKS.json
analyses/harness_wire/HARNESS_WIRE_DELTA.json
interfaces/MOLEX_A1_HARNESS_REDLINE.json
interfaces/SINGLE_RETURN_EFFECTIVITY.json
interfaces/FINAL_I06_HARNESS_BINDING.json
iterations/I06_harness_handoff/CANDIDATE_MANIFEST.json
analyses/service_i19/RESULTS.json
current/SOURCE_EFFECTIVITY.json</x:v>
      </x:c>
    </x:row>
    <x:row r="260" ht="75" customHeight="1">
      <x:c r="A260" s="180" t="str">
        <x:v>DFT-08</x:v>
      </x:c>
      <x:c r="B260" s="180" t="str">
        <x:v>OPEN</x:v>
      </x:c>
      <x:c r="C260" s="180" t="str">
        <x:v>HARDWARE OR INSTALLATION ACCEPTANCE</x:v>
      </x:c>
      <x:c r="D260" s="180" t="str">
        <x:v>CURRENT SOURCE OR MODEL WITH REMAINING CONDITIONS</x:v>
      </x:c>
      <x:c r="E26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0" s="180" t="str">
        <x:v>instrument/fixture results remain.</x:v>
      </x:c>
      <x:c r="G260" s="180" t="str">
        <x:v>control/FINAL_I04_BRINGUP_BINDING.json
control/RVB22_BRING_UP_AND_MEASUREMENT_CONTRACT.md
control/BRINGUP_ACTUAL_NODE_INDEX.json
analyses/service_i19/RESULTS.json
current/SOURCE_EFFECTIVITY.json</x:v>
      </x:c>
    </x:row>
    <x:row r="261" ht="75" customHeight="1">
      <x:c r="A261" s="219" t="str">
        <x:v>DFT-09</x:v>
      </x:c>
      <x:c r="B261" s="219" t="str">
        <x:v>OPEN</x:v>
      </x:c>
      <x:c r="C261" s="219" t="str">
        <x:v>HARDWARE OR INSTALLATION ACCEPTANCE</x:v>
      </x:c>
      <x:c r="D261" s="219" t="str">
        <x:v>CURRENT SOURCE OR MODEL WITH REMAINING CONDITIONS</x:v>
      </x:c>
      <x:c r="E26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1" s="219" t="str">
        <x:v>actual unit measurements/serial identity remain.</x:v>
      </x:c>
      <x:c r="G261" s="219" t="str">
        <x:v>control/FINAL_I04_BRINGUP_BINDING.json
control/RVB22_BRING_UP_AND_MEASUREMENT_CONTRACT.md
control/BRINGUP_ACTUAL_NODE_INDEX.json
analyses/service_i19/RESULTS.json
current/SOURCE_EFFECTIVITY.json</x:v>
      </x:c>
    </x:row>
    <x:row r="262" ht="75" customHeight="1">
      <x:c r="A262" s="180" t="str">
        <x:v>DFT-10</x:v>
      </x:c>
      <x:c r="B262" s="180" t="str">
        <x:v>OPEN</x:v>
      </x:c>
      <x:c r="C262" s="180" t="str">
        <x:v>HARDWARE OR INSTALLATION ACCEPTANCE</x:v>
      </x:c>
      <x:c r="D262" s="180" t="str">
        <x:v>CURRENT SOURCE OR MODEL WITH REMAINING CONDITIONS</x:v>
      </x:c>
      <x:c r="E26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2" s="180" t="str">
        <x:v>actual post-test sign-off remains.</x:v>
      </x:c>
      <x:c r="G262" s="180" t="str">
        <x:v>interfaces/HARNESS_INTERFACE_CONTRACT.json
interfaces/HARNESS_CHECKS.json
analyses/harness_wire/HARNESS_WIRE_DELTA.json
analyses/service_i19/RESULTS.json
current/SOURCE_EFFECTIVITY.json</x:v>
      </x:c>
    </x:row>
    <x:row r="263" ht="75" customHeight="1">
      <x:c r="A263" s="219" t="str">
        <x:v>VNV-01</x:v>
      </x:c>
      <x:c r="B263" s="219" t="str">
        <x:v>CLOSED</x:v>
      </x:c>
      <x:c r="C263" s="219" t="str">
        <x:v>COMPLETED SOURCE DOCUMENTARY SCOPE</x:v>
      </x:c>
      <x:c r="D263" s="219" t="str">
        <x:v>CLOSED BY ORIGINAL SCOPE</x:v>
      </x:c>
      <x:c r="E26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3" s="219" t="str">
        <x:v>Current source/evidence binding completed. The original documentary or calculation scope is satisfied; applicability and external acceptance conditions remain in the linked evidence and related open criteria.</x:v>
      </x:c>
      <x:c r="G263" s="219" t="str">
        <x:v>control/EXECUTION_PLAN_CURRENT.md
control/CLOSED_CRITERIA_ADJUDICATION.json
current/EXECUTION_PLAN.md
current/I21_SOURCE_VERIFICATION.json</x:v>
      </x:c>
    </x:row>
    <x:row r="264" ht="88" customHeight="1">
      <x:c r="A264" s="180" t="str">
        <x:v>VNV-02</x:v>
      </x:c>
      <x:c r="B264" s="180" t="str">
        <x:v>CLOSED</x:v>
      </x:c>
      <x:c r="C264" s="180" t="str">
        <x:v>CURRENT EVIDENCE REVIEWED</x:v>
      </x:c>
      <x:c r="D264" s="180" t="str">
        <x:v>CLOSED BY ORIGINAL SCOPE</x:v>
      </x:c>
      <x:c r="E26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4" s="180" t="str"/>
      <x:c r="G264" s="180" t="str">
        <x:v>lanes/power/POWER_GEOMETRY_REPORT.json
lanes/power/COUPLED_STARTUP_ENVELOPE.json
lanes/power_limits/POWER_LIMITS_SUMMARY.json
lanes/power/FINAL_I04_POWER_EFFECTIVITY.json
current/EXECUTION_PLAN.md
current/I21_SOURCE_VERIFICATION.json</x:v>
      </x:c>
    </x:row>
    <x:row r="265" ht="101" customHeight="1">
      <x:c r="A265" s="219" t="str">
        <x:v>VNV-03</x:v>
      </x:c>
      <x:c r="B265" s="219" t="str">
        <x:v>CLOSED</x:v>
      </x:c>
      <x:c r="C265" s="219" t="str">
        <x:v>CURRENT EVIDENCE REVIEWED</x:v>
      </x:c>
      <x:c r="D265" s="219" t="str">
        <x:v>CLOSED BY ORIGINAL SCOPE</x:v>
      </x:c>
      <x:c r="E26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65" s="219" t="str"/>
      <x:c r="G265" s="219" t="str">
        <x:v>control/EXECUTION_PLAN_CURRENT.md
control/RECOVERY_LEDGER.md
control/DESKTOP_ACTION_DISPOSITIONS_CURRENT.json
iterations/I06_harness_handoff/CANDIDATE_MANIFEST.json
control/FINAL_GATES.json
current/EXECUTION_PLAN.md
current/I21_SOURCE_VERIFICATION.json</x:v>
      </x:c>
    </x:row>
    <x:row r="266" ht="75" customHeight="1">
      <x:c r="A266" s="180" t="str">
        <x:v>VNV-04</x:v>
      </x:c>
      <x:c r="B266" s="180" t="str">
        <x:v>OPEN</x:v>
      </x:c>
      <x:c r="C266" s="180" t="str">
        <x:v>HARDWARE OR INSTALLATION ACCEPTANCE</x:v>
      </x:c>
      <x:c r="D266" s="180" t="str">
        <x:v>CURRENT SOURCE OR MODEL WITH REMAINING CONDITIONS</x:v>
      </x:c>
      <x:c r="E26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6" s="180" t="str">
        <x:v>original F requests raw measured waveforms and calibration.</x:v>
      </x:c>
      <x:c r="G266" s="180" t="str">
        <x:v>lanes/power/FINAL_I04_POWER_EFFECTIVITY.json
lanes/power/COUPLED_STARTUP_ENVELOPE.json
lanes/power_limits/POWER_LIMITS_SUMMARY.json
current/EXECUTION_PLAN.md
current/I21_SOURCE_VERIFICATION.json</x:v>
      </x:c>
    </x:row>
    <x:row r="267" ht="75" customHeight="1">
      <x:c r="A267" s="219" t="str">
        <x:v>VNV-05</x:v>
      </x:c>
      <x:c r="B267" s="219" t="str">
        <x:v>OPEN</x:v>
      </x:c>
      <x:c r="C267" s="219" t="str">
        <x:v>HARDWARE OR INSTALLATION ACCEPTANCE</x:v>
      </x:c>
      <x:c r="D267" s="219" t="str">
        <x:v>CURRENT SOURCE OR MODEL WITH REMAINING CONDITIONS</x:v>
      </x:c>
      <x:c r="E267"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7" s="219" t="str">
        <x:v>analyzer counts and physical bench waveforms remain.</x:v>
      </x:c>
      <x:c r="G267" s="219" t="str">
        <x:v>analyses/can_branch/COMPLETE_CAN_BRANCH_RESULTS.json
analyses/can_branch/FINAL_CAN_SOURCE_BINDING.json
analyses/can_branch/CAN22-02_NUMERICAL_CHECKS.json
current/EXECUTION_PLAN.md
current/I21_SOURCE_VERIFICATION.json</x:v>
      </x:c>
    </x:row>
    <x:row r="268" ht="75" customHeight="1">
      <x:c r="A268" s="180" t="str">
        <x:v>VNV-06</x:v>
      </x:c>
      <x:c r="B268" s="180" t="str">
        <x:v>OPEN</x:v>
      </x:c>
      <x:c r="C268" s="180" t="str">
        <x:v>HARDWARE OR INSTALLATION ACCEPTANCE</x:v>
      </x:c>
      <x:c r="D268" s="180" t="str">
        <x:v>CURRENT SOURCE OR MODEL WITH REMAINING CONDITIONS</x:v>
      </x:c>
      <x:c r="E26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8" s="180" t="str">
        <x:v>actual traceable voltage/pressure standards and calibration remain.</x:v>
      </x:c>
      <x:c r="G268" s="180" t="str">
        <x:v>lanes/firmware_oil/RECOVERED_FIRMWARE_TEST_RESULTS.json
lanes/firmware_oil/RECOVERY_CALIBRATION_GAIN_REDLINE.json
interfaces/OIL_HARNESS_ERROR_SWEEP.json
current/EXECUTION_PLAN.md
current/I21_SOURCE_VERIFICATION.json</x:v>
      </x:c>
    </x:row>
    <x:row r="269" ht="101" customHeight="1">
      <x:c r="A269" s="219" t="str">
        <x:v>VNV-07</x:v>
      </x:c>
      <x:c r="B269" s="219" t="str">
        <x:v>OPEN</x:v>
      </x:c>
      <x:c r="C269" s="219" t="str">
        <x:v>HARDWARE OR INSTALLATION ACCEPTANCE</x:v>
      </x:c>
      <x:c r="D269" s="219" t="str">
        <x:v>CURRENT SOURCE OR MODEL WITH REMAINING CONDITIONS</x:v>
      </x:c>
      <x:c r="E26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69" s="219" t="str">
        <x:v>outdoor/timing/fix-quality comparison remains.</x:v>
      </x:c>
      <x:c r="G269" s="219" t="str">
        <x:v>lanes/rf/RF_FINAL_REPORT.md
lanes/rf/RF_FINAL_SUMMARY.json
lanes/rf/RF_I04_ADDENDUM.md
lanes/rf/RF_I04_SUMMARY.json
lanes/emc/RF_STRIP_NETWORK.json
current/EXECUTION_PLAN.md
current/I21_SOURCE_VERIFICATION.json</x:v>
      </x:c>
    </x:row>
    <x:row r="270" ht="75" customHeight="1">
      <x:c r="A270" s="180" t="str">
        <x:v>VNV-08</x:v>
      </x:c>
      <x:c r="B270" s="180" t="str">
        <x:v>OPEN</x:v>
      </x:c>
      <x:c r="C270" s="180" t="str">
        <x:v>HARDWARE OR INSTALLATION ACCEPTANCE</x:v>
      </x:c>
      <x:c r="D270" s="180" t="str">
        <x:v>CURRENT SOURCE OR MODEL WITH REMAINING CONDITIONS</x:v>
      </x:c>
      <x:c r="E270"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0" s="180" t="str">
        <x:v>real integrated traffic/acquisition/current test remains.</x:v>
      </x:c>
      <x:c r="G270" s="180" t="str">
        <x:v>lanes/firmware_oil/RECOVERED_RELEASE_CHECKS.json
lanes/firmware_oil/RECOVERED_FIRMWARE_TEST_RESULTS.json
current/EXECUTION_PLAN.md
current/I21_SOURCE_VERIFICATION.json</x:v>
      </x:c>
    </x:row>
    <x:row r="271" ht="75" customHeight="1">
      <x:c r="A271" s="219" t="str">
        <x:v>VNV-09</x:v>
      </x:c>
      <x:c r="B271" s="219" t="str">
        <x:v>OPEN</x:v>
      </x:c>
      <x:c r="C271" s="219" t="str">
        <x:v>HARDWARE OR INSTALLATION ACCEPTANCE</x:v>
      </x:c>
      <x:c r="D271" s="219" t="str">
        <x:v>CURRENT SOURCE OR MODEL WITH REMAINING CONDITIONS</x:v>
      </x:c>
      <x:c r="E271"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1" s="219" t="str">
        <x:v>no elapsed soak data is fabricated.</x:v>
      </x:c>
      <x:c r="G271" s="219" t="str">
        <x:v>analyses/installation/DASHBOARD_EXPOSURE_AND_SERVICE.md
lanes/mechanics/MECHANICAL_INSTALLATION_RVB22.md
current/EXECUTION_PLAN.md
current/I21_SOURCE_VERIFICATION.json</x:v>
      </x:c>
    </x:row>
    <x:row r="272" ht="88" customHeight="1">
      <x:c r="A272" s="180" t="str">
        <x:v>VNV-10</x:v>
      </x:c>
      <x:c r="B272" s="180" t="str">
        <x:v>CLOSED</x:v>
      </x:c>
      <x:c r="C272" s="180" t="str">
        <x:v>CURRENT EVIDENCE REVIEWED</x:v>
      </x:c>
      <x:c r="D272" s="180" t="str">
        <x:v>CLOSED BY ORIGINAL SCOPE</x:v>
      </x:c>
      <x:c r="E27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2" s="180" t="str"/>
      <x:c r="G272" s="180" t="str">
        <x:v>control/RVB22_BRING_UP_AND_MEASUREMENT_CONTRACT.md
control/BRINGUP_SCHEMATIC_TEXT_DELTA.json
control/BRINGUP_ACTUAL_NODE_INDEX.json
control/FINAL_I04_BRINGUP_BINDING.json
current/EXECUTION_PLAN.md
current/I21_SOURCE_VERIFICATION.json</x:v>
      </x:c>
    </x:row>
    <x:row r="273" ht="101" customHeight="1">
      <x:c r="A273" s="219" t="str">
        <x:v>VNV-11</x:v>
      </x:c>
      <x:c r="B273" s="219" t="str">
        <x:v>CLOSED</x:v>
      </x:c>
      <x:c r="C273" s="219" t="str">
        <x:v>CURRENT EVIDENCE REVIEWED</x:v>
      </x:c>
      <x:c r="D273" s="219" t="str">
        <x:v>CLOSED BY ORIGINAL SCOPE</x:v>
      </x:c>
      <x:c r="E27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3" s="219" t="str"/>
      <x:c r="G273" s="219" t="str">
        <x:v>control/EXECUTION_PLAN_CURRENT.md
control/RECOVERY_LEDGER.md
control/DESKTOP_ACTION_DISPOSITIONS_CURRENT.json
iterations/I06_harness_handoff/CANDIDATE_MANIFEST.json
control/FINAL_GATES.json
current/EXECUTION_PLAN.md
current/I21_SOURCE_VERIFICATION.json</x:v>
      </x:c>
    </x:row>
    <x:row r="274" ht="75" customHeight="1">
      <x:c r="A274" s="180" t="str">
        <x:v>VNV-12</x:v>
      </x:c>
      <x:c r="B274" s="180" t="str">
        <x:v>OPEN</x:v>
      </x:c>
      <x:c r="C274" s="180" t="str">
        <x:v>CURRENT NATIVE COMPLETE OTHER EVIDENCE REQUIRED</x:v>
      </x:c>
      <x:c r="D274" s="180" t="str">
        <x:v>CURRENT SOURCE OR MODEL WITH REMAINING CONDITIONS</x:v>
      </x:c>
      <x:c r="E27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4" s="180" t="str">
        <x:v>Native source/build gate is now complete. Remaining original evidence: Exact configuration, instrument setup, raw data, analysis script and reviewer sign-off archived.</x:v>
      </x:c>
      <x:c r="G274" s="180" t="str">
        <x:v>runtime/final_I06_actual_preflight/RESULT.json
runtime/run_native_candidate.py
current/EXECUTION_PLAN.md
current/I21_SOURCE_VERIFICATION.json</x:v>
      </x:c>
    </x:row>
    <x:row r="275" ht="75" customHeight="1">
      <x:c r="A275" s="219" t="str">
        <x:v>FMEA-01</x:v>
      </x:c>
      <x:c r="B275" s="219" t="str">
        <x:v>CLOSED</x:v>
      </x:c>
      <x:c r="C275" s="219" t="str">
        <x:v>COMPLETED SOURCE DOCUMENTARY SCOPE</x:v>
      </x:c>
      <x:c r="D275" s="219" t="str">
        <x:v>CLOSED BY ORIGINAL SCOPE</x:v>
      </x:c>
      <x:c r="E27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5" s="219" t="str">
        <x:v>Current source/evidence binding completed. The original documentary or calculation scope is satisfied; applicability and external acceptance conditions remain in the linked evidence and related open criteria.</x:v>
      </x:c>
      <x:c r="G275" s="219" t="str">
        <x:v>analyses/lost_ground/LOST_GROUND_RESULTS_RECONSTRUCTED.json
interfaces/LOST_GROUND_FINITE_DC_SCREEN.json
interfaces/HARNESS_INTERFACE_CONTRACT.json
interfaces/SINGLE_RETURN_EFFECTIVITY.json
current/EXECUTION_PLAN.md</x:v>
      </x:c>
    </x:row>
    <x:row r="276" ht="75" customHeight="1">
      <x:c r="A276" s="180" t="str">
        <x:v>FMEA-02</x:v>
      </x:c>
      <x:c r="B276" s="180" t="str">
        <x:v>OPEN</x:v>
      </x:c>
      <x:c r="C276" s="180" t="str">
        <x:v>HARDWARE OR INSTALLATION ACCEPTANCE</x:v>
      </x:c>
      <x:c r="D276" s="180" t="str">
        <x:v>CURRENT SOURCE OR MODEL WITH REMAINING CONDITIONS</x:v>
      </x:c>
      <x:c r="E276"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6" s="180" t="str">
        <x:v>original F also requires representative physical fault tests.</x:v>
      </x:c>
      <x:c r="G276" s="180" t="str">
        <x:v>analyses/lost_ground/LOST_GROUND_RESULTS_RECONSTRUCTED.json
interfaces/LOST_GROUND_FINITE_DC_SCREEN.json
interfaces/HARNESS_INTERFACE_CONTRACT.json
interfaces/SINGLE_RETURN_EFFECTIVITY.json
current/EXECUTION_PLAN.md</x:v>
      </x:c>
    </x:row>
    <x:row r="277" ht="75" customHeight="1">
      <x:c r="A277" s="219" t="str">
        <x:v>FMEA-03</x:v>
      </x:c>
      <x:c r="B277" s="219" t="str">
        <x:v>CLOSED</x:v>
      </x:c>
      <x:c r="C277" s="219" t="str">
        <x:v>COMPLETED SOURCE DOCUMENTARY SCOPE</x:v>
      </x:c>
      <x:c r="D277" s="219" t="str">
        <x:v>CLOSED BY ORIGINAL SCOPE</x:v>
      </x:c>
      <x:c r="E27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77" s="219" t="str">
        <x:v>Current source/evidence binding completed. The original documentary or calculation scope is satisfied; applicability and external acceptance conditions remain in the linked evidence and related open criteria.</x:v>
      </x:c>
      <x:c r="G277" s="219" t="str">
        <x:v>analyses/lost_ground/LOST_GROUND_RESULTS_RECONSTRUCTED.json
interfaces/LOST_GROUND_FINITE_DC_SCREEN.json
interfaces/HARNESS_INTERFACE_CONTRACT.json
interfaces/SINGLE_RETURN_EFFECTIVITY.json
current/EXECUTION_PLAN.md</x:v>
      </x:c>
    </x:row>
    <x:row r="278" ht="75" customHeight="1">
      <x:c r="A278" s="180" t="str">
        <x:v>FMEA-04</x:v>
      </x:c>
      <x:c r="B278" s="180" t="str">
        <x:v>OPEN</x:v>
      </x:c>
      <x:c r="C278" s="180" t="str">
        <x:v>HARDWARE OR INSTALLATION ACCEPTANCE</x:v>
      </x:c>
      <x:c r="D278" s="180" t="str">
        <x:v>CURRENT SOURCE OR MODEL WITH REMAINING CONDITIONS</x:v>
      </x:c>
      <x:c r="E27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8" s="180" t="str">
        <x:v>agreed-severity assembled fault evidence remains.</x:v>
      </x:c>
      <x:c r="G278" s="180" t="str">
        <x:v>interfaces/HARNESS_INTERFACE_CONTRACT.json
interfaces/HARNESS_CHECKS.json
analyses/harness_wire/HARNESS_WIRE_DELTA.json
current/EXECUTION_PLAN.md</x:v>
      </x:c>
    </x:row>
    <x:row r="279" ht="75" customHeight="1">
      <x:c r="A279" s="219" t="str">
        <x:v>FMEA-05</x:v>
      </x:c>
      <x:c r="B279" s="219" t="str">
        <x:v>OPEN</x:v>
      </x:c>
      <x:c r="C279" s="219" t="str">
        <x:v>COMPLETED CONDITIONAL MODEL</x:v>
      </x:c>
      <x:c r="D279" s="219" t="str">
        <x:v>CURRENT SOURCE OR MODEL WITH REMAINING CONDITIONS</x:v>
      </x:c>
      <x:c r="E279" s="219"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79" s="219" t="str">
        <x:v>Observable no-TX/invalid-data defaults are implemented, but physical electrical shorts and stuck-in-range sensors exceed software guarantees.</x:v>
      </x:c>
      <x:c r="G279" s="219" t="str">
        <x:v>lanes/firmware_oil/RECOVERED_RELEASE_CHECKS.json
lanes/firmware_oil/RECOVERED_FIRMWARE_TEST_RESULTS.json
current/EXECUTION_PLAN.md</x:v>
      </x:c>
    </x:row>
    <x:row r="280" ht="75" customHeight="1">
      <x:c r="A280" s="180" t="str">
        <x:v>FMEA-06</x:v>
      </x:c>
      <x:c r="B280" s="180" t="str">
        <x:v>CLOSED</x:v>
      </x:c>
      <x:c r="C280" s="180" t="str">
        <x:v>CURRENT EVIDENCE REVIEWED</x:v>
      </x:c>
      <x:c r="D280" s="180" t="str">
        <x:v>CLOSED BY ORIGINAL SCOPE</x:v>
      </x:c>
      <x:c r="E280"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0" s="180" t="str"/>
      <x:c r="G280" s="180" t="str">
        <x:v>lanes/power/POWER_GEOMETRY_REPORT.json
lanes/power/COUPLED_STARTUP_ENVELOPE.json
lanes/power_limits/POWER_LIMITS_SUMMARY.json
lanes/power/FINAL_I04_POWER_EFFECTIVITY.json
current/EXECUTION_PLAN.md</x:v>
      </x:c>
    </x:row>
    <x:row r="281" ht="75" customHeight="1">
      <x:c r="A281" s="219" t="str">
        <x:v>FMEA-07</x:v>
      </x:c>
      <x:c r="B281" s="219" t="str">
        <x:v>CLOSED</x:v>
      </x:c>
      <x:c r="C281" s="219" t="str">
        <x:v>COMPLETED SOURCE DOCUMENTARY SCOPE</x:v>
      </x:c>
      <x:c r="D281" s="219" t="str">
        <x:v>CLOSED BY ORIGINAL SCOPE</x:v>
      </x:c>
      <x:c r="E28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1" s="219" t="str">
        <x:v>Current source/evidence binding completed. The original documentary or calculation scope is satisfied; applicability and external acceptance conditions remain in the linked evidence and related open criteria.</x:v>
      </x:c>
      <x:c r="G281" s="219" t="str">
        <x:v>lanes/firmware_oil/RECOVERED_RELEASE_CHECKS.json
lanes/firmware_oil/RECOVERED_FIRMWARE_TEST_RESULTS.json
current/EXECUTION_PLAN.md</x:v>
      </x:c>
    </x:row>
    <x:row r="282" ht="88" customHeight="1">
      <x:c r="A282" s="180" t="str">
        <x:v>FMEA-08</x:v>
      </x:c>
      <x:c r="B282" s="180" t="str">
        <x:v>CLOSED</x:v>
      </x:c>
      <x:c r="C282" s="180" t="str">
        <x:v>CURRENT EVIDENCE REVIEWED</x:v>
      </x:c>
      <x:c r="D282" s="180" t="str">
        <x:v>CLOSED BY ORIGINAL SCOPE</x:v>
      </x:c>
      <x:c r="E282"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2" s="180" t="str"/>
      <x:c r="G282" s="180" t="str">
        <x:v>control/EXECUTION_PLAN_CURRENT.md
control/RECOVERY_LEDGER.md
control/DESKTOP_ACTION_DISPOSITIONS_CURRENT.json
iterations/I06_harness_handoff/CANDIDATE_MANIFEST.json
control/FINAL_GATES.json
current/EXECUTION_PLAN.md</x:v>
      </x:c>
    </x:row>
    <x:row r="283" ht="75" customHeight="1">
      <x:c r="A283" s="219" t="str">
        <x:v>FMEA-09</x:v>
      </x:c>
      <x:c r="B283" s="219" t="str">
        <x:v>CLOSED</x:v>
      </x:c>
      <x:c r="C283" s="219" t="str">
        <x:v>COMPLETED SOURCE DOCUMENTARY SCOPE</x:v>
      </x:c>
      <x:c r="D283" s="219" t="str">
        <x:v>CLOSED BY ORIGINAL SCOPE</x:v>
      </x:c>
      <x:c r="E28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3" s="219" t="str">
        <x:v>Current source/evidence binding completed. The original documentary or calculation scope is satisfied; applicability and external acceptance conditions remain in the linked evidence and related open criteria.</x:v>
      </x:c>
      <x:c r="G283" s="219" t="str">
        <x:v>lanes/firmware_oil/RECOVERED_RELEASE_CHECKS.json
lanes/firmware_oil/RECOVERED_FIRMWARE_TEST_RESULTS.json
current/EXECUTION_PLAN.md</x:v>
      </x:c>
    </x:row>
    <x:row r="284" ht="75" customHeight="1">
      <x:c r="A284" s="180" t="str">
        <x:v>FMEA-10</x:v>
      </x:c>
      <x:c r="B284" s="180" t="str">
        <x:v>OPEN</x:v>
      </x:c>
      <x:c r="C284" s="180" t="str">
        <x:v>HARDWARE OR INSTALLATION ACCEPTANCE</x:v>
      </x:c>
      <x:c r="D284" s="180" t="str">
        <x:v>CURRENT SOURCE OR MODEL WITH REMAINING CONDITIONS</x:v>
      </x:c>
      <x:c r="E284"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84" s="180" t="str">
        <x:v>universal physical bus non-interference is not proven by source no-TX.</x:v>
      </x:c>
      <x:c r="G284" s="180" t="str">
        <x:v>analyses/can_branch/COMPLETE_CAN_BRANCH_RESULTS.json
analyses/can_branch/FINAL_CAN_SOURCE_BINDING.json
analyses/can_branch/CAN22-02_NUMERICAL_CHECKS.json
current/EXECUTION_PLAN.md</x:v>
      </x:c>
    </x:row>
    <x:row r="285" ht="114" customHeight="1">
      <x:c r="A285" s="219" t="str">
        <x:v>CCB-01</x:v>
      </x:c>
      <x:c r="B285" s="219" t="str">
        <x:v>CLOSED</x:v>
      </x:c>
      <x:c r="C285" s="219" t="str">
        <x:v>CURRENT EVIDENCE REVIEWED</x:v>
      </x:c>
      <x:c r="D285" s="219" t="str">
        <x:v>CLOSED BY ORIGINAL SCOPE</x:v>
      </x:c>
      <x:c r="E285"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5" s="219" t="str"/>
      <x:c r="G285"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row>
    <x:row r="286" ht="114" customHeight="1">
      <x:c r="A286" s="180" t="str">
        <x:v>CCB-02</x:v>
      </x:c>
      <x:c r="B286" s="180" t="str">
        <x:v>CLOSED</x:v>
      </x:c>
      <x:c r="C286" s="180" t="str">
        <x:v>CURRENT EVIDENCE REVIEWED</x:v>
      </x:c>
      <x:c r="D286" s="180" t="str">
        <x:v>CLOSED BY ORIGINAL SCOPE</x:v>
      </x:c>
      <x:c r="E286"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6" s="180" t="str"/>
      <x:c r="G286"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row>
    <x:row r="287" ht="101" customHeight="1">
      <x:c r="A287" s="219" t="str">
        <x:v>CCB-03</x:v>
      </x:c>
      <x:c r="B287" s="219" t="str">
        <x:v>CLOSED</x:v>
      </x:c>
      <x:c r="C287" s="219" t="str">
        <x:v>CURRENT EVIDENCE REVIEWED</x:v>
      </x:c>
      <x:c r="D287" s="219" t="str">
        <x:v>CLOSED BY ORIGINAL SCOPE</x:v>
      </x:c>
      <x:c r="E287"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7" s="219" t="str"/>
      <x:c r="G287" s="219" t="str">
        <x:v>lanes/power/POWER_GEOMETRY_REPORT.json
lanes/power/COUPLED_STARTUP_ENVELOPE.json
lanes/power_limits/POWER_LIMITS_SUMMARY.json
lanes/power/FINAL_I04_POWER_EFFECTIVITY.json
current/I21_SOURCE_VERIFICATION.json
iterations/I20_controlled_handoff/NATIVE_BINDING.json
current/EXECUTION_PLAN.md</x:v>
      </x:c>
    </x:row>
    <x:row r="288" ht="75" customHeight="1">
      <x:c r="A288" s="180" t="str">
        <x:v>CCB-04</x:v>
      </x:c>
      <x:c r="B288" s="180" t="str">
        <x:v>OPEN</x:v>
      </x:c>
      <x:c r="C288" s="180" t="str">
        <x:v>HARDWARE OR INSTALLATION ACCEPTANCE</x:v>
      </x:c>
      <x:c r="D288" s="180" t="str">
        <x:v>CURRENT SOURCE OR MODEL WITH REMAINING CONDITIONS</x:v>
      </x:c>
      <x:c r="E288"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88" s="180" t="str">
        <x:v>actual serial/lot disposition and rework labels remain.</x:v>
      </x:c>
      <x:c r="G288" s="180" t="str">
        <x:v>control/EXECUTION_PLAN_CURRENT.md
control/CLOSED_CRITERIA_ADJUDICATION.json
current/I21_SOURCE_VERIFICATION.json
iterations/I20_controlled_handoff/NATIVE_BINDING.json
current/EXECUTION_PLAN.md</x:v>
      </x:c>
    </x:row>
    <x:row r="289" ht="75" customHeight="1">
      <x:c r="A289" s="219" t="str">
        <x:v>CCB-05</x:v>
      </x:c>
      <x:c r="B289" s="219" t="str">
        <x:v>CLOSED</x:v>
      </x:c>
      <x:c r="C289" s="219" t="str">
        <x:v>CURRENT EVIDENCE REVIEWED</x:v>
      </x:c>
      <x:c r="D289" s="219" t="str">
        <x:v>CLOSED BY ORIGINAL SCOPE</x:v>
      </x:c>
      <x:c r="E289"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89" s="219" t="str"/>
      <x:c r="G289" s="219" t="str">
        <x:v>iterations/I06_harness_handoff/CANDIDATE_MANIFEST.json
current/I21_SOURCE_VERIFICATION.json
iterations/I20_controlled_handoff/NATIVE_BINDING.json
current/EXECUTION_PLAN.md</x:v>
      </x:c>
    </x:row>
    <x:row r="290" ht="62" customHeight="1">
      <x:c r="A290" s="180" t="str">
        <x:v>CCB-06</x:v>
      </x:c>
      <x:c r="B290" s="180" t="str">
        <x:v>CLOSED</x:v>
      </x:c>
      <x:c r="C290" s="180" t="str">
        <x:v>COMPLETED CURRENT SOURCE VERIFICATION</x:v>
      </x:c>
      <x:c r="D290" s="180" t="str">
        <x:v>CLOSED BY ORIGINAL SCOPE</x:v>
      </x:c>
      <x:c r="E290" s="180" t="str">
        <x:v>Clean native regeneration, source inventory and complete output manifest are available for I20. Fresh digest and independent copper/export checks agree. The I21 reconciliation does not alter CAD or firmware.</x:v>
      </x:c>
      <x:c r="F290" s="180" t="str">
        <x:v>Original documentary, design-inspection or execution scope satisfied. Related supplier and physical criteria retain their own dispositions.</x:v>
      </x:c>
      <x:c r="G290" s="180" t="str">
        <x:v>iterations/I20_controlled_handoff/NATIVE_BINDING.json
current/I21_SOURCE_VERIFICATION.json
analyses/manufacturing_i20/RESULTS.json
current/SOURCE_EFFECTIVITY.json</x:v>
      </x:c>
    </x:row>
    <x:row r="291" ht="114" customHeight="1">
      <x:c r="A291" s="219" t="str">
        <x:v>CCB-07</x:v>
      </x:c>
      <x:c r="B291" s="219" t="str">
        <x:v>CLOSED</x:v>
      </x:c>
      <x:c r="C291" s="219" t="str">
        <x:v>CURRENT EVIDENCE REVIEWED</x:v>
      </x:c>
      <x:c r="D291" s="219" t="str">
        <x:v>CLOSED BY ORIGINAL SCOPE</x:v>
      </x:c>
      <x:c r="E291"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1" s="219" t="str"/>
      <x:c r="G291"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row>
    <x:row r="292" ht="75" customHeight="1">
      <x:c r="A292" s="180" t="str">
        <x:v>CCB-08</x:v>
      </x:c>
      <x:c r="B292" s="180" t="str">
        <x:v>OPEN</x:v>
      </x:c>
      <x:c r="C292" s="180" t="str">
        <x:v>SUPPLIER OR RESPONSIBLE ACCEPTANCE</x:v>
      </x:c>
      <x:c r="D292" s="180" t="str">
        <x:v>CURRENT SOURCE OR MODEL WITH REMAINING CONDITIONS</x:v>
      </x:c>
      <x:c r="E292" s="180" t="str">
        <x:v>I20 native source and matched outputs have been verified. The original evidence scope below remains controlling.
Original criterion disposition remains open. The prior detailed assessment is retained in previous_I06_disposition and the historical register; current evidence and remaining conditions govern this row.</x:v>
      </x:c>
      <x:c r="F292" s="180" t="str">
        <x:v>responsible acceptance signatures/expiry are actual governance records, not simulated.</x:v>
      </x:c>
      <x:c r="G292" s="180" t="str">
        <x:v>control/EXECUTION_PLAN_CURRENT.md
control/CLOSED_CRITERIA_ADJUDICATION.json
current/I21_SOURCE_VERIFICATION.json
iterations/I20_controlled_handoff/NATIVE_BINDING.json
current/EXECUTION_PLAN.md</x:v>
      </x:c>
    </x:row>
    <x:row r="293" ht="114" customHeight="1">
      <x:c r="A293" s="219" t="str">
        <x:v>CCB-09</x:v>
      </x:c>
      <x:c r="B293" s="219" t="str">
        <x:v>CLOSED</x:v>
      </x:c>
      <x:c r="C293" s="219" t="str">
        <x:v>CURRENT EVIDENCE REVIEWED</x:v>
      </x:c>
      <x:c r="D293" s="219" t="str">
        <x:v>CLOSED BY ORIGINAL SCOPE</x:v>
      </x:c>
      <x:c r="E293" s="219"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3" s="219" t="str"/>
      <x:c r="G293" s="219"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row>
    <x:row r="294" ht="114" customHeight="1">
      <x:c r="A294" s="180" t="str">
        <x:v>CCB-10</x:v>
      </x:c>
      <x:c r="B294" s="180" t="str">
        <x:v>CLOSED</x:v>
      </x:c>
      <x:c r="C294" s="180" t="str">
        <x:v>CURRENT EVIDENCE REVIEWED</x:v>
      </x:c>
      <x:c r="D294" s="180" t="str">
        <x:v>CLOSED BY ORIGINAL SCOPE</x:v>
      </x:c>
      <x:c r="E294" s="180" t="str">
        <x:v>I20 native source and matched outputs have been verified. The original evidence scope below remains controlling.
Original criterion disposition remains closed. The prior detailed assessment is retained in previous_I06_disposition and the historical register; current evidence and remaining conditions govern this row.</x:v>
      </x:c>
      <x:c r="F294" s="180" t="str"/>
      <x:c r="G294" s="180" t="str">
        <x:v>control/EXECUTION_PLAN_CURRENT.md
control/RECOVERY_LEDGER.md
control/DESKTOP_ACTION_DISPOSITIONS_CURRENT.json
iterations/I06_harness_handoff/CANDIDATE_MANIFEST.json
control/FINAL_GATES.json
current/I21_SOURCE_VERIFICATION.json
iterations/I20_controlled_handoff/NATIVE_BINDING.json
current/EXECUTION_PLAN.md</x:v>
      </x:c>
    </x:row>
  </x:sheetData>
  <x:mergeCells>
    <x:mergeCell ref="A1:G1"/>
    <x:mergeCell ref="A2:G2"/>
  </x:mergeCells>
  <x:conditionalFormatting sqref="B5:D294">
    <x:cfRule type="containsText" dxfId="55" priority="1" operator="containsText" text="OPEN"/>
    <x:cfRule type="containsText" dxfId="56" priority="2" operator="containsText" text="BLOCKED"/>
    <x:cfRule type="containsText" dxfId="57" priority="3" operator="containsText" text="CONDITIONAL"/>
    <x:cfRule type="containsText" dxfId="58" priority="4" operator="containsText" text="CORRECTED"/>
    <x:cfRule type="containsText" dxfId="59" priority="5" operator="containsText" text="CLOSED"/>
    <x:cfRule type="containsText" dxfId="71" priority="6" operator="containsText" text="OPEN"/>
    <x:cfRule type="containsText" dxfId="72" priority="7" operator="containsText" text="BLOCKED"/>
    <x:cfRule type="containsText" dxfId="73" priority="8" operator="containsText" text="CONDITIONAL"/>
    <x:cfRule type="containsText" dxfId="74" priority="9" operator="containsText" text="CORRECTED"/>
    <x:cfRule type="containsText" dxfId="75" priority="10" operator="containsText" text="CLOSED"/>
  </x:conditionalFormatting>
  <x:pageMargins left="0.7" right="0.7" top="0.75" bottom="0.75" header="0.3" footer="0.3"/>
  <x:tableParts count="1">
    <x:tablePart xmlns:r="http://schemas.openxmlformats.org/officeDocument/2006/relationships" r:id="Rc329ba677f9a49ef"/>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0" hidden="0" customWidth="1"/>
    <x:col min="3" max="3" width="32" hidden="0" customWidth="1"/>
    <x:col min="4" max="4" width="78" hidden="0" customWidth="1"/>
    <x:col min="5" max="5" width="100" hidden="0" customWidth="1"/>
    <x:col min="6" max="6" width="90" hidden="0" customWidth="1"/>
  </x:cols>
  <x:sheetData>
    <x:row r="1" ht="34" customHeight="1">
      <x:c r="A1" s="215" t="str">
        <x:v>RVB22 I21 redline dispositions</x:v>
      </x:c>
      <x:c r="B1" s="215"/>
      <x:c r="C1" s="215"/>
      <x:c r="D1" s="215"/>
      <x:c r="E1" s="215"/>
      <x:c r="F1" s="215"/>
    </x:row>
    <x:row r="2" ht="46" customHeight="1">
      <x:c r="A2" s="177" t="str">
        <x:v>Findings and their actual corrections remain visible; a bounded model is identified separately from a native or supplier acceptance gate.</x:v>
      </x:c>
      <x:c r="B2" s="177"/>
      <x:c r="C2" s="177"/>
      <x:c r="D2" s="177"/>
      <x:c r="E2" s="177"/>
      <x:c r="F2" s="177"/>
    </x:row>
    <x:row r="4" ht="30" customHeight="1">
      <x:c r="A4" s="218" t="str">
        <x:v>Redline</x:v>
      </x:c>
      <x:c r="B4" s="218" t="str">
        <x:v>Lane</x:v>
      </x:c>
      <x:c r="C4" s="218" t="str">
        <x:v>Status</x:v>
      </x:c>
      <x:c r="D4" s="218" t="str">
        <x:v>Finding</x:v>
      </x:c>
      <x:c r="E4" s="218" t="str">
        <x:v>Correction / disposition</x:v>
      </x:c>
      <x:c r="F4" s="218" t="str">
        <x:v>Evidence paths</x:v>
      </x:c>
    </x:row>
    <x:row r="5" ht="88" customHeight="1">
      <x:c r="A5" s="219" t="str">
        <x:v>RF22-01</x:v>
      </x:c>
      <x:c r="B5" s="219" t="str">
        <x:v>rf</x:v>
      </x:c>
      <x:c r="C5" s="219" t="str">
        <x:v>CORRECTED SOURCE MODEL</x:v>
      </x:c>
      <x:c r="D5" s="219" t="str">
        <x:v>U.FL signal originally entered from the side of its land</x:v>
      </x:c>
      <x:c r="E5" s="219" t="str">
        <x:v>Replaced two segments with four segments ending along +X at SIG center;0.7mm finalstraight; exact Hirose lands/keepout retained; no signalvia added
Remaining: Native U.FL geometry, refill/DRC and export parity are complete for I20. Exact accessory and parasitic conditions remain in RF22-03/05.</x:v>
      </x:c>
      <x:c r="F5" s="219" t="str">
        <x:v>lanes/rf/RF_RECOVERED_SOURCE_DELTA.json
lanes/rf/RF_RECOVERED_LAUNCH.png
lanes/rf/RF_RECOVERED_GROUND_AND_KEEPOUT.json
iterations/I20_controlled_handoff/NATIVE_BINDING.json
current/I21_SOURCE_VERIFICATION.json
current/SOURCE_EFFECTIVITY.json</x:v>
      </x:c>
    </x:row>
    <x:row r="6" ht="49" customHeight="1">
      <x:c r="A6" s="180" t="str">
        <x:v>RF22-02</x:v>
      </x:c>
      <x:c r="B6" s="180" t="str">
        <x:v>rf</x:v>
      </x:c>
      <x:c r="C6" s="180" t="str">
        <x:v>CORRECTED SOURCE MODEL</x:v>
      </x:c>
      <x:c r="D6" s="180" t="str">
        <x:v>Prior RF model did not fully represent coplanar ground loading, mask and field numerical uncertainty</x:v>
      </x:c>
      <x:c r="E6" s="180" t="str">
        <x:v>Recovered2Ddiv(epsgradV)finite-volume model, air-reference impedance derivation,486width/height/copper/Er/gap/mask combinations, refinedmesh anddomain plusnumericalmargins
Remaining: Conditional model assumptions and actualaccessory/port behavior remain RF22-03/05</x:v>
      </x:c>
      <x:c r="F6" s="180" t="str">
        <x:v>lanes/rf/electrostatic_cross_section.py
lanes/rf/RF_RECOVERED_2D_GEOMETRY.json
lanes/rf/RF_RECOVERED_REFINEMENT.json</x:v>
      </x:c>
    </x:row>
    <x:row r="7" ht="75" customHeight="1">
      <x:c r="A7" s="219" t="str">
        <x:v>RF22-03</x:v>
      </x:c>
      <x:c r="B7" s="219" t="str">
        <x:v>rf</x:v>
      </x:c>
      <x:c r="C7" s="219" t="str">
        <x:v>CONDITIONAL BOUND</x:v>
      </x:c>
      <x:c r="D7" s="219" t="str">
        <x:v>External Adafruit adapter/puck identities and fullRF/DC interface scope are not wholly established by genericproductdescription</x:v>
      </x:c>
      <x:c r="E7" s="219" t="str">
        <x:v>Preserve useraccessories; identify likelyPID851/PID960 as inference; recognize GPS-only puck ratherthanclaimingGLONASS coverage; retainconnector-sex/temperature/document-mismatch checks ininterface lane
Remaining: Confirm exactaccessorypart/connectorsex/temperature ratings andapplyinterface-source contract; matched50ohmports are allocated</x:v>
      </x:c>
      <x:c r="F7" s="219" t="str">
        <x:v>lanes/rf/RF_FINAL_REPORT.md
lanes/rf/../../interfaces</x:v>
      </x:c>
    </x:row>
    <x:row r="8" ht="75" customHeight="1">
      <x:c r="A8" s="180" t="str">
        <x:v>RF22-04</x:v>
      </x:c>
      <x:c r="B8" s="180" t="str">
        <x:v>rf</x:v>
      </x:c>
      <x:c r="C8" s="180" t="str">
        <x:v>CORRECTED NATIVE I20</x:v>
      </x:c>
      <x:c r="D8" s="180" t="str">
        <x:v>NativeKiCadzonefill/ERC/DRC and manufacturingregeneration have not executed</x:v>
      </x:c>
      <x:c r="E8" s="180" t="str">
        <x:v>Produce portable changedsource, exactobjectdelta,groundbondandkeepoutscreens and hashes fornative runner I20 native and matched target outputs now pass.
Remaining: No native blocker remains. Original physical/supplier conditions are retained separately.</x:v>
      </x:c>
      <x:c r="F8" s="180" t="str">
        <x:v>lanes/rf/candidate_recovered
lanes/rf/RF_RECOVERED_SOURCE_DELTA.json
lanes/rf/RF_RECOVERED_GROUND_AND_KEEPOUT.json
iterations/I20_controlled_handoff/NATIVE_BINDING.json
current/I21_SOURCE_VERIFICATION.json</x:v>
      </x:c>
    </x:row>
    <x:row r="9" ht="62" customHeight="1">
      <x:c r="A9" s="219" t="str">
        <x:v>RF22-05</x:v>
      </x:c>
      <x:c r="B9" s="219" t="str">
        <x:v>rf</x:v>
      </x:c>
      <x:c r="C9" s="219" t="str">
        <x:v>CONDITIONAL BOUND</x:v>
      </x:c>
      <x:c r="D9" s="219" t="str">
        <x:v>Actualinstalled RF transfer/interference andvehicle/cableconfiguration cannot be proven byuniformcross-section alone</x:v>
      </x:c>
      <x:c r="E9" s="219" t="str">
        <x:v>Execute boundedpassiveRFmodel anddocumentits applicablematched-port/launchparasitic/laminatetolerance envelope
Remaining: Actualmodule/puck Sparameters orrepresentativeRFcorrelation; no board/cableradiated/conductedEMC prediction inthislane</x:v>
      </x:c>
      <x:c r="F9" s="219" t="str">
        <x:v>lanes/rf/RF_RECOVERED_MODEL_RESULTS.json
lanes/rf/RF_RECOVERED_REFINEMENT.json</x:v>
      </x:c>
    </x:row>
    <x:row r="10" ht="114" customHeight="1">
      <x:c r="A10" s="180" t="str">
        <x:v>RF22-06</x:v>
      </x:c>
      <x:c r="B10" s="180" t="str">
        <x:v>rf</x:v>
      </x:c>
      <x:c r="C10" s="180" t="str">
        <x:v>CORRECTED SOURCE MODEL</x:v>
      </x:c>
      <x:c r="D10" s="180" t="str">
        <x:v>Coplanarloading/routechange and recovery numericalrefinement changed optimalmatchingpart</x:v>
      </x:c>
      <x:c r="E10" s="180" t="str">
        <x:v>Add outerpour-only0.8mmminimumrelief andselectexactMurataLQW18AS1N6J0ZD1.6nH; preserve failedrecovered1.8nH iteration andhistoricallost1.8nHresult separately
Remaining: Native source and part identity are verified, including the 1.6 nH component. RF model and supplier part allocations remain conditional.</x:v>
      </x:c>
      <x:c r="F10" s="180" t="str">
        <x:v>lanes/rf/RF_RECOVERED_MODEL_L1N8_HISTORY.json
lanes/rf/RF_RECOVERED_REFINEMENT_L1N8_HISTORY.json
lanes/rf/RECOVERY_REDLINE_HISTORY.json
lanes/rf/RF_RECOVERED_MODEL_RESULTS.json
lanes/rf/RF_RECOVERED_REFINEMENT.json
iterations/I20_controlled_handoff/NATIVE_BINDING.json
current/I21_SOURCE_VERIFICATION.json
current/SOURCE_EFFECTIVITY.json</x:v>
      </x:c>
    </x:row>
    <x:row r="11" ht="101" customHeight="1">
      <x:c r="A11" s="219" t="str">
        <x:v>RF22-07</x:v>
      </x:c>
      <x:c r="B11" s="219" t="str">
        <x:v>rf</x:v>
      </x:c>
      <x:c r="C11" s="219" t="str">
        <x:v>CORRECTED SOURCE MODEL</x:v>
      </x:c>
      <x:c r="D11" s="219" t="str">
        <x:v>The previous0.045ohm RF resistance lower endpoint had no manufacturer minimum guarantee and could improve return loss through damping.</x:v>
      </x:c>
      <x:c r="E11" s="219" t="str">
        <x:v>Evaluated zero resistance on full/refined geometry, no-strip and strip-capacitance cases plus the additional strip return-field perturbation.
Remaining: Current declared 3D envelopes and native source pass. Allocated RF resistance/parasitics and actual accessory/installed behavior remain conditional.</x:v>
      </x:c>
      <x:c r="F11" s="219" t="str">
        <x:v>lanes/rf/RF_I04_ADDENDUM.md
lanes/rf/../emc/RF_ZERO_R_NO_STRIP_NETWORK.json
lanes/rf/../emc/RF_ZERO_R_STRIP_NETWORK.json
lanes/rf/../emc/RF_STRIP_RETURN_REFINEMENT.json
iterations/I20_controlled_handoff/NATIVE_BINDING.json
current/I21_SOURCE_VERIFICATION.json
current/SOURCE_EFFECTIVITY.json</x:v>
      </x:c>
    </x:row>
    <x:row r="12" ht="75" customHeight="1">
      <x:c r="A12" s="180" t="str">
        <x:v>PWR22-R01</x:v>
      </x:c>
      <x:c r="B12" s="180" t="str">
        <x:v>power</x:v>
      </x:c>
      <x:c r="C12" s="180" t="str">
        <x:v>CORRECTED SOURCE MODEL</x:v>
      </x:c>
      <x:c r="D12" s="180" t="str">
        <x:v>Fixed3.3V distribution/reset margin</x:v>
      </x:c>
      <x:c r="E12" s="180" t="str">
        <x:v>Implemented23.7k/10k adjustable3.37V and10k VSEL selector; source interval recalculated.
Remaining: Native source validation is complete. Actual-load/model correlation remains conditional.</x:v>
      </x:c>
      <x:c r="F12" s="180" t="str">
        <x:v>lanes/power/POWER_BOUNDS.json
lanes/power/POWER_ECO_DELTA.json
iterations/I20_controlled_handoff/NATIVE_BINDING.json
current/I21_SOURCE_VERIFICATION.json
current/SOURCE_EFFECTIVITY.json</x:v>
      </x:c>
    </x:row>
    <x:row r="13" ht="62" customHeight="1">
      <x:c r="A13" s="219" t="str">
        <x:v>PWR22-R02</x:v>
      </x:c>
      <x:c r="B13" s="219" t="str">
        <x:v>power</x:v>
      </x:c>
      <x:c r="C13" s="219" t="str">
        <x:v>CORRECTED SOURCE MODEL</x:v>
      </x:c>
      <x:c r="D13" s="219" t="str">
        <x:v>Missing local storage and manufacturer land/polarity</x:v>
      </x:c>
      <x:c r="E13" s="219" t="str">
        <x:v>Added T598X477M006ATE025470µF/6.3V X case with explicit positive pad1 and manufacturer lands; exact capacitor/tap topology supplied to joint model.
Remaining: EffectiveC/ESR/ESL and case/ambient limits remain explicit engineering/supplier conditions.</x:v>
      </x:c>
      <x:c r="F13" s="219" t="str">
        <x:v>lanes/power/POWER_SELECTED_PARTS.json
lanes/power/POWER_ROUTING.json
lanes/power/POWER_GEOMETRY_REPORT.json
lanes/power/C206_CURRENT_THERMAL_ENVELOPE.json</x:v>
      </x:c>
    </x:row>
    <x:row r="14" ht="75" customHeight="1">
      <x:c r="A14" s="180" t="str">
        <x:v>PWR22-R03</x:v>
      </x:c>
      <x:c r="B14" s="180" t="str">
        <x:v>power</x:v>
      </x:c>
      <x:c r="C14" s="180" t="str">
        <x:v>CORRECTED SOURCE MODEL</x:v>
      </x:c>
      <x:c r="D14" s="180" t="str">
        <x:v>Insufficient guaranteed damping</x:v>
      </x:c>
      <x:c r="E14" s="180" t="str">
        <x:v>Staged exactWSLP0603R0820FEA after recording failed22/47mΩ comparisons; final82mΩ actual-tap finite cases pass.
Remaining: 3456 source-bound finite circuits and330800 eligible conditional-controller comparisons pass; unpublished actual silicon compensation and continuous parameter space are not proven.</x:v>
      </x:c>
      <x:c r="F14" s="180" t="str">
        <x:v>lanes/power/POWER_ECO_DELTA.json
lanes/power/BULK_INTERCONNECT_RLC.json
lanes/power/../../analyses/loop_stability/TAPPED_RAIL_82MOHM_BOUNDED_RESULTS.json</x:v>
      </x:c>
    </x:row>
    <x:row r="15" ht="62" customHeight="1">
      <x:c r="A15" s="219" t="str">
        <x:v>PWR22-R04</x:v>
      </x:c>
      <x:c r="B15" s="219" t="str">
        <x:v>power</x:v>
      </x:c>
      <x:c r="C15" s="219" t="str">
        <x:v>CORRECTED SOURCE MODEL</x:v>
      </x:c>
      <x:c r="D15" s="219" t="str">
        <x:v>TVS conduction can precede OV disconnect</x:v>
      </x:c>
      <x:c r="E15" s="219" t="str">
        <x:v>Implemented R102549k/R10324.3k with exact Vishay part IDs and cleared obsolete procurement code.
Remaining: Detailed clamp/turnoff/SOA bounds belong to the power-limits lane and remain source/temperature/source-impedance conditional.</x:v>
      </x:c>
      <x:c r="F15" s="219" t="str">
        <x:v>lanes/power/POWER_ECO_DELTA.json
lanes/power/../power_limits/OV_THRESHOLD_CORRECTION.json</x:v>
      </x:c>
    </x:row>
    <x:row r="16" ht="75" customHeight="1">
      <x:c r="A16" s="180" t="str">
        <x:v>PWR22-R05</x:v>
      </x:c>
      <x:c r="B16" s="180" t="str">
        <x:v>power</x:v>
      </x:c>
      <x:c r="C16" s="180" t="str">
        <x:v>CONDITIONAL BOUND</x:v>
      </x:c>
      <x:c r="D16" s="180" t="str">
        <x:v>Coupled bulk charging/recovery incomplete</x:v>
      </x:c>
      <x:c r="E16" s="180" t="str">
        <x:v>Executed source-bound COT/type-3 feedback and averaged U151 startup with separate input cap/path, current limits and reset delay.
Remaining: Finite controller,efficiency,current-load and timing hypotheses; no vendor macro or hardware recovery measurement.</x:v>
      </x:c>
      <x:c r="F16" s="180" t="str">
        <x:v>lanes/power/model_coupled_startup.py
lanes/power/COUPLED_STARTUP_ENVELOPE.json
lanes/power/STARTUP_EXPLICIT_CONVERGENCE_50NS.json
lanes/power/STARTUP_EXPLICIT_LOW_SETPOINT.json
lanes/power/C206_CURRENT_THERMAL_ENVELOPE.json</x:v>
      </x:c>
    </x:row>
    <x:row r="17" ht="62" customHeight="1">
      <x:c r="A17" s="219" t="str">
        <x:v>PWR22-R06</x:v>
      </x:c>
      <x:c r="B17" s="219" t="str">
        <x:v>power</x:v>
      </x:c>
      <x:c r="C17" s="219" t="str">
        <x:v>CONDITIONAL BOUND</x:v>
      </x:c>
      <x:c r="D17" s="219" t="str">
        <x:v>Remote sensor supply budget missing hot-current condition</x:v>
      </x:c>
      <x:c r="E17" s="219" t="str">
        <x:v>Bounded15mA/.2Ω-per-wire operating allocation and exact source/R507/TPS/path intervals; firmware owner subtracts6mV from local excitation lower bound.
Remaining: Honeywell consumption bound is specified at25C;15mA hot operation and TPS hotR allocation require correlation.</x:v>
      </x:c>
      <x:c r="F17" s="219" t="str">
        <x:v>lanes/power/POWER_BOUNDS.json</x:v>
      </x:c>
    </x:row>
    <x:row r="18" ht="62" customHeight="1">
      <x:c r="A18" s="180" t="str">
        <x:v>PWR22-R07</x:v>
      </x:c>
      <x:c r="B18" s="180" t="str">
        <x:v>power</x:v>
      </x:c>
      <x:c r="C18" s="180" t="str">
        <x:v>CONDITIONAL BOUND</x:v>
      </x:c>
      <x:c r="D18" s="180" t="str">
        <x:v>Input-filter resonance and source-fuse cooling</x:v>
      </x:c>
      <x:c r="E18" s="180" t="str">
        <x:v>Reexecuted≤5µH CPL stability screen and isolated-wire cooling/fault-duration model; retained failing10µH and adiabatic cases.
Remaining: Filter source L/R/C contract, input startup model, cooling installation and actual fuse clearing I²t are separate conditions.</x:v>
      </x:c>
      <x:c r="F18" s="180" t="str">
        <x:v>lanes/power/POWER_BOUNDS.json</x:v>
      </x:c>
    </x:row>
    <x:row r="19" ht="62" customHeight="1">
      <x:c r="A19" s="219" t="str">
        <x:v>PWR22-R08</x:v>
      </x:c>
      <x:c r="B19" s="219" t="str">
        <x:v>power</x:v>
      </x:c>
      <x:c r="C19" s="219" t="str">
        <x:v>CORRECTED SOURCE MODEL</x:v>
      </x:c>
      <x:c r="D19" s="219" t="str">
        <x:v>Exact inductor hot/current bound and Eq8 interpretation</x:v>
      </x:c>
      <x:c r="E19" s="219" t="str">
        <x:v>Recorded and implemented same-land XGL5030-153MEC15µH;8.4µH stackedfloor exceeds Eq8minimum6.946µH. Source-bound startup/current/ripple checks updated.
Remaining: Magnetic hot/current envelope and unpublished internal current-loop behavior remain explicit correlation conditions;15µH source is implemented.</x:v>
      </x:c>
      <x:c r="F19" s="219" t="str">
        <x:v>lanes/power/POWER_BOUNDS.json
lanes/power/COUPLED_STARTUP_RESULTS.json
lanes/power/../power_limits/HOT_MAGNETIC_INVERSE_BOUNDS.json</x:v>
      </x:c>
    </x:row>
    <x:row r="20" ht="62" customHeight="1">
      <x:c r="A20" s="180" t="str">
        <x:v>PWR22-R09</x:v>
      </x:c>
      <x:c r="B20" s="180" t="str">
        <x:v>power</x:v>
      </x:c>
      <x:c r="C20" s="180" t="str">
        <x:v>CONDITIONAL BOUND</x:v>
      </x:c>
      <x:c r="D20" s="180" t="str">
        <x:v>Regulator failure propagation not explicit</x:v>
      </x:c>
      <x:c r="E20" s="180" t="str">
        <x:v>Completed11 source-bound FMEA rows including new divider/selector/bulk failures and five external ports.
Remaining: Accepted telemetry loss does not accept arbitrary external bus loading, failed-accessory behavior, or unlimited source/ground energy.</x:v>
      </x:c>
      <x:c r="F20" s="180" t="str">
        <x:v>lanes/power/REGULATOR_FAULT_PROPAGATION.json
lanes/power/REGULATOR_FAULT_PROPAGATION.md</x:v>
      </x:c>
    </x:row>
    <x:row r="21" ht="75" customHeight="1">
      <x:c r="A21" s="219" t="str">
        <x:v>PWR22-R10</x:v>
      </x:c>
      <x:c r="B21" s="219" t="str">
        <x:v>power</x:v>
      </x:c>
      <x:c r="C21" s="219" t="str">
        <x:v>CORRECTED SOURCE MODEL</x:v>
      </x:c>
      <x:c r="D21" s="219" t="str">
        <x:v>Modified VSEL pad clearance</x:v>
      </x:c>
      <x:c r="E21" s="219" t="str">
        <x:v>Removed obsolete GND stub and checked modified as well as added pads, allselected-net connectivity and exact metadata parity.
Remaining: I20 native refill/DRC and final combined filled-copper/export checks are complete.</x:v>
      </x:c>
      <x:c r="F21" s="219" t="str">
        <x:v>lanes/power/POWER_GEOMETRY_REPORT.json
lanes/power/RECOVERY_REDLINE_EVENTS.json
iterations/I20_controlled_handoff/NATIVE_BINDING.json
current/I21_SOURCE_VERIFICATION.json
current/SOURCE_EFFECTIVITY.json</x:v>
      </x:c>
    </x:row>
    <x:row r="22" ht="62" customHeight="1">
      <x:c r="A22" s="180" t="str">
        <x:v>PWR22-R11</x:v>
      </x:c>
      <x:c r="B22" s="180" t="str">
        <x:v>power</x:v>
      </x:c>
      <x:c r="C22" s="180" t="str">
        <x:v>CORRECTED NATIVE I20</x:v>
      </x:c>
      <x:c r="D22" s="180" t="str">
        <x:v>Native execution unavailable</x:v>
      </x:c>
      <x:c r="E22" s="180" t="str">
        <x:v>Prepared source candidate, reproducible scripts and exact source hashes for the local/remote runner. I20 native and matched target outputs now pass.
Remaining: No native blocker remains. Original physical/supplier conditions are retained separately.</x:v>
      </x:c>
      <x:c r="F22" s="180" t="str">
        <x:v>lanes/power/POWER_ECO_DELTA.json
lanes/power/RECOVERY_NOTES.md
iterations/I20_controlled_handoff/NATIVE_BINDING.json
current/I21_SOURCE_VERIFICATION.json</x:v>
      </x:c>
    </x:row>
    <x:row r="23" ht="88" customHeight="1">
      <x:c r="A23" s="219" t="str">
        <x:v>PL22-01</x:v>
      </x:c>
      <x:c r="B23" s="219" t="str">
        <x:v>power_limits</x:v>
      </x:c>
      <x:c r="C23" s="219" t="str">
        <x:v>CORRECTED SOURCE MODEL</x:v>
      </x:c>
      <x:c r="D23" s="219" t="str">
        <x:v>OldhighOVthreshold couldremainunreachedwhenD103clampsandsourceimpedancesags</x:v>
      </x:c>
      <x:c r="E23" s="219" t="str">
        <x:v>R102549k/R10324.3k,exactTNPWparts;retainR10414.7k;fullKCLbias/tolerance/hysteresis sweep
Remaining: Current native/source/manufacturing checks are complete. The 13 us gate and cold-TVS allocations remain model conditions.</x:v>
      </x:c>
      <x:c r="F23" s="219" t="str">
        <x:v>lanes/power_limits/OV_THRESHOLD_CORRECTION.json
lanes/power_limits/OLD_CLAMP_SUPPRESSED_OV_COUNTEREXAMPLE.json
lanes/power_limits/POWER_LIMITS_SOURCE_BINDING.json
iterations/I20_controlled_handoff/NATIVE_BINDING.json
current/I21_SOURCE_VERIFICATION.json
current/SOURCE_EFFECTIVITY.json</x:v>
      </x:c>
    </x:row>
    <x:row r="24" ht="62" customHeight="1">
      <x:c r="A24" s="180" t="str">
        <x:v>PL22-02</x:v>
      </x:c>
      <x:c r="B24" s="180" t="str">
        <x:v>power_limits</x:v>
      </x:c>
      <x:c r="C24" s="180" t="str">
        <x:v>CONDITIONAL BOUND</x:v>
      </x:c>
      <x:c r="D24" s="180" t="str">
        <x:v>Q101hotSOA/startup/repetitionneededquantitativeloadedinterval andnewbulkchargebound</x:v>
      </x:c>
      <x:c r="E24" s="180" t="str">
        <x:v>PublishedSOAgraphanchor plusexplicittemperature/preheatscaling;64coupledinputfilter/currentlimit/softstartcases;eventenergy/repetitioninverse
Remaining: HotSOA scaling,installedcaseT/theta,delay,Lhot andactualsoftstart/currentenvelope aredeclaredconditions;downstreamstartupdelivery remainsinpowerowner model</x:v>
      </x:c>
      <x:c r="F24" s="180" t="str">
        <x:v>lanes/power_limits/Q101_HOT_SOA_AND_REPETITION.json
lanes/power_limits/COUPLED_STARTUP_INPUT_FILTER.json
lanes/power_limits/Q101_REPETITIVE_STARTUP_BOUND.json</x:v>
      </x:c>
    </x:row>
    <x:row r="25" ht="75" customHeight="1">
      <x:c r="A25" s="219" t="str">
        <x:v>PL22-03</x:v>
      </x:c>
      <x:c r="B25" s="219" t="str">
        <x:v>power_limits</x:v>
      </x:c>
      <x:c r="C25" s="219" t="str">
        <x:v>CONDITIONAL BOUND</x:v>
      </x:c>
      <x:c r="D25" s="219" t="str">
        <x:v>TVSenergy/controllerfeedthrough/ringingandrepetitiveeventshadunquantifiedinitialstatesorlosslimits</x:v>
      </x:c>
      <x:c r="E25" s="219" t="str">
        <x:v>Recovered-stateenergyproof,controllerRCcharge/ringingcalculation,componentpower/thermalinverse and22msrecoveryeventrate
Remaining: No-backfeed/recoveredinitialstate,13usonwindow,300nH/100ns andeffectivecapacitance/feedthroughallocations remainconditions;arbitraryEMC/ESD notcoveredbythese supplytransients</x:v>
      </x:c>
      <x:c r="F25" s="219" t="str">
        <x:v>lanes/power_limits/TVS_RECOVERED_STATE_ENERGY_BOUND.json
lanes/power_limits/CONTROLLER_INPUT_TRANSIENT_BOUND.json
lanes/power_limits/CLAMP_PARASITIC_AND_PULSE_LIMITS.json</x:v>
      </x:c>
    </x:row>
    <x:row r="26" ht="62" customHeight="1">
      <x:c r="A26" s="180" t="str">
        <x:v>PL22-04</x:v>
      </x:c>
      <x:c r="B26" s="180" t="str">
        <x:v>power_limits</x:v>
      </x:c>
      <x:c r="C26" s="180" t="str">
        <x:v>CORRECTED SOURCE MODEL</x:v>
      </x:c>
      <x:c r="D26" s="180" t="str">
        <x:v>Hotmagnetic/corelossboundsmissing andoldbroad5.6uHscreenomittedTI Eq8controlminimum</x:v>
      </x:c>
      <x:c r="E26" s="180" t="str">
        <x:v>Recordcurrent-correlatedsource limitation;rootauthorizedsame-landXGL5030-153MEC15uH;recompute8.4–12uHretentioncases,currentripple/copperloss/Eq8 andnominalripple
Remaining: Power/loopowners rebindnew15uHstartupandcontrolmodels;hotLretention andcore/ACthermalbudgetsremainconditionalfactory/modelcorrelation</x:v>
      </x:c>
      <x:c r="F26" s="180" t="str">
        <x:v>lanes/power_limits/HOT_MAGNETIC_10UH_CURRENT_LIMIT_ONLY_HISTORY.json
lanes/power_limits/MAGNETIC_CONTROL_CORRECTION.json
lanes/power_limits/HOT_MAGNETIC_INVERSE_BOUNDS.json
lanes/power_limits/POWER_LIMITS_SOURCE_BINDING.json</x:v>
      </x:c>
    </x:row>
    <x:row r="27" ht="62" customHeight="1">
      <x:c r="A27" s="219" t="str">
        <x:v>PL22-05</x:v>
      </x:c>
      <x:c r="B27" s="219" t="str">
        <x:v>power_limits</x:v>
      </x:c>
      <x:c r="C27" s="219" t="str">
        <x:v>CONDITIONAL BOUND</x:v>
      </x:c>
      <x:c r="D27" s="219" t="str">
        <x:v>LowohmnewpartsrequiredexactMPN/componentTCR/manufacturerlandbinding</x:v>
      </x:c>
      <x:c r="E27" s="219" t="str">
        <x:v>WSL120610mohm75ppm/K;WSLP060322/47mohm110ppm/K,68/82mohm75ppm/K;exactpadpatternsand125Cintervalsrecorded;noinventedLCSC
Remaining: FinalR158valueadoption/modelgate ownedroot/independentreview;factoryallocation/stencilacceptance remains external</x:v>
      </x:c>
      <x:c r="F27" s="219" t="str">
        <x:v>lanes/power_limits/LOW_OHM_RESISTOR_BINDING.json
lanes/power_limits/sources/WSLP_30122_20240909.pdf
lanes/power_limits/../rail_rl/RAIL_RL_TOPOLOGY.json</x:v>
      </x:c>
    </x:row>
    <x:row r="28" ht="49" customHeight="1">
      <x:c r="A28" s="180" t="str">
        <x:v>FWO01</x:v>
      </x:c>
      <x:c r="B28" s="180" t="str">
        <x:v>firmware_oil</x:v>
      </x:c>
      <x:c r="C28" s="180" t="str">
        <x:v>CORRECTED SOURCE MODEL</x:v>
      </x:c>
      <x:c r="D28" s="180" t="str">
        <x:v>50Hz acquisition/25Hz publication left small50ms pulse margin.</x:v>
      </x:c>
      <x:c r="E28" s="180" t="str">
        <x:v>100Hz acquisition, alpha0.5, fresh/reset50Hz publication; saved user periods remain valid.
Remaining: Finite timing contract and modeled sensor dynamics; native ADC/driver WCET and phone delivery remain unmeasured.</x:v>
      </x:c>
      <x:c r="F28" s="180" t="str">
        <x:v>lanes/firmware_oil/RECOVERED_FIRMWARE_TEST_RESULTS.json
lanes/firmware_oil/OIL_RESPONSE_AND_ALIAS_RECOVERED.json</x:v>
      </x:c>
    </x:row>
    <x:row r="29" ht="62" customHeight="1">
      <x:c r="A29" s="219" t="str">
        <x:v>FWO02</x:v>
      </x:c>
      <x:c r="B29" s="219" t="str">
        <x:v>firmware_oil</x:v>
      </x:c>
      <x:c r="C29" s="219" t="str">
        <x:v>CORRECTED SOURCE MODEL</x:v>
      </x:c>
      <x:c r="D29" s="219" t="str">
        <x:v>A long cooperative service gap could appear as a normal sample.</x:v>
      </x:c>
      <x:c r="E29" s="219" t="str">
        <x:v>Measured micros entry-gap monitor; gaps&gt;5ms invalidate immediately; startup first call exempt.
Remaining: Detects/contains violations; does not guarantee that opaque native calls never exceed5ms.</x:v>
      </x:c>
      <x:c r="F29" s="219" t="str">
        <x:v>lanes/firmware_oil/RECOVERED_FIRMWARE_TEST_RESULTS.json</x:v>
      </x:c>
    </x:row>
    <x:row r="30" ht="62" customHeight="1">
      <x:c r="A30" s="180" t="str">
        <x:v>FWO03</x:v>
      </x:c>
      <x:c r="B30" s="180" t="str">
        <x:v>firmware_oil</x:v>
      </x:c>
      <x:c r="C30" s="180" t="str">
        <x:v>CORRECTED SOURCE MODEL</x:v>
      </x:c>
      <x:c r="D30" s="180" t="str">
        <x:v>GPS writes could block or truncate framed commands on UART backpressure.</x:v>
      </x:c>
      <x:c r="E30" s="180" t="str">
        <x:v>Single-writer whole-frame capacity check, retry/defer and short-write counters; Probe retry works after one received sentence.
Remaining: Pinned native UART availableForWrite/write semantics and module response remain target conditions.</x:v>
      </x:c>
      <x:c r="F30" s="180" t="str">
        <x:v>lanes/firmware_oil/RECOVERED_FIRMWARE_TEST_RESULTS.json</x:v>
      </x:c>
    </x:row>
    <x:row r="31" ht="49" customHeight="1">
      <x:c r="A31" s="219" t="str">
        <x:v>FWO04</x:v>
      </x:c>
      <x:c r="B31" s="219" t="str">
        <x:v>firmware_oil</x:v>
      </x:c>
      <x:c r="C31" s="219" t="str">
        <x:v>CORRECTED SOURCE MODEL</x:v>
      </x:c>
      <x:c r="D31" s="219" t="str">
        <x:v>Lost scratch bytes could be mistaken for the historical release identity.</x:v>
      </x:c>
      <x:c r="E31" s="219" t="str">
        <x:v>Distinct2.1.4-revb-recovered-20260909 identity and exact source manifest.
Remaining: Target image is unbuilt; reconstructed source is not byte-identical recovery of historical2.1.4.</x:v>
      </x:c>
      <x:c r="F31" s="219" t="str">
        <x:v>lanes/firmware_oil/RECOVERED_FIRMWARE_TEST_RESULTS.json
lanes/firmware_oil/candidate/SOURCE_MANIFEST.json
lanes/firmware_oil/RECOVERY_NOTES.md</x:v>
      </x:c>
    </x:row>
    <x:row r="32" ht="62" customHeight="1">
      <x:c r="A32" s="180" t="str">
        <x:v>FWO05</x:v>
      </x:c>
      <x:c r="B32" s="180" t="str">
        <x:v>firmware_oil</x:v>
      </x:c>
      <x:c r="C32" s="180" t="str">
        <x:v>CONDITIONAL BOUND</x:v>
      </x:c>
      <x:c r="D32" s="180" t="str">
        <x:v>Sensor interpretation needed exact sealed-gauge reference and current/response conditions.</x:v>
      </x:c>
      <x:c r="E32" s="180" t="str">
        <x:v>Bind MIPAN2XX150PSAAX,150psi sealed gauge,14.7psia reference, ratiometric10–90%; retain no automatic key-on zero.
Remaining: TEB/1000h drift scopes remain distinct; underpressure transition, hot/startup current and hydraulic response have no invented guarantee.</x:v>
      </x:c>
      <x:c r="F32" s="180" t="str">
        <x:v>lanes/firmware_oil/OIL_ERROR_LEAKAGE_OFFPOWER_RECOVERED.json
lanes/firmware_oil/candidate/PROGRAMMING_AND_CALIBRATION.md</x:v>
      </x:c>
    </x:row>
    <x:row r="33" ht="49" customHeight="1">
      <x:c r="A33" s="219" t="str">
        <x:v>FWO06</x:v>
      </x:c>
      <x:c r="B33" s="219" t="str">
        <x:v>firmware_oil</x:v>
      </x:c>
      <x:c r="C33" s="219" t="str">
        <x:v>CORRECTED SOURCE MODEL</x:v>
      </x:c>
      <x:c r="D33" s="219" t="str">
        <x:v>0x13A/0x6FC comments wrongly said ASC supplies those IDs.</x:v>
      </x:c>
      <x:c r="E33" s="219" t="str">
        <x:v>Correct tap-aware comments; retain whitelist capability without fabricating absent frames.
Remaining: Actual tap-specific signal availability and semantic vectors remain installation/profile inputs.</x:v>
      </x:c>
      <x:c r="F33" s="219" t="str">
        <x:v>lanes/firmware_oil/candidate/cca_telemetry/pidmaps/gr86_2022.h</x:v>
      </x:c>
    </x:row>
    <x:row r="34" ht="62" customHeight="1">
      <x:c r="A34" s="180" t="str">
        <x:v>FWO07</x:v>
      </x:c>
      <x:c r="B34" s="180" t="str">
        <x:v>firmware_oil</x:v>
      </x:c>
      <x:c r="C34" s="180" t="str">
        <x:v>CORRECTED SOURCE MODEL</x:v>
      </x:c>
      <x:c r="D34" s="180" t="str">
        <x:v>Predecessor pulse/alias results no longer represented revised timing.</x:v>
      </x:c>
      <x:c r="E34" s="180" t="str">
        <x:v>Generate1197 actual-source timing traces with133 loop patterns,0/1/5ms acquisition, begin/mid/end sampling; sweep sensor/filter/event phase.
Remaining: 1ms sensor response is typical, not a maximum.20ms events andslow-sensor cases are not guaranteed; interference amplitude is inverse-bounded.</x:v>
      </x:c>
      <x:c r="F34" s="180" t="str">
        <x:v>lanes/firmware_oil/OIL_RESPONSE_AND_ALIAS_RECOVERED.json</x:v>
      </x:c>
    </x:row>
    <x:row r="35" ht="62" customHeight="1">
      <x:c r="A35" s="219" t="str">
        <x:v>FWO08</x:v>
      </x:c>
      <x:c r="B35" s="219" t="str">
        <x:v>firmware_oil</x:v>
      </x:c>
      <x:c r="C35" s="219" t="str">
        <x:v>CONDITIONAL BOUND</x:v>
      </x:c>
      <x:c r="D35" s="219" t="str">
        <x:v>Finite returns and powered-off leakage needed quantitative conditions.</x:v>
      </x:c>
      <x:c r="E35" s="219" t="str">
        <x:v>Passive OUT graph plus signed bias/leakage, excitation-skew, static pressure and sensing-only rail inverse bounds.
Remaining: Private TPS RTN and powered-off OPA/ADC relative-pin behavior remain manufacturer/measurement conditions; offpower time is parametric, not a current-board decay claim.</x:v>
      </x:c>
      <x:c r="F35" s="219" t="str">
        <x:v>lanes/firmware_oil/OIL_GRAPH_INVERSE_BOUNDS_AND_EFFECTIVITY.json
lanes/firmware_oil/OIL_ERROR_LEAKAGE_OFFPOWER_RECOVERED.json</x:v>
      </x:c>
    </x:row>
    <x:row r="36" ht="62" customHeight="1">
      <x:c r="A36" s="180" t="str">
        <x:v>FWO09</x:v>
      </x:c>
      <x:c r="B36" s="180" t="str">
        <x:v>firmware_oil</x:v>
      </x:c>
      <x:c r="C36" s="180" t="str">
        <x:v>CORRECTED NATIVE I20</x:v>
      </x:c>
      <x:c r="D36" s="180" t="str">
        <x:v>Host test pass could be mistaken for a target binary build.</x:v>
      </x:c>
      <x:c r="E36" s="180" t="str">
        <x:v>Release checker exits2 with explicit TARGET_UNBUILT despite20 passing source checks. I20 native and matched target outputs now pass.
Remaining: No native blocker remains. Original physical/supplier conditions are retained separately.</x:v>
      </x:c>
      <x:c r="F36" s="180" t="str">
        <x:v>lanes/firmware_oil/RECOVERED_RELEASE_CHECKS.json
iterations/I20_controlled_handoff/NATIVE_BINDING.json
current/I21_SOURCE_VERIFICATION.json</x:v>
      </x:c>
    </x:row>
    <x:row r="37" ht="49" customHeight="1">
      <x:c r="A37" s="219" t="str">
        <x:v>FWO10</x:v>
      </x:c>
      <x:c r="B37" s="219" t="str">
        <x:v>firmware_oil</x:v>
      </x:c>
      <x:c r="C37" s="219" t="str">
        <x:v>CORRECTED SOURCE MODEL</x:v>
      </x:c>
      <x:c r="D37" s="219" t="str">
        <x:v>GPS multi-constellation/SBAS defaults were not aligned with the selected GPSL1 external antenna.</x:v>
      </x:c>
      <x:c r="E37" s="219" t="str">
        <x:v>Send GPS-only, SBAS-off and DGPS-none commands; positive configuration evidence required.
Remaining: Exact module command support/ACKs are observed at runtime; external antenna bias/current and RF are separate models.</x:v>
      </x:c>
      <x:c r="F37" s="219" t="str">
        <x:v>lanes/firmware_oil/RECOVERED_FIRMWARE_TEST_RESULTS.json
lanes/firmware_oil/candidate/cca_telemetry/src/gps_mode_config.h</x:v>
      </x:c>
    </x:row>
    <x:row r="38" ht="62" customHeight="1">
      <x:c r="A38" s="180" t="str">
        <x:v>FWO11</x:v>
      </x:c>
      <x:c r="B38" s="180" t="str">
        <x:v>firmware_oil</x:v>
      </x:c>
      <x:c r="C38" s="180" t="str">
        <x:v>CORRECTED SOURCE MODEL</x:v>
      </x:c>
      <x:c r="D38" s="180" t="str">
        <x:v>Physical CAN cache saturation could evict virtual oil/diagnostic entries.</x:v>
      </x:c>
      <x:c r="E38" s="180" t="str">
        <x:v>Reserve existing96-slot local0x710/0x777 entries; physical bus IDs cannot overwrite them; preserve120notification/s budget and latest-value coalescing.
Remaining: Actual-source cache test stubs routing decisions and notify behavior; no guarantee of arbitrary phone throughput. Six10Hz CANIDs slightly exceed remaining58.5/s.</x:v>
      </x:c>
      <x:c r="F38" s="180" t="str">
        <x:v>lanes/firmware_oil/RECOVERED_FIRMWARE_TEST_RESULTS.json
lanes/firmware_oil/candidate/PROGRAMMING_AND_CALIBRATION.md</x:v>
      </x:c>
    </x:row>
    <x:row r="39" ht="62" customHeight="1">
      <x:c r="A39" s="219" t="str">
        <x:v>FWO12</x:v>
      </x:c>
      <x:c r="B39" s="219" t="str">
        <x:v>firmware_oil</x:v>
      </x:c>
      <x:c r="C39" s="219" t="str">
        <x:v>CORRECTED SOURCE MODEL</x:v>
      </x:c>
      <x:c r="D39" s="219" t="str">
        <x:v>A long ADC acquisition could publish a valid value before the next entry-gap check.</x:v>
      </x:c>
      <x:c r="E39" s="219" t="str">
        <x:v>Recheck fresh micros after sampleOil, invalidate before publication and refresh timestamp;&gt;5ms adversarial acquisitions covered.
Remaining: Exactly5ms is accepted by configured contract; measured real ADC time still needed to verify availability.</x:v>
      </x:c>
      <x:c r="F39" s="219" t="str">
        <x:v>lanes/firmware_oil/RECOVERED_FIRMWARE_TEST_RESULTS.json</x:v>
      </x:c>
    </x:row>
    <x:row r="40" ht="62" customHeight="1">
      <x:c r="A40" s="180" t="str">
        <x:v>FWO13</x:v>
      </x:c>
      <x:c r="B40" s="180" t="str">
        <x:v>firmware_oil</x:v>
      </x:c>
      <x:c r="C40" s="180" t="str">
        <x:v>CORRECTED SOURCE MODEL</x:v>
      </x:c>
      <x:c r="D40" s="180" t="str">
        <x:v>Diagnostic/calibration endpoint guards excluded allowed sensor tolerance/drift combinations.</x:v>
      </x:c>
      <x:c r="E40" s="180" t="str">
        <x:v>Diagnostic ratio0.08..0.92; CAL0=.08.. .12,CAL150=.88.. .92,minimumspan.76; retain hard.06/.94 and electronic error gate.
Remaining: Calibration still requires actual references and valid independent channel-error bounds; no automatic zero.</x:v>
      </x:c>
      <x:c r="F40" s="180" t="str">
        <x:v>lanes/firmware_oil/RECOVERED_FIRMWARE_TEST_RESULTS.json
lanes/firmware_oil/OIL_ERROR_LEAKAGE_OFFPOWER_RECOVERED.json</x:v>
      </x:c>
    </x:row>
    <x:row r="41" ht="62" customHeight="1">
      <x:c r="A41" s="219" t="str">
        <x:v>FWO14</x:v>
      </x:c>
      <x:c r="B41" s="219" t="str">
        <x:v>firmware_oil</x:v>
      </x:c>
      <x:c r="C41" s="219" t="str">
        <x:v>CORRECTED SOURCE MODEL</x:v>
      </x:c>
      <x:c r="D41" s="219" t="str">
        <x:v>Local excitation threshold alone could accept a sensor supply below4.75V.</x:v>
      </x:c>
      <x:c r="E41" s="219" t="str">
        <x:v>Subtract6mV for conditional15mA×0.4ohm loop from lower-confidence supply before validity decision.
Remaining: 15mA andeachwire&lt;=0.2ohm are installation allocations, not a datasheet hot-current maximum.</x:v>
      </x:c>
      <x:c r="F41" s="219" t="str">
        <x:v>lanes/firmware_oil/RECOVERED_FIRMWARE_TEST_RESULTS.json
lanes/firmware_oil/OIL_ERROR_LEAKAGE_OFFPOWER_RECOVERED.json</x:v>
      </x:c>
    </x:row>
    <x:row r="42" ht="62" customHeight="1">
      <x:c r="A42" s="180" t="str">
        <x:v>FWO15</x:v>
      </x:c>
      <x:c r="B42" s="180" t="str">
        <x:v>firmware_oil</x:v>
      </x:c>
      <x:c r="C42" s="180" t="str">
        <x:v>CORRECTED SOURCE MODEL</x:v>
      </x:c>
      <x:c r="D42" s="180" t="str">
        <x:v>Missing/ambiguous mode acknowledgments or duplicate epochs could be counted as configured.</x:v>
      </x:c>
      <x:c r="E42" s="180" t="str">
        <x:v>Requirepositive353/313/301/220 acknowledgments, strictSBAS0readback and10 distinct dated100ms RMC advances at115200; malformed/duplicate/backward cases rejected.
Remaining: Module firmware and actual startup/baud retention remain unmeasured; invalid/stale runtime outputs remain explicit.</x:v>
      </x:c>
      <x:c r="F42" s="180" t="str">
        <x:v>lanes/firmware_oil/RECOVERED_FIRMWARE_TEST_RESULTS.json</x:v>
      </x:c>
    </x:row>
    <x:row r="43" ht="75" customHeight="1">
      <x:c r="A43" s="219" t="str">
        <x:v>FWO16</x:v>
      </x:c>
      <x:c r="B43" s="219" t="str">
        <x:v>firmware_oil</x:v>
      </x:c>
      <x:c r="C43" s="219" t="str">
        <x:v>CORRECTED SOURCE MODEL</x:v>
      </x:c>
      <x:c r="D43" s="219" t="str">
        <x:v>Old oil output network exceeded the allocated negative voltage with finite return inductance.</x:v>
      </x:c>
      <x:c r="E43" s="219" t="str">
        <x:v>Implement C532 OUT-to-GND branch in CAD with25nHnew/10nHshared allocations; no privateRTN short.
Remaining: Native refill/DRC is complete. Minimum copper/plating and private-return model conditions remain explicit.</x:v>
      </x:c>
      <x:c r="F43" s="219" t="str">
        <x:v>lanes/firmware_oil/OIL_GRAPH_INVERSE_BOUNDS_AND_EFFECTIVITY.json
lanes/firmware_oil/FINAL_I04_OIL_FIRMWARE_EFFECTIVITY.json
iterations/I20_controlled_handoff/NATIVE_BINDING.json
current/I21_SOURCE_VERIFICATION.json
current/SOURCE_EFFECTIVITY.json</x:v>
      </x:c>
    </x:row>
    <x:row r="44" ht="62" customHeight="1">
      <x:c r="A44" s="180" t="str">
        <x:v>FWO-R17</x:v>
      </x:c>
      <x:c r="B44" s="180" t="str">
        <x:v>firmware_oil</x:v>
      </x:c>
      <x:c r="C44" s="180" t="str">
        <x:v>CORRECTED SOURCE MODEL</x:v>
      </x:c>
      <x:c r="D44" s="180" t="str">
        <x:v>Actual new copper also contacts C504 land and old post-hub trace, invalidating an independent-leaf-only model.</x:v>
      </x:c>
      <x:c r="E44" s="180" t="str">
        <x:v>Model both distributed overlaps with independent contactL/R/via splits and shared-return sensitivities;18,432cases plus nodal/Pade/energy checks.
Remaining: ContactR/L are explicit engineering allocations; continuous-time bounds do not prove every continuous parameter combination or die behavior.</x:v>
      </x:c>
      <x:c r="F44" s="180" t="str">
        <x:v>lanes/firmware_oil/OIL_GRAPH_INVERSE_BOUNDS_AND_EFFECTIVITY.json
lanes/firmware_oil/OIL_NETWORK_CONTACTS_RECOVERED.json
verification/independent/OIL_INDEPENDENT_NODAL_COMPARISON.json</x:v>
      </x:c>
    </x:row>
    <x:row r="45" ht="62" customHeight="1">
      <x:c r="A45" s="219" t="str">
        <x:v>FWO-R18</x:v>
      </x:c>
      <x:c r="B45" s="219" t="str">
        <x:v>firmware_oil</x:v>
      </x:c>
      <x:c r="C45" s="219" t="str">
        <x:v>CORRECTED SOURCE MODEL</x:v>
      </x:c>
      <x:c r="D45" s="219" t="str">
        <x:v>Fixed0.006 ratio-error gate allowed1.184psi electronic allocation at calibration span.76.</x:v>
      </x:c>
      <x:c r="E45" s="219" t="str">
        <x:v>Scale accepted electronic ratio error by min(1,span/.8); minimumspanthreshold.0057 restores1.125psi allocation.
Remaining: Remaining common ground/reference budget is explicit; historical125C/2xload stress still fails3.5psi.</x:v>
      </x:c>
      <x:c r="F45" s="219" t="str">
        <x:v>lanes/firmware_oil/RECOVERED_FIRMWARE_TEST_RESULTS.json
lanes/firmware_oil/OIL_ERROR_LEAKAGE_OFFPOWER_RECOVERED.json
lanes/firmware_oil/RECOVERY_CALIBRATION_GAIN_REDLINE.json</x:v>
      </x:c>
    </x:row>
    <x:row r="46" ht="88" customHeight="1">
      <x:c r="A46" s="180" t="str">
        <x:v>FWO-R19</x:v>
      </x:c>
      <x:c r="B46" s="180" t="str">
        <x:v>firmware_oil</x:v>
      </x:c>
      <x:c r="C46" s="180" t="str">
        <x:v>CORRECTED SOURCE MODEL</x:v>
      </x:c>
      <x:c r="D46" s="180" t="str">
        <x:v>Unused config.h macros retained contradictory2.1.1 identity/old git hash.</x:v>
      </x:c>
      <x:c r="E46" s="180" t="str">
        <x:v>Remove unused historical identity macros; point to actual runtime BUILD_ID and exact manifest.
Remaining: Exact I20 target ELF/BIN images exist and match their archived hashes. Actual unit flash/readback remains separate.</x:v>
      </x:c>
      <x:c r="F46" s="180" t="str">
        <x:v>lanes/firmware_oil/RECOVERED_FIRMWARE_TEST_RESULTS.json
lanes/firmware_oil/candidate/SOURCE_MANIFEST.json
lanes/firmware_oil/RECOVERY_IDENTITY_REDLINE.json
iterations/I20_controlled_handoff/NATIVE_BINDING.json
current/I21_SOURCE_VERIFICATION.json
current/SOURCE_EFFECTIVITY.json</x:v>
      </x:c>
    </x:row>
    <x:row r="47" ht="36" customHeight="1">
      <x:c r="A47" s="219" t="str">
        <x:v>MECH22-01</x:v>
      </x:c>
      <x:c r="B47" s="219" t="str">
        <x:v>mechanics</x:v>
      </x:c>
      <x:c r="C47" s="219" t="str">
        <x:v>CORRECTED SOURCE MODEL</x:v>
      </x:c>
      <x:c r="D47" s="219" t="str">
        <x:v>Missing positive +X retention</x:v>
      </x:c>
      <x:c r="E47" s="219" t="str">
        <x:v>Four outboard ears, NPTH holes and shoulder/washer capture
Remaining: Actual assembly material/load acceptance remains.</x:v>
      </x:c>
      <x:c r="F47" s="219" t="str">
        <x:v>lanes/mechanics/CAD_PATCH_MANIFEST.json
lanes/mechanics/EAR_GEOMETRY.json</x:v>
      </x:c>
    </x:row>
    <x:row r="48" ht="36" customHeight="1">
      <x:c r="A48" s="180" t="str">
        <x:v>MECH22-02</x:v>
      </x:c>
      <x:c r="B48" s="180" t="str">
        <x:v>mechanics</x:v>
      </x:c>
      <x:c r="C48" s="180" t="str">
        <x:v>CORRECTED SOURCE MODEL</x:v>
      </x:c>
      <x:c r="D48" s="180" t="str">
        <x:v>Tiny friction-only edge support</x:v>
      </x:c>
      <x:c r="E48" s="180" t="str">
        <x:v>Shoulder sleeves carry shear and washers captureZ
Remaining: Specified sleeves, thickness and material requirements.</x:v>
      </x:c>
      <x:c r="F48" s="180" t="str">
        <x:v>lanes/mechanics/STRUCTURAL_SERVICE_MODEL.json</x:v>
      </x:c>
    </x:row>
    <x:row r="49" ht="75" customHeight="1">
      <x:c r="A49" s="219" t="str">
        <x:v>MECH22-03</x:v>
      </x:c>
      <x:c r="B49" s="219" t="str">
        <x:v>mechanics</x:v>
      </x:c>
      <x:c r="C49" s="219" t="str">
        <x:v>CONDITIONAL BOUND</x:v>
      </x:c>
      <x:c r="D49" s="219" t="str">
        <x:v>Incomplete fit/service envelope</x:v>
      </x:c>
      <x:c r="E49" s="219" t="str">
        <x:v>Source-defined73mm-high carrier; body/connector/model gaps enumerated
Remaining: All 153 fitted model references and manufacturer-height envelopes resolve; 776 declared mated checks pass. Actual vehicle fit and supplied dimensions/materials remain conditions.</x:v>
      </x:c>
      <x:c r="F49" s="219" t="str">
        <x:v>lanes/mechanics/MECHANICAL_INSTALLATION_RVB22.md
lanes/mechanics/FINAL_COMPONENT_ENVELOPES.json
iterations/I20_controlled_handoff/NATIVE_BINDING.json
current/I21_SOURCE_VERIFICATION.json
current/SOURCE_EFFECTIVITY.json</x:v>
      </x:c>
    </x:row>
    <x:row r="50" ht="49" customHeight="1">
      <x:c r="A50" s="180" t="str">
        <x:v>MECH22-04</x:v>
      </x:c>
      <x:c r="B50" s="180" t="str">
        <x:v>mechanics</x:v>
      </x:c>
      <x:c r="C50" s="180" t="str">
        <x:v>CORRECTED SOURCE MODEL</x:v>
      </x:c>
      <x:c r="D50" s="180" t="str">
        <x:v>F101/ESP incompatible whole-board profile</x:v>
      </x:c>
      <x:c r="E50" s="180" t="str">
        <x:v>Remove globalF101paste/CPL; adopt laterfactory260C≤3s localoperation
Remaining: ExactlocalSMDprocess requires assembler acceptance and executedprofile; fuse retained electrically.</x:v>
      </x:c>
      <x:c r="F50" s="180" t="str">
        <x:v>lanes/mechanics/ASSEMBLY_PROCESS_RVB22.md
lanes/mechanics/CAD_PATCH_MANIFEST.json</x:v>
      </x:c>
    </x:row>
    <x:row r="51" ht="36" customHeight="1">
      <x:c r="A51" s="219" t="str">
        <x:v>MECH22-05</x:v>
      </x:c>
      <x:c r="B51" s="219" t="str">
        <x:v>mechanics</x:v>
      </x:c>
      <x:c r="C51" s="219" t="str">
        <x:v>CORRECTED SOURCE MODEL</x:v>
      </x:c>
      <x:c r="D51" s="219" t="str">
        <x:v>Conflicting U201 filled/capped versus tented-via instruction</x:v>
      </x:c>
      <x:c r="E51" s="219" t="str">
        <x:v>Supersede tent/no-fill with12filled/capped/planarizedpad41vias
Remaining: Fabricator construction acceptance and manufacturing export remain.</x:v>
      </x:c>
      <x:c r="F51" s="219" t="str">
        <x:v>lanes/mechanics/ASSEMBLY_PROCESS_RVB22.md</x:v>
      </x:c>
    </x:row>
    <x:row r="52" ht="36" customHeight="1">
      <x:c r="A52" s="180" t="str">
        <x:v>MECH22-06</x:v>
      </x:c>
      <x:c r="B52" s="180" t="str">
        <x:v>mechanics</x:v>
      </x:c>
      <x:c r="C52" s="180" t="str">
        <x:v>CORRECTED SOURCE MODEL</x:v>
      </x:c>
      <x:c r="D52" s="180" t="str">
        <x:v>Wrong or unsupported environmental interpretation</x:v>
      </x:c>
      <x:c r="E52" s="180" t="str">
        <x:v>Dashboard65Cair/radiant screen;120F estimate separately identified
Remaining: Screen is not measured hotsoak.</x:v>
      </x:c>
      <x:c r="F52" s="180" t="str">
        <x:v>lanes/mechanics/MECHANICAL_INSTALLATION_RVB22.md</x:v>
      </x:c>
    </x:row>
    <x:row r="53" ht="36" customHeight="1">
      <x:c r="A53" s="219" t="str">
        <x:v>MECH22-07</x:v>
      </x:c>
      <x:c r="B53" s="219" t="str">
        <x:v>mechanics</x:v>
      </x:c>
      <x:c r="C53" s="219" t="str">
        <x:v>CONDITIONAL BOUND</x:v>
      </x:c>
      <x:c r="D53" s="219" t="str">
        <x:v>Outboard mass and joint strain unmodeled</x:v>
      </x:c>
      <x:c r="E53" s="219" t="str">
        <x:v>27beamcases plus CTEjoint-displacement intervals
Remaining: Static/kinematic sensitivity, not plate/modal/joint-fatigue proof.</x:v>
      </x:c>
      <x:c r="F53" s="219" t="str">
        <x:v>lanes/mechanics/STRUCTURAL_SERVICE_MODEL.json</x:v>
      </x:c>
    </x:row>
    <x:row r="54" ht="75" customHeight="1">
      <x:c r="A54" s="180" t="str">
        <x:v>MECH22-08</x:v>
      </x:c>
      <x:c r="B54" s="180" t="str">
        <x:v>mechanics</x:v>
      </x:c>
      <x:c r="C54" s="180" t="str">
        <x:v>CORRECTED SOURCE MODEL</x:v>
      </x:c>
      <x:c r="D54" s="180" t="str">
        <x:v>Retracing polygon spurs in visual/SCAD outline</x:v>
      </x:c>
      <x:c r="E54" s="180" t="str">
        <x:v>Generate ordered continuous outline directly fromEdge.Cuts
Remaining: Current native STEP output is complete. Actual construction/material acceptance remains separate.</x:v>
      </x:c>
      <x:c r="F54" s="180" t="str">
        <x:v>lanes/mechanics/rebuild_mechanics.py
lanes/mechanics/CAD_PATCH_MANIFEST.json
iterations/I20_controlled_handoff/NATIVE_BINDING.json
current/I21_SOURCE_VERIFICATION.json
current/SOURCE_EFFECTIVITY.json</x:v>
      </x:c>
    </x:row>
    <x:row r="55" ht="36" customHeight="1">
      <x:c r="A55" s="219" t="str">
        <x:v>MECH22-09</x:v>
      </x:c>
      <x:c r="B55" s="219" t="str">
        <x:v>mechanics</x:v>
      </x:c>
      <x:c r="C55" s="219" t="str">
        <x:v>CORRECTED SOURCE MODEL</x:v>
      </x:c>
      <x:c r="D55" s="219" t="str">
        <x:v>ESP antenna-board overhang omitted from fit</x:v>
      </x:c>
      <x:c r="E55" s="219" t="str">
        <x:v>Add6mmESPoverhang and supplierbodymax tofit
Remaining: Actualantenna/cavityclearance required.</x:v>
      </x:c>
      <x:c r="F55" s="219" t="str">
        <x:v>lanes/mechanics/MECHANICAL_INSTALLATION_RVB22.md
lanes/mechanics/FINAL_COMPONENT_ENVELOPES.json</x:v>
      </x:c>
    </x:row>
    <x:row r="56" ht="36" customHeight="1">
      <x:c r="A56" s="180" t="str">
        <x:v>MECH22-10</x:v>
      </x:c>
      <x:c r="B56" s="180" t="str">
        <x:v>mechanics</x:v>
      </x:c>
      <x:c r="C56" s="180" t="str">
        <x:v>CORRECTED SOURCE MODEL</x:v>
      </x:c>
      <x:c r="D56" s="180" t="str">
        <x:v>Only left carrier attachments provide poor support</x:v>
      </x:c>
      <x:c r="E56" s="180" t="str">
        <x:v>Four vehicleM3mounts, rightpairlatermovedbyC03
Remaining: Allfourmounts required.</x:v>
      </x:c>
      <x:c r="F56" s="180" t="str">
        <x:v>lanes/mechanics/GR86_RVB_CARRIER_C03.scad
lanes/mechanics/C03_CARRIER_CHECKS.json</x:v>
      </x:c>
    </x:row>
    <x:row r="57" ht="36" customHeight="1">
      <x:c r="A57" s="219" t="str">
        <x:v>MECH22-11</x:v>
      </x:c>
      <x:c r="B57" s="219" t="str">
        <x:v>mechanics</x:v>
      </x:c>
      <x:c r="C57" s="219" t="str">
        <x:v>CORRECTED SOURCE MODEL</x:v>
      </x:c>
      <x:c r="D57" s="219" t="str">
        <x:v>Solid carrier blocks heat exchange</x:v>
      </x:c>
      <x:c r="E57" s="219" t="str">
        <x:v>Central and wing windows implemented
Remaining: Windows maynotbe covered byjackets/vehicletrim.</x:v>
      </x:c>
      <x:c r="F57" s="219" t="str">
        <x:v>lanes/mechanics/GR86_RVB_CARRIER_C03.scad
lanes/mechanics/thermal_network.py</x:v>
      </x:c>
    </x:row>
    <x:row r="58" ht="75" customHeight="1">
      <x:c r="A58" s="180" t="str">
        <x:v>MECH22-12</x:v>
      </x:c>
      <x:c r="B58" s="180" t="str">
        <x:v>mechanics</x:v>
      </x:c>
      <x:c r="C58" s="180" t="str">
        <x:v>OPEN ENGINEERING</x:v>
      </x:c>
      <x:c r="D58" s="180" t="str">
        <x:v>Continuous local worst-load heat safety not established</x:v>
      </x:c>
      <x:c r="E58" s="180" t="str">
        <x:v>Executeaverage,position,winganddirectcontactmodels; retainfailures
Remaining: Current C05/W02/T03 cooling replaces T01. The completed actual-copper thermal refinement is still mesh-sensitive and package/local-air closure remains open.</x:v>
      </x:c>
      <x:c r="F58" s="180" t="str">
        <x:v>lanes/mechanics/THERMAL_CONTACT_T01_MODEL.json
lanes/mechanics/THERMAL_CONTACT_T01_INVERSE_REQUIREMENTS.json
iterations/I20_controlled_handoff/NATIVE_BINDING.json
current/I21_SOURCE_VERIFICATION.json
current/SOURCE_EFFECTIVITY.json</x:v>
      </x:c>
    </x:row>
    <x:row r="59" ht="49" customHeight="1">
      <x:c r="A59" s="219" t="str">
        <x:v>MECH22-13</x:v>
      </x:c>
      <x:c r="B59" s="219" t="str">
        <x:v>mechanics</x:v>
      </x:c>
      <x:c r="C59" s="219" t="str">
        <x:v>CONDITIONAL BOUND</x:v>
      </x:c>
      <x:c r="D59" s="219" t="str">
        <x:v>Adiabatic wire heating overstates1800sfaulttemperature</x:v>
      </x:c>
      <x:c r="E59" s="219" t="str">
        <x:v>Powerlane finitecoolingODE andinverseh bound
Remaining: See power/POWER_BOUNDS.json; actualwire/holder/bundlecooling andfuseclearingconditions retained.</x:v>
      </x:c>
      <x:c r="F59" s="219" t="str">
        <x:v>lanes/mechanics/MECHANICAL_INSTALLATION_RVB22.md</x:v>
      </x:c>
    </x:row>
    <x:row r="60" ht="49" customHeight="1">
      <x:c r="A60" s="180" t="str">
        <x:v>MECH22-14</x:v>
      </x:c>
      <x:c r="B60" s="180" t="str">
        <x:v>mechanics</x:v>
      </x:c>
      <x:c r="C60" s="180" t="str">
        <x:v>CORRECTED SOURCE MODEL</x:v>
      </x:c>
      <x:c r="D60" s="180" t="str">
        <x:v>Coax shield can create vehicle return path</x:v>
      </x:c>
      <x:c r="E60" s="180" t="str">
        <x:v>InsulatingSMAbulkhead andpuckmount source
Remaining: ExactAdafruitSKU/bodyshapeandinstalledmetalclearanceconditional;Honeywellhousinggroundretained.</x:v>
      </x:c>
      <x:c r="F60" s="180" t="str">
        <x:v>lanes/mechanics/SMA_ISOLATOR.scad
lanes/mechanics/PUCK_ISOLATOR.scad
lanes/mechanics/RF_ACCESSORY_ISOLATION_CHECKS.json</x:v>
      </x:c>
    </x:row>
    <x:row r="61" ht="62" customHeight="1">
      <x:c r="A61" s="219" t="str">
        <x:v>MECH22-15</x:v>
      </x:c>
      <x:c r="B61" s="219" t="str">
        <x:v>mechanics</x:v>
      </x:c>
      <x:c r="C61" s="219" t="str">
        <x:v>CORRECTED NATIVE I20</x:v>
      </x:c>
      <x:c r="D61" s="219" t="str">
        <x:v>Wing area incorrectly implies isothermal copper</x:v>
      </x:c>
      <x:c r="E61" s="219" t="str">
        <x:v>AddsourceGNDzones andfiniteCu-neck model I20 native and matched target outputs now pass.
Remaining: No native blocker remains. Original physical/supplier conditions are retained separately.</x:v>
      </x:c>
      <x:c r="F61" s="219" t="str">
        <x:v>lanes/mechanics/THERMAL_WING_GEOMETRY.json
lanes/mechanics/THERMAL_WING_MODEL.json
iterations/I20_controlled_handoff/NATIVE_BINDING.json
current/I21_SOURCE_VERIFICATION.json</x:v>
      </x:c>
    </x:row>
    <x:row r="62" ht="36" customHeight="1">
      <x:c r="A62" s="180" t="str">
        <x:v>MECH22-16</x:v>
      </x:c>
      <x:c r="B62" s="180" t="str">
        <x:v>mechanics</x:v>
      </x:c>
      <x:c r="C62" s="180" t="str">
        <x:v>CORRECTED SOURCE MODEL</x:v>
      </x:c>
      <x:c r="D62" s="180" t="str">
        <x:v>Wing windows and carrier mounts conflict</x:v>
      </x:c>
      <x:c r="E62" s="180" t="str">
        <x:v>C03extendscarrier andmovesrightmountsawayfromwindows
Remaining: Hot/wet/notchedmaterialallowables remain engineeringrequirements.</x:v>
      </x:c>
      <x:c r="F62" s="180" t="str">
        <x:v>lanes/mechanics/C03_CARRIER_CHECKS.json</x:v>
      </x:c>
    </x:row>
    <x:row r="63" ht="36" customHeight="1">
      <x:c r="A63" s="219" t="str">
        <x:v>MECH22-17</x:v>
      </x:c>
      <x:c r="B63" s="219" t="str">
        <x:v>mechanics</x:v>
      </x:c>
      <x:c r="C63" s="219" t="str">
        <x:v>CORRECTED SOURCE MODEL</x:v>
      </x:c>
      <x:c r="D63" s="219" t="str">
        <x:v>Anchor slots absent from surviving material</x:v>
      </x:c>
      <x:c r="E63" s="219" t="str">
        <x:v>Realroundedslots inleft/rightspines
Remaining: Exacttieandjacketgrip addressedbyindependentreview; slotpresenceisnotslipproof.</x:v>
      </x:c>
      <x:c r="F63" s="219" t="str">
        <x:v>lanes/mechanics/GR86_RVB_CARRIER_C03_THERMAL.scad</x:v>
      </x:c>
    </x:row>
    <x:row r="64" ht="36" customHeight="1">
      <x:c r="A64" s="180" t="str">
        <x:v>MECH22-18</x:v>
      </x:c>
      <x:c r="B64" s="180" t="str">
        <x:v>mechanics</x:v>
      </x:c>
      <x:c r="C64" s="180" t="str">
        <x:v>CONDITIONAL BOUND</x:v>
      </x:c>
      <x:c r="D64" s="180" t="str">
        <x:v>Low pressure and cavity airflow omitted</x:v>
      </x:c>
      <x:c r="E64" s="180" t="str">
        <x:v>70/85/101.325kPa convection andinverseopening sensitivity
Remaining: Actualorientation,openingsandlocalair must match declaredinstallation.</x:v>
      </x:c>
      <x:c r="F64" s="180" t="str">
        <x:v>lanes/mechanics/THERMAL_WING_MODEL.json</x:v>
      </x:c>
    </x:row>
    <x:row r="65" ht="36" customHeight="1">
      <x:c r="A65" s="219" t="str">
        <x:v>MECH22-19</x:v>
      </x:c>
      <x:c r="B65" s="219" t="str">
        <x:v>mechanics</x:v>
      </x:c>
      <x:c r="C65" s="219" t="str">
        <x:v>CONDITIONAL BOUND</x:v>
      </x:c>
      <x:c r="D65" s="219" t="str">
        <x:v>Local board curvature and CTE joint motion omitted</x:v>
      </x:c>
      <x:c r="E65" s="219" t="str">
        <x:v>Package-chord curvature and mismatchintervals
Remaining: No solderfatiguelife ormaterialcertificate inferred.</x:v>
      </x:c>
      <x:c r="F65" s="219" t="str">
        <x:v>lanes/mechanics/STRUCTURAL_SERVICE_MODEL.json</x:v>
      </x:c>
    </x:row>
    <x:row r="66" ht="36" customHeight="1">
      <x:c r="A66" s="180" t="str">
        <x:v>MECH22-20</x:v>
      </x:c>
      <x:c r="B66" s="180" t="str">
        <x:v>mechanics</x:v>
      </x:c>
      <x:c r="C66" s="180" t="str">
        <x:v>CORRECTED SOURCE MODEL</x:v>
      </x:c>
      <x:c r="D66" s="180" t="str">
        <x:v>PrimaryF1anchors too remote or removed</x:v>
      </x:c>
      <x:c r="E66" s="180" t="str">
        <x:v>Leftspine pair(-4,31/37) afterpretensioncorrection
Remaining: Selectedinstalledgrip needed;F1harnessgeometryconditional.</x:v>
      </x:c>
      <x:c r="F66" s="180" t="str">
        <x:v>lanes/mechanics/GR86_RVB_CARRIER_C03_THERMAL.scad</x:v>
      </x:c>
    </x:row>
    <x:row r="67" ht="36" customHeight="1">
      <x:c r="A67" s="219" t="str">
        <x:v>MECH22-21</x:v>
      </x:c>
      <x:c r="B67" s="219" t="str">
        <x:v>mechanics</x:v>
      </x:c>
      <x:c r="C67" s="219" t="str">
        <x:v>CORRECTED SOURCE MODEL</x:v>
      </x:c>
      <x:c r="D67" s="219" t="str">
        <x:v>Puck mount had posts without capture</x:v>
      </x:c>
      <x:c r="E67" s="219" t="str">
        <x:v>Real sidefences andremovableframe
Remaining: ExactpuckSKU/curvedradome/cableexit remainsapplicabilitycondition.</x:v>
      </x:c>
      <x:c r="F67" s="219" t="str">
        <x:v>lanes/mechanics/PUCK_ISOLATOR.scad
lanes/mechanics/RF_ACCESSORY_ISOLATION_CHECKS.json</x:v>
      </x:c>
    </x:row>
    <x:row r="68" ht="36" customHeight="1">
      <x:c r="A68" s="180" t="str">
        <x:v>MECH22-22</x:v>
      </x:c>
      <x:c r="B68" s="180" t="str">
        <x:v>mechanics</x:v>
      </x:c>
      <x:c r="C68" s="180" t="str">
        <x:v>CORRECTED SOURCE MODEL</x:v>
      </x:c>
      <x:c r="D68" s="180" t="str">
        <x:v>C2064Vpartlife and taller replacement clearance</x:v>
      </x:c>
      <x:c r="E68" s="180" t="str">
        <x:v>Adoptpowerlane6.3VXcase and7mmunder-moduledepth
Remaining: ActualcapthermalR/RMSconditions ownedby powerlane.</x:v>
      </x:c>
      <x:c r="F68" s="180" t="str">
        <x:v>lanes/mechanics/STRUCTURAL_SERVICE_MODEL.json
lanes/mechanics/FINAL_COMPONENT_ENVELOPES.json</x:v>
      </x:c>
    </x:row>
    <x:row r="69" ht="49" customHeight="1">
      <x:c r="A69" s="219" t="str">
        <x:v>MECH22-23</x:v>
      </x:c>
      <x:c r="B69" s="219" t="str">
        <x:v>mechanics</x:v>
      </x:c>
      <x:c r="C69" s="219" t="str">
        <x:v>CONDITIONAL BOUND</x:v>
      </x:c>
      <x:c r="D69" s="219" t="str">
        <x:v>Wing-onlychassis heat path insufficient</x:v>
      </x:c>
      <x:c r="E69" s="219" t="str">
        <x:v>ImplementT01insulatedPCB-backstrap10K/Wallocatedpath
Remaining: Actualcontactprocess/materialminimumand70Clanding; originalsourceheatgate remainsMECH22-12.</x:v>
      </x:c>
      <x:c r="F69" s="219" t="str">
        <x:v>lanes/mechanics/THERMAL_CONTACT_T01.scad
lanes/mechanics/THERMAL_CONTACT_T01_SPEC.json
lanes/mechanics/THERMAL_CONTACT_T01_REVIEW.md</x:v>
      </x:c>
    </x:row>
    <x:row r="70" ht="36" customHeight="1">
      <x:c r="A70" s="180" t="str">
        <x:v>MECH22-24</x:v>
      </x:c>
      <x:c r="B70" s="180" t="str">
        <x:v>mechanics</x:v>
      </x:c>
      <x:c r="C70" s="180" t="str">
        <x:v>CORRECTED SOURCE MODEL</x:v>
      </x:c>
      <x:c r="D70" s="180" t="str">
        <x:v>ESP85Crating misread ascase maximum</x:v>
      </x:c>
      <x:c r="E70" s="180" t="str">
        <x:v>Correcttoambientimmediatelyoutsidemodule forN8R2
Remaining: Localambientlimit remainsapplicable; nofreecase/junction waiver.</x:v>
      </x:c>
      <x:c r="F70" s="180" t="str">
        <x:v>lanes/mechanics/THERMAL_CONTACT_T01_REVIEW.md</x:v>
      </x:c>
    </x:row>
    <x:row r="71" ht="36" customHeight="1">
      <x:c r="A71" s="219" t="str">
        <x:v>MECH22-25</x:v>
      </x:c>
      <x:c r="B71" s="219" t="str">
        <x:v>mechanics</x:v>
      </x:c>
      <x:c r="C71" s="219" t="str">
        <x:v>CONDITIONAL BOUND</x:v>
      </x:c>
      <x:c r="D71" s="219" t="str">
        <x:v>BroaderlegacyRFhardwareexclusion blockscontact</x:v>
      </x:c>
      <x:c r="E71" s="219" t="str">
        <x:v>Explicitlyrevise onlyT01metalsource underactual15mmguidance
Remaining: RFloading modeledbyRF lane; externalrange/match remainconditional.</x:v>
      </x:c>
      <x:c r="F71" s="219" t="str">
        <x:v>lanes/mechanics/THERMAL_CONTACT_T01_SPEC.json</x:v>
      </x:c>
    </x:row>
    <x:row r="72" ht="36" customHeight="1">
      <x:c r="A72" s="180" t="str">
        <x:v>MECH22-26</x:v>
      </x:c>
      <x:c r="B72" s="180" t="str">
        <x:v>mechanics</x:v>
      </x:c>
      <x:c r="C72" s="180" t="str">
        <x:v>CORRECTED SOURCE MODEL</x:v>
      </x:c>
      <x:c r="D72" s="180" t="str">
        <x:v>Positionmodel coupling/deposition idealizations hidden</x:v>
      </x:c>
      <x:c r="E72" s="180" t="str">
        <x:v>ExposeuniformCu/perfectcoupling andallmainheatEPADhypotheses
Remaining: These models do notclose actual-sourceheat safety.</x:v>
      </x:c>
      <x:c r="F72" s="180" t="str">
        <x:v>lanes/mechanics/THERMAL_CONTACT_T01_INVERSE_REQUIREMENTS.json</x:v>
      </x:c>
    </x:row>
    <x:row r="73" ht="36" customHeight="1">
      <x:c r="A73" s="219" t="str">
        <x:v>MECH22-27</x:v>
      </x:c>
      <x:c r="B73" s="219" t="str">
        <x:v>mechanics</x:v>
      </x:c>
      <x:c r="C73" s="219" t="str">
        <x:v>CORRECTED SOURCE MODEL</x:v>
      </x:c>
      <x:c r="D73" s="219" t="str">
        <x:v>C02rightmountligament only0.65mm</x:v>
      </x:c>
      <x:c r="E73" s="219" t="str">
        <x:v>MoveM3holes andextendcarrier; minwindowligament1.3516mm
Remaining: Finitefatigue/materialacceptance retained.</x:v>
      </x:c>
      <x:c r="F73" s="219" t="str">
        <x:v>lanes/mechanics/C03_CARRIER_CHECKS.json</x:v>
      </x:c>
    </x:row>
    <x:row r="74" ht="75" customHeight="1">
      <x:c r="A74" s="180" t="str">
        <x:v>MECH22-28</x:v>
      </x:c>
      <x:c r="B74" s="180" t="str">
        <x:v>mechanics</x:v>
      </x:c>
      <x:c r="C74" s="180" t="str">
        <x:v>CORRECTED SOURCE MODEL</x:v>
      </x:c>
      <x:c r="D74" s="180" t="str">
        <x:v>Firstenlargedstrip overlapsfinalJ401courtyard</x:v>
      </x:c>
      <x:c r="E74" s="180" t="str">
        <x:v>MovecontactY11.8..28.8 andrerunI03courtcheck
Remaining: Declared mated plug, full 150 mm cable and service volumes pass. Preserve negative-Y U.FL exit and exact dimensional/material assumptions.</x:v>
      </x:c>
      <x:c r="F74" s="180" t="str">
        <x:v>lanes/mechanics/FINAL_COMPONENT_ENVELOPES.json
lanes/mechanics/THERMAL_CONTACT_T01_SPEC.json
iterations/I20_controlled_handoff/NATIVE_BINDING.json
current/I21_SOURCE_VERIFICATION.json
current/SOURCE_EFFECTIVITY.json</x:v>
      </x:c>
    </x:row>
    <x:row r="75" ht="36" customHeight="1">
      <x:c r="A75" s="219" t="str">
        <x:v>MECH22-29</x:v>
      </x:c>
      <x:c r="B75" s="219" t="str">
        <x:v>mechanics</x:v>
      </x:c>
      <x:c r="C75" s="219" t="str">
        <x:v>CORRECTED SOURCE MODEL</x:v>
      </x:c>
      <x:c r="D75" s="219" t="str">
        <x:v>ExactT18Rhead exceeds2.8mm andhitsfoilzone</x:v>
      </x:c>
      <x:c r="E75" s="219" t="str">
        <x:v>Allocatelocal5.2x5.2x3.9mmheads; move rightpairtoY33/39
Remaining: Independentexacttie/pretension/grip reportgovernsinstalledpullbound.</x:v>
      </x:c>
      <x:c r="F75" s="219" t="str">
        <x:v>lanes/mechanics/GR86_RVB_CARRIER_C03_THERMAL.scad
lanes/mechanics/THERMAL_CONTACT_T01_REVIEW.md</x:v>
      </x:c>
    </x:row>
    <x:row r="76" ht="49" customHeight="1">
      <x:c r="A76" s="180" t="str">
        <x:v>MECH22-30</x:v>
      </x:c>
      <x:c r="B76" s="180" t="str">
        <x:v>mechanics</x:v>
      </x:c>
      <x:c r="C76" s="180" t="str">
        <x:v>CORRECTED SOURCE MODEL</x:v>
      </x:c>
      <x:c r="D76" s="180" t="str">
        <x:v>Left slot webs inadequate for specified retained tension</x:v>
      </x:c>
      <x:c r="E76" s="180" t="str">
        <x:v>Local8mmspines; primaryslotsX−4/rightX62.5;2.0mmnominal and1.8mmallocatedworstweb afteractualslotshape correction
Remaining: Actualhotpretension andlaminateshearallowance remainconditional.</x:v>
      </x:c>
      <x:c r="F76" s="180" t="str">
        <x:v>lanes/mechanics/C03_CARRIER_CHECKS.json
lanes/mechanics/GR86_RVB_CARRIER_C03_THERMAL.scad</x:v>
      </x:c>
    </x:row>
    <x:row r="77" ht="36" customHeight="1">
      <x:c r="A77" s="219" t="str">
        <x:v>MECH22-31</x:v>
      </x:c>
      <x:c r="B77" s="219" t="str">
        <x:v>mechanics</x:v>
      </x:c>
      <x:c r="C77" s="219" t="str">
        <x:v>CORRECTED SOURCE MODEL</x:v>
      </x:c>
      <x:c r="D77" s="219" t="str">
        <x:v>Rectangular strap corners do not fit nominal obround slot</x:v>
      </x:c>
      <x:c r="E77" s="219" t="str">
        <x:v>3.9x1.6mm nominal obrounds,fulltolerance/cornerproof andlocalwebreinforcement
Remaining: Actualjacketfriction,hotretainedtension andmaterialallowables remainconditional.</x:v>
      </x:c>
      <x:c r="F77" s="219" t="str">
        <x:v>lanes/mechanics/SLOT_SHAPE_CORRECTION_CHECKS.json
lanes/mechanics/GR86_RVB_CARRIER_C03_THERMAL.scad</x:v>
      </x:c>
    </x:row>
    <x:row r="78" ht="75" customHeight="1">
      <x:c r="A78" s="180" t="str">
        <x:v>EMC22-01</x:v>
      </x:c>
      <x:c r="B78" s="180" t="str">
        <x:v>emc</x:v>
      </x:c>
      <x:c r="C78" s="180" t="str">
        <x:v>CONDITIONAL BOUND</x:v>
      </x:c>
      <x:c r="D78" s="180" t="str">
        <x:v>Missing conducted switching-spectrum calculation</x:v>
      </x:c>
      <x:c r="E78" s="180" t="str">
        <x:v>Implemented exact PWM Fourier integral and source-bound two-network filter transfer; ran2304 operating/filter cases and saved harmonic/inverse CSVs.
Remaining: Actual switching ringing/burst spectrum, silicon cross-conversion transfer, harness configuration and agreed detector/RBW/limit remain acceptance inputs. High finite estimates retained.</x:v>
      </x:c>
      <x:c r="F78" s="180" t="str">
        <x:v>lanes/emc/CONDUCTED_SPECTRUM.json
lanes/emc/CONDUCTED_NOMINAL_SPECTRUM.csv
lanes/emc/CONDUCTED_FILTER_INVERSE.csv</x:v>
      </x:c>
    </x:row>
    <x:row r="79" ht="62" customHeight="1">
      <x:c r="A79" s="219" t="str">
        <x:v>EMC22-02</x:v>
      </x:c>
      <x:c r="B79" s="219" t="str">
        <x:v>emc</x:v>
      </x:c>
      <x:c r="C79" s="219" t="str">
        <x:v>CONDITIONAL BOUND</x:v>
      </x:c>
      <x:c r="D79" s="219" t="str">
        <x:v>Missing board/cable radiation and victim susceptibility model</x:v>
      </x:c>
      <x:c r="E79" s="219" t="str">
        <x:v>Computed complete current-element field triangle limits for long cables, source-loop dipole coefficients, inverse current/field budgets and144 linear victim-coupling cases.
Remaining: Current everywhere along installed cable, actual external bonds, die/RF nonlinear immunity and system behavior are not guaranteed by these allocated fields.</x:v>
      </x:c>
      <x:c r="F79" s="219" t="str">
        <x:v>lanes/emc/RADIATION_AND_SUSCEPTIBILITY.json
lanes/emc/CABLE_FIELD_INVERSE.csv
lanes/emc/BOARD_LOOP_FIELD.csv
lanes/emc/IMMUNITY_LINEAR_SENSITIVITY.csv</x:v>
      </x:c>
    </x:row>
    <x:row r="80" ht="101" customHeight="1">
      <x:c r="A80" s="180" t="str">
        <x:v>EMC22-03</x:v>
      </x:c>
      <x:c r="B80" s="180" t="str">
        <x:v>emc</x:v>
      </x:c>
      <x:c r="C80" s="180" t="str">
        <x:v>CONDITIONAL BOUND</x:v>
      </x:c>
      <x:c r="D80" s="180" t="str">
        <x:v>New chassis thermal strip changes field/capacitance boundary</x:v>
      </x:c>
      <x:c r="E80" s="180" t="str">
        <x:v>Re-extracted enlarged91.8mm² strip geometry and small signal overlaps; calculated36 dielectric/fringe cases and16 adjacent-RF2D cases; additional2.2fF shunt network sensitivity retained separately.
Remaining: Current native fill is verified. Tape thickness, dielectric constant, fringe field and actual chassis resonance remain explicit model/installation conditions.</x:v>
      </x:c>
      <x:c r="F80" s="180" t="str">
        <x:v>lanes/emc/EMC_SOURCE_GEOMETRY.json
lanes/emc/RF_STRIP_CROSS_SECTION.json
lanes/emc/RF_ZERO_R_STRIP_NETWORK.json
lanes/emc/RADIATION_AND_SUSCEPTIBILITY.json
iterations/I20_controlled_handoff/NATIVE_BINDING.json
current/I21_SOURCE_VERIFICATION.json
current/SOURCE_EFFECTIVITY.json</x:v>
      </x:c>
    </x:row>
    <x:row r="81" ht="88" customHeight="1">
      <x:c r="A81" s="219" t="str">
        <x:v>EMC22-04</x:v>
      </x:c>
      <x:c r="B81" s="219" t="str">
        <x:v>emc</x:v>
      </x:c>
      <x:c r="C81" s="219" t="str">
        <x:v>CONDITIONAL BOUND</x:v>
      </x:c>
      <x:c r="D81" s="219" t="str">
        <x:v>Missing ESD access matrix and port residual limits</x:v>
      </x:c>
      <x:c r="E81" s="219" t="str">
        <x:v>Bound installed/service access, enumerated all service pads, verified five mandatory fixed-copper TVS-pad paths, calculated144 residual cases and inverse CAN return-L plus oil input/secondary RC limits.
Remaining: Actual TVS trigger/hot clamp, package/ground pulse stress, RF die tolerance, powered-off rail injection and physical accessibility/ESD withstand remain conditions. Static-screen exceedances stay visible.</x:v>
      </x:c>
      <x:c r="F81" s="219" t="str">
        <x:v>lanes/emc/ESD_PORT_ASSESSMENT.json
lanes/emc/PROTECTOR_FLOW_THROUGH.json
lanes/emc/ESD_RESIDUAL_SWEEP.csv
lanes/emc/OIL_ESD_SECONDARY_RC.csv
lanes/emc/EMC_SOURCE_GEOMETRY.json</x:v>
      </x:c>
    </x:row>
    <x:row r="82" ht="88" customHeight="1">
      <x:c r="A82" s="180" t="str">
        <x:v>RAIL22-01</x:v>
      </x:c>
      <x:c r="B82" s="180" t="str">
        <x:v>integration</x:v>
      </x:c>
      <x:c r="C82" s="180" t="str">
        <x:v>CORRECTED SOURCE MODEL</x:v>
      </x:c>
      <x:c r="D82" s="180" t="str">
        <x:v>Distributed3V3 route and storage need a joint source-bound circuit model</x:v>
      </x:c>
      <x:c r="E82" s="180" t="str">
        <x:v>Wide parallel In2 route; exact10mOhmR153
Remaining: I20 native refill and matched manufacturing checks are complete. The current I19 finite rail/controller/return bounds remain applicable.</x:v>
      </x:c>
      <x:c r="F82"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3" ht="88" customHeight="1">
      <x:c r="A83" s="219" t="str">
        <x:v>INT22-02</x:v>
      </x:c>
      <x:c r="B83" s="219" t="str">
        <x:v>integration</x:v>
      </x:c>
      <x:c r="C83" s="219" t="str">
        <x:v>CORRECTED SOURCE MODEL</x:v>
      </x:c>
      <x:c r="D83" s="219" t="str">
        <x:v>Historical I01 route/FB gap0.0454mm</x:v>
      </x:c>
      <x:c r="E83" s="219" t="str">
        <x:v>Search against actual combined power foreign copper
Remaining: I20 native refill and matched manufacturing checks are complete. The current I19 finite rail/controller/return bounds remain applicable.</x:v>
      </x:c>
      <x:c r="F83" s="219" t="str">
        <x:v>lanes/rail_route/RAIL_ECO_DELTA.json
iterations/I04_compact_shunt/COMBINED_COPPER_CHECK.json
iterations/I04_compact_shunt/COURTYARD_CHECK.json
iterations/I20_controlled_handoff/NATIVE_BINDING.json
current/I21_SOURCE_VERIFICATION.json
current/SOURCE_EFFECTIVITY.json</x:v>
      </x:c>
    </x:row>
    <x:row r="84" ht="88" customHeight="1">
      <x:c r="A84" s="180" t="str">
        <x:v>INT22-04</x:v>
      </x:c>
      <x:c r="B84" s="180" t="str">
        <x:v>integration</x:v>
      </x:c>
      <x:c r="C84" s="180" t="str">
        <x:v>CORRECTED SOURCE MODEL</x:v>
      </x:c>
      <x:c r="D84" s="180" t="str">
        <x:v>Historical I02 enlargedR153court overlapsC157by0.606mm2</x:v>
      </x:c>
      <x:c r="E84" s="180" t="str">
        <x:v>Trial0.40mmC157shift then exactcopper/courtyard/connectivity check
Remaining: I20 native refill and matched manufacturing checks are complete. The current I19 finite rail/controller/return bounds remain applicable.</x:v>
      </x:c>
      <x:c r="F84"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5" ht="88" customHeight="1">
      <x:c r="A85" s="219" t="str">
        <x:v>INT22-05</x:v>
      </x:c>
      <x:c r="B85" s="219" t="str">
        <x:v>integration</x:v>
      </x:c>
      <x:c r="C85" s="219" t="str">
        <x:v>CORRECTED SOURCE MODEL</x:v>
      </x:c>
      <x:c r="D85" s="219" t="str">
        <x:v>First C1570.4mm-left trial overlaps GPS_SEARCH_BUFFER copper at two objects. No old connectivity was lost; trial rejected.</x:v>
      </x:c>
      <x:c r="E85" s="219" t="str">
        <x:v>Source geometry/courtyard search selects C15735.85,21.35mm; recheck exact pad endpoint connectivity before acceptance.
Remaining: I20 native refill and matched manufacturing checks are complete. The current I19 finite rail/controller/return bounds remain applicable.</x:v>
      </x:c>
      <x:c r="F85" s="219" t="str">
        <x:v>lanes/rail_route/RAIL_ECO_DELTA.json
iterations/I04_compact_shunt/COMBINED_COPPER_CHECK.json
iterations/I04_compact_shunt/COURTYARD_CHECK.json
iterations/I20_controlled_handoff/NATIVE_BINDING.json
current/I21_SOURCE_VERIFICATION.json
current/SOURCE_EFFECTIVITY.json</x:v>
      </x:c>
    </x:row>
    <x:row r="86" ht="88" customHeight="1">
      <x:c r="A86" s="180" t="str">
        <x:v>INT22-06</x:v>
      </x:c>
      <x:c r="B86" s="180" t="str">
        <x:v>integration</x:v>
      </x:c>
      <x:c r="C86" s="180" t="str">
        <x:v>CORRECTED SOURCE MODEL</x:v>
      </x:c>
      <x:c r="D86" s="180" t="str">
        <x:v>I03 C157 relocated ground land overlaps six new power source objects. Fullboard copper screen caught lane-only omission.</x:v>
      </x:c>
      <x:c r="E86" s="180" t="str">
        <x:v>Restore original C157 and replaceR153 with compactexactWSLP0603R0100FEA; no courtyards shrunk below manufacturerbody/pad margins.
Remaining: I20 native refill and matched manufacturing checks are complete. The current I19 finite rail/controller/return bounds remain applicable.</x:v>
      </x:c>
      <x:c r="F86" s="180" t="str">
        <x:v>lanes/rail_route/RAIL_ECO_DELTA.json
iterations/I04_compact_shunt/COMBINED_COPPER_CHECK.json
iterations/I04_compact_shunt/COURTYARD_CHECK.json
iterations/I20_controlled_handoff/NATIVE_BINDING.json
current/I21_SOURCE_VERIFICATION.json
current/SOURCE_EFFECTIVITY.json</x:v>
      </x:c>
    </x:row>
    <x:row r="87" ht="88" customHeight="1">
      <x:c r="A87" s="219" t="str">
        <x:v>INT22-07</x:v>
      </x:c>
      <x:c r="B87" s="219" t="str">
        <x:v>integration</x:v>
      </x:c>
      <x:c r="C87" s="219" t="str">
        <x:v>CORRECTED SOURCE MODEL</x:v>
      </x:c>
      <x:c r="D87" s="219" t="str">
        <x:v>Larger R153 rightshift collidesGPS_SEARCH_BUFFER via;compactpart atoldcenter givesonly.0282mmgap.</x:v>
      </x:c>
      <x:c r="E87" s="219" t="str">
        <x:v>CompactR153 center41,21.0 selectedbycombinedforeigncopper/courtyard search; existingGPSroutepreserved;sourceviafilledandcapped13thlocation.
Remaining: I20 native refill and matched manufacturing checks are complete. The current I19 finite rail/controller/return bounds remain applicable.</x:v>
      </x:c>
      <x:c r="F87" s="219" t="str">
        <x:v>lanes/rail_route/RAIL_ECO_DELTA.json
iterations/I04_compact_shunt/COMBINED_COPPER_CHECK.json
iterations/I04_compact_shunt/COURTYARD_CHECK.json
iterations/I20_controlled_handoff/NATIVE_BINDING.json
current/I21_SOURCE_VERIFICATION.json
current/SOURCE_EFFECTIVITY.json</x:v>
      </x:c>
    </x:row>
    <x:row r="88" ht="49" customHeight="1">
      <x:c r="A88" s="180" t="str">
        <x:v>RDA-01</x:v>
      </x:c>
      <x:c r="B88" s="180" t="str">
        <x:v>CAN</x:v>
      </x:c>
      <x:c r="C88" s="180" t="str">
        <x:v>CORRECTED SOURCE MODEL</x:v>
      </x:c>
      <x:c r="D88" s="180" t="str">
        <x:v>Incomplete current evidence</x:v>
      </x:c>
      <x:c r="E88" s="180" t="str">
        <x:v>Executed the complete branch RLGC model, including connector exit sections, with 349-object final source equality.
Remaining: See exact applicability and external acceptance conditions in evidence.</x:v>
      </x:c>
      <x:c r="F88" s="180" t="str">
        <x:v>analyses/can_branch/FINAL_CAN_SOURCE_BINDING.json</x:v>
      </x:c>
    </x:row>
    <x:row r="89" ht="49" customHeight="1">
      <x:c r="A89" s="219" t="str">
        <x:v>RDA-08</x:v>
      </x:c>
      <x:c r="B89" s="219" t="str">
        <x:v>assembly</x:v>
      </x:c>
      <x:c r="C89" s="219" t="str">
        <x:v>DOCUMENTED SUPPLIER CONDITIONS</x:v>
      </x:c>
      <x:c r="D89" s="219" t="str">
        <x:v>Incomplete current evidence</x:v>
      </x:c>
      <x:c r="E89" s="219" t="str">
        <x:v>Completed the current MPN inventory, primary handling research and compatible process routing.
Remaining: See exact applicability and external acceptance conditions in evidence.</x:v>
      </x:c>
      <x:c r="F89" s="219" t="str">
        <x:v>analyses/assembly_handling/EXACT_MPN_HANDLING_REGISTER.json</x:v>
      </x:c>
    </x:row>
    <x:row r="90" ht="36" customHeight="1">
      <x:c r="A90" s="180" t="str">
        <x:v>RDA-09</x:v>
      </x:c>
      <x:c r="B90" s="180" t="str">
        <x:v>installation</x:v>
      </x:c>
      <x:c r="C90" s="180" t="str">
        <x:v>CORRECTED DOCUMENT</x:v>
      </x:c>
      <x:c r="D90" s="180" t="str">
        <x:v>Incomplete current evidence</x:v>
      </x:c>
      <x:c r="E90" s="180" t="str">
        <x:v>Documented dashboard exposure, service assumptions and change-trigger matrix.
Remaining: See exact applicability and external acceptance conditions in evidence.</x:v>
      </x:c>
      <x:c r="F90" s="180" t="str">
        <x:v>analyses/installation/DASHBOARD_EXPOSURE_AND_SERVICE.md</x:v>
      </x:c>
    </x:row>
    <x:row r="91" ht="62" customHeight="1">
      <x:c r="A91" s="219" t="str">
        <x:v>INT22-08</x:v>
      </x:c>
      <x:c r="B91" s="219" t="str">
        <x:v>integration</x:v>
      </x:c>
      <x:c r="C91" s="219" t="str">
        <x:v>CORRECTED DOCUMENT</x:v>
      </x:c>
      <x:c r="D91" s="219" t="str">
        <x:v>Stale active RVB21 instruction with broken review paths.</x:v>
      </x:c>
      <x:c r="E91" s="219" t="str">
        <x:v>I05 replaces the instruction only; electrical source unchanged.
Remaining: The controlled I20 notes and native rendering/ERC pass. Historical intermediate source notes are superseded.</x:v>
      </x:c>
      <x:c r="F91" s="219" t="str">
        <x:v>iterations/I05_handoff/CANDIDATE_MANIFEST.json
iterations/I20_controlled_handoff/NATIVE_BINDING.json
current/I21_SOURCE_VERIFICATION.json
current/SOURCE_EFFECTIVITY.json</x:v>
      </x:c>
    </x:row>
    <x:row r="92" ht="62" customHeight="1">
      <x:c r="A92" s="180" t="str">
        <x:v>IND22-DISTRIBUTED-RAIL</x:v>
      </x:c>
      <x:c r="B92" s="180" t="str">
        <x:v>rail_model</x:v>
      </x:c>
      <x:c r="C92" s="180" t="str">
        <x:v>CORRECTED IN MODEL AND SOURCE BOUND GEOMETRY</x:v>
      </x:c>
      <x:c r="D92" s="180" t="str">
        <x:v>The old single path placed the polymer and all local capacitors at the ESP, and omitted the retained parallel branch.</x:v>
      </x:c>
      <x:c r="E92" s="180" t="str">
        <x:v>Replaced with explicit source, old branch, new branch, bulk tap, C205, join, C201 stub, C204, C202, load and common return. ExactzeroR/Llinks allowed, mutual-sign sensitivity included.
Remaining: Finite source-bound model and conditional controller families; see the original limitations.</x:v>
      </x:c>
      <x:c r="F92" s="180" t="str">
        <x:v>analyses/loop_stability/FINAL_I04_82MOHM_DISPOSITION.json</x:v>
      </x:c>
    </x:row>
    <x:row r="93" ht="62" customHeight="1">
      <x:c r="A93" s="219" t="str">
        <x:v>IND22-DAMPING</x:v>
      </x:c>
      <x:c r="B93" s="219" t="str">
        <x:v>rail_model</x:v>
      </x:c>
      <x:c r="C93" s="219" t="str">
        <x:v>CORRECTED WITHIN DECLARED CONTROLLER FAMILY</x:v>
      </x:c>
      <x:c r="D93" s="219" t="str">
        <x:v>47mOhm produced328 finite circuit cases with580 conditional comparison-eligible margins below45degrees.</x:v>
      </x:c>
      <x:c r="E93" s="219" t="str">
        <x:v>82mOhm source-compatible exact part; zero such comparisons among330800 eligible checks, limiting case re-solved directly.
Remaining: Finite source-bound model and conditional controller families; see the original limitations.</x:v>
      </x:c>
      <x:c r="F93" s="219" t="str">
        <x:v>analyses/loop_stability/FINAL_I04_82MOHM_DISPOSITION.json</x:v>
      </x:c>
    </x:row>
    <x:row r="94" ht="49" customHeight="1">
      <x:c r="A94" s="180" t="str">
        <x:v>IND22-CERAMIC-UPPER</x:v>
      </x:c>
      <x:c r="B94" s="180" t="str">
        <x:v>rail_model</x:v>
      </x:c>
      <x:c r="C94" s="180" t="str">
        <x:v>CORRECTED BOUNDED INPUT</x:v>
      </x:c>
      <x:c r="D94" s="180" t="str">
        <x:v>16uF had no basis as a guaranteed maximum for selected22uF ceramics.</x:v>
      </x:c>
      <x:c r="E94" s="180" t="str">
        <x:v>Use27.83uF upper with independent source/C201/C204 endpoints and16uFinterior.
Remaining: Finite source-bound model and conditional controller families; see the original limitations.</x:v>
      </x:c>
      <x:c r="F94" s="180" t="str">
        <x:v>analyses/loop_stability/FINAL_I04_82MOHM_DISPOSITION.json</x:v>
      </x:c>
    </x:row>
    <x:row r="95" ht="62" customHeight="1">
      <x:c r="A95" s="219" t="str">
        <x:v>IND22-RELEASE-DC</x:v>
      </x:c>
      <x:c r="B95" s="219" t="str">
        <x:v>rail_model</x:v>
      </x:c>
      <x:c r="C95" s="219" t="str">
        <x:v>CORRECTED INITIAL CONDITION</x:v>
      </x:c>
      <x:c r="D95" s="219" t="str">
        <x:v>Reflected droop added tosource max withzeroinitialDCdrop overstates actual release initialcondition.</x:v>
      </x:c>
      <x:c r="E95" s="219" t="str">
        <x:v>Model.5→0,.55→.05,.7→.2A releases with each node initialDCdrop; preserve oldextra-conservativeenvelope separately.
Remaining: Finite source-bound model and conditional controller families; see the original limitations.</x:v>
      </x:c>
      <x:c r="F95" s="219" t="str">
        <x:v>analyses/loop_stability/FINAL_I04_82MOHM_DISPOSITION.json</x:v>
      </x:c>
    </x:row>
    <x:row r="96" ht="49" customHeight="1">
      <x:c r="A96" s="180" t="str">
        <x:v>HND01</x:v>
      </x:c>
      <x:c r="B96" s="180" t="str">
        <x:v>handling</x:v>
      </x:c>
      <x:c r="C96" s="180" t="str">
        <x:v>CORRECTED DOCUMENT</x:v>
      </x:c>
      <x:c r="D96" s="180" t="str">
        <x:v>Most exact fitted MPNs have no classified handling entry despite available primary manufacturer family or exact metadata.</x:v>
      </x:c>
      <x:c r="E96" s="180" t="str">
        <x:v>Add source-bound classifications preserving numeric MSL versus manufacturer Not Applicable and unlimited floor life.
Remaining: Actual lot labels and assembly profile acceptance remain.</x:v>
      </x:c>
      <x:c r="F96" s="180" t="str">
        <x:v>analyses/assembly_handling/HANDLING_REVIEW.md
analyses/assembly_handling/HANDLING_EXPANSION_VERIFICATION.json</x:v>
      </x:c>
    </x:row>
    <x:row r="97" ht="36" customHeight="1">
      <x:c r="A97" s="219" t="str">
        <x:v>HND02</x:v>
      </x:c>
      <x:c r="B97" s="219" t="str">
        <x:v>handling</x:v>
      </x:c>
      <x:c r="C97" s="219" t="str">
        <x:v>CORRECTED DOCUMENT</x:v>
      </x:c>
      <x:c r="D97" s="219" t="str">
        <x:v>Moisture classification alone cannot define solder profile, local versus whole-body heating, GPS prebake or cleaning compatibility.</x:v>
      </x:c>
      <x:c r="E97" s="219" t="str">
        <x:v>Carry each independently; no inference from lead-local 260C/10s to body reflow.
Remaining: Actual lot labels and assembly profile acceptance remain.</x:v>
      </x:c>
      <x:c r="F97" s="219" t="str">
        <x:v>analyses/assembly_handling/HANDLING_REVIEW.md
analyses/assembly_handling/HANDLING_EXPANSION_VERIFICATION.json</x:v>
      </x:c>
    </x:row>
    <x:row r="98" ht="36" customHeight="1">
      <x:c r="A98" s="180" t="str">
        <x:v>HND03</x:v>
      </x:c>
      <x:c r="B98" s="180" t="str">
        <x:v>handling</x:v>
      </x:c>
      <x:c r="C98" s="180" t="str">
        <x:v>CORRECTED DOCUMENT</x:v>
      </x:c>
      <x:c r="D98" s="180" t="str">
        <x:v>Final I04 changes R153 to WSLP0603R0100FEA.</x:v>
      </x:c>
      <x:c r="E98" s="180" t="str">
        <x:v>Use exact current MPN metadata and regenerate final-board inventory.
Remaining: Actual lot labels and assembly profile acceptance remain.</x:v>
      </x:c>
      <x:c r="F98" s="180" t="str">
        <x:v>analyses/assembly_handling/HANDLING_REVIEW.md
analyses/assembly_handling/HANDLING_EXPANSION_VERIFICATION.json</x:v>
      </x:c>
    </x:row>
    <x:row r="99" ht="101" customHeight="1">
      <x:c r="A99" s="219" t="str">
        <x:v>INT22-02-MOLEX-A1</x:v>
      </x:c>
      <x:c r="B99" s="219" t="str">
        <x:v>harness</x:v>
      </x:c>
      <x:c r="C99" s="219" t="str">
        <x:v>CORRECTED SOURCE MODEL</x:v>
      </x:c>
      <x:c r="D99" s="219" t="str">
        <x:v>F1.1 andF1.2 tied PCB GND plus two chassis leads split the same load. Full-current sizing does not remove current sharing. Prior15mm end-untwist conflicts with recommended25.4mm relaxed wire before bends,ties or twists for twelve circuits. Prior wire field spacing≤2mm does not cover F1 CAN3mm cavity pitch and relaxed exit.</x:v>
      </x:c>
      <x:c r="E99" s="219" t="str">
        <x:v>Populate one full-current power returnF1.1; F1.2 harness cavity empty while PCB pin remainsGND; no PCB edit. Seven populated leads, five empty harness cavities; preserve four original PCB NC positions. Adopt25.4–30mm relaxedF1exit, first bend/tie/twist after that; ASC≤15mm untwist remains. Expand geometry/model envelope and coordinate parent complete CAN rerun. Require tin-to-tin mating, no double-wire crimp and no energized mating; no supplier waiver.
Remaining: Single-return loss forfeits redundancy and invokes retained alternate-bond fault conditions. Original physical acceptance is not granted.</x:v>
      </x:c>
      <x:c r="F99" s="219" t="str">
        <x:v>interfaces/MOLEX_A1_HARNESS_REDLINE.json
interfaces/HARNESS_CHECKS.json
interfaces/SINGLE_RETURN_EFFECTIVITY.json</x:v>
      </x:c>
    </x:row>
    <x:row r="100" ht="88" customHeight="1">
      <x:c r="A100" s="180" t="str">
        <x:v>CAN22-02</x:v>
      </x:c>
      <x:c r="B100" s="180" t="str">
        <x:v>CAN</x:v>
      </x:c>
      <x:c r="C100" s="180" t="str">
        <x:v>CORRECTED SOURCE MODEL</x:v>
      </x:c>
      <x:c r="D100" s="180" t="str">
        <x:v>Molex43045 requires a25.4mm relaxed untwisted free exit;3mm cavity spacing with a4mm installation allocation gives local differential impedance up to277.999ohm, outside the prior uniform200ohm line sweep. The ASC-end free exit was not separately represented.</x:v>
      </x:c>
      <x:c r="E100" s="180" t="str">
        <x:v>Replace the uniform full cable by an ASC0–15mm exit, remaining twisted section, and Molex25.4–30mm exit, with separate geometry-derived RLGC and preserved total conductor length0.30m. Retain existing twisted Z/delay, source, load and edge corner families; preserve actual0.03723ohm total wire-loop resistance and0.025ohm board/contact allocation.
Remaining: Normal differential model under the stated installation and source assumptions; no full-vehicle fault or as-built acceptance.</x:v>
      </x:c>
      <x:c r="F100" s="180" t="str">
        <x:v>analyses/can_branch/CAN22-02_REDLINE_BEFORE_CORRECTION.json
analyses/can_branch/COMPLETE_CAN_BRANCH_RESULTS.json
analyses/can_branch/FINAL_CAN_SOURCE_BINDING.json</x:v>
      </x:c>
    </x:row>
    <x:row r="101" ht="62" customHeight="1">
      <x:c r="A101" s="219" t="str">
        <x:v>RDA-05</x:v>
      </x:c>
      <x:c r="B101" s="219" t="str">
        <x:v>ASC_profile</x:v>
      </x:c>
      <x:c r="C101" s="219" t="str">
        <x:v>CORRECTED DOCUMENT AND HOST VECTORS</x:v>
      </x:c>
      <x:c r="D101" s="219" t="str">
        <x:v>No controlled ASC phone profile and semantic vectors.</x:v>
      </x:c>
      <x:c r="E101" s="219" t="str">
        <x:v>Documented 13 channels and checked 164 semantic vectors and 82 actual CAN encoder host cases.
Remaining: Actual vehicle and phone/profile applicability and tentative scaling remain explicit.</x:v>
      </x:c>
      <x:c r="F101" s="219" t="str">
        <x:v>interfaces/asc_profile/ASC_PROFILE_REVIEW.json
interfaces/asc_profile/ASC_PHONE_PROFILE.md</x:v>
      </x:c>
    </x:row>
    <x:row r="102" ht="75" customHeight="1">
      <x:c r="A102" s="180" t="str">
        <x:v>HGT22-01</x:v>
      </x:c>
      <x:c r="B102" s="180" t="str">
        <x:v>mechanical_data</x:v>
      </x:c>
      <x:c r="C102" s="180" t="str">
        <x:v>CORRECTED DOCUMENT</x:v>
      </x:c>
      <x:c r="D102" s="180" t="str">
        <x:v>Most fitted references lacked a primary maximum-height bound.</x:v>
      </x:c>
      <x:c r="E102" s="180" t="str">
        <x:v>Added manufacturer bounds for all 153 fitted references; retained first-pass history and corrected the Molex drawing interpretation.
Remaining: All 153 fitted envelope models and 776 mated checks now pass. Exact installed objects and material conditions remain conditional.</x:v>
      </x:c>
      <x:c r="F102" s="180" t="str">
        <x:v>analyses/assembly_handling/PRIMARY_BODY_HEIGHT_ADDENDUM.json
lanes/mechanics/FINAL_COMPONENT_ENVELOPES.json
iterations/I20_controlled_handoff/NATIVE_BINDING.json
analyses/mated_i18/RESULTS.json
analyses/service_i19/RESULTS.json</x:v>
      </x:c>
    </x:row>
    <x:row r="103" ht="75" customHeight="1">
      <x:c r="A103" s="219" t="str">
        <x:v>DOC22-MOLEX-A1-F1-NOTE</x:v>
      </x:c>
      <x:c r="B103" s="219" t="str">
        <x:v>integration</x:v>
      </x:c>
      <x:c r="C103" s="219" t="str">
        <x:v>CORRECTED DOCUMENT</x:v>
      </x:c>
      <x:c r="D103" s="219" t="str">
        <x:v>The current schematic note still directed two power returns.</x:v>
      </x:c>
      <x:c r="E103" s="219" t="str">
        <x:v>I06 applies one guarded text change for the single-return seven-lead harness and relaxed exit; all electrical objects remain unchanged.
Remaining: Current native schematic rendering/ERC is complete. Installed single-return harness acceptance remains separate.</x:v>
      </x:c>
      <x:c r="F103" s="219" t="str">
        <x:v>iterations/I06_harness_handoff/CANDIDATE_MANIFEST.json
interfaces/MOLEX_A1_SCHEMATIC_TEXT_DELTA.json
iterations/I20_controlled_handoff/NATIVE_BINDING.json
current/I21_SOURCE_VERIFICATION.json
current/SOURCE_EFFECTIVITY.json</x:v>
      </x:c>
    </x:row>
    <x:row r="104" ht="62" customHeight="1">
      <x:c r="A104" s="180" t="str">
        <x:v>I07-PARSE-01</x:v>
      </x:c>
      <x:c r="B104" s="180" t="str">
        <x:v>I07</x:v>
      </x:c>
      <x:c r="C104" s="180" t="str">
        <x:v>CORRECTED NATIVE I20</x:v>
      </x:c>
      <x:c r="D104" s="180" t="str">
        <x:v>PCB serialized as one1167286-byte line, exceeding KiCad9.0.9 LINE_READER_LINE_DEFAULT_MAX1000000. All native top-level record groups load after line separation.</x:v>
      </x:c>
      <x:c r="E104" s="180" t="str">
        <x:v>Resolved through the subsequent coordinated native candidate and recorded source changes.</x:v>
      </x:c>
      <x:c r="F104" s="180" t="str">
        <x:v>iterations/I07_source_compatibility/REDLINE_FREEZE.json
iterations/I20_controlled_handoff/NATIVE_BINDING.json
current/I21_SOURCE_VERIFICATION.json
current/SOURCE_EFFECTIVITY.json</x:v>
      </x:c>
    </x:row>
    <x:row r="105" ht="62" customHeight="1">
      <x:c r="A105" s="219" t="str">
        <x:v>I07-ERC-01</x:v>
      </x:c>
      <x:c r="B105" s="219" t="str">
        <x:v>I07</x:v>
      </x:c>
      <x:c r="C105" s="219" t="str">
        <x:v>CORRECTED NATIVE I20</x:v>
      </x:c>
      <x:c r="D105" s="219" t="str">
        <x:v>Duplicate local/global GND label near C532</x:v>
      </x:c>
      <x:c r="E105" s="219" t="str">
        <x:v>Resolved through the subsequent coordinated native candidate and recorded source changes.</x:v>
      </x:c>
      <x:c r="F105" s="219" t="str">
        <x:v>iterations/I07_source_compatibility/REDLINE_FREEZE.json
iterations/I20_controlled_handoff/NATIVE_BINDING.json
current/I21_SOURCE_VERIFICATION.json
current/SOURCE_EFFECTIVITY.json</x:v>
      </x:c>
    </x:row>
    <x:row r="106" ht="62" customHeight="1">
      <x:c r="A106" s="180" t="str">
        <x:v>I07-ERC-02</x:v>
      </x:c>
      <x:c r="B106" s="180" t="str">
        <x:v>I07</x:v>
      </x:c>
      <x:c r="C106" s="180" t="str">
        <x:v>CORRECTED NATIVE I20</x:v>
      </x:c>
      <x:c r="D106" s="180" t="str">
        <x:v>Duplicate local/global OIL_EFUSE_OUT label near C532</x:v>
      </x:c>
      <x:c r="E106" s="180" t="str">
        <x:v>Resolved through the subsequent coordinated native candidate and recorded source changes.</x:v>
      </x:c>
      <x:c r="F106" s="180" t="str">
        <x:v>iterations/I07_source_compatibility/REDLINE_FREEZE.json
iterations/I20_controlled_handoff/NATIVE_BINDING.json
current/I21_SOURCE_VERIFICATION.json
current/SOURCE_EFFECTIVITY.json</x:v>
      </x:c>
    </x:row>
    <x:row r="107" ht="62" customHeight="1">
      <x:c r="A107" s="219" t="str">
        <x:v>N08-001</x:v>
      </x:c>
      <x:c r="B107" s="219" t="str">
        <x:v>I08</x:v>
      </x:c>
      <x:c r="C107" s="219" t="str">
        <x:v>CORRECTED NATIVE I20</x:v>
      </x:c>
      <x:c r="D107" s="219" t="str">
        <x:v>Front solder mask aperture bridges items with different nets</x:v>
      </x:c>
      <x:c r="E107" s="219" t="str">
        <x:v>Resolved through the subsequent coordinated native candidate and recorded source changes.</x:v>
      </x:c>
      <x:c r="F107" s="219" t="str">
        <x:v>iterations/I08_native_corrections/REDLINE_FREEZE.json
iterations/I20_controlled_handoff/NATIVE_BINDING.json
current/I21_SOURCE_VERIFICATION.json
current/SOURCE_EFFECTIVITY.json</x:v>
      </x:c>
    </x:row>
    <x:row r="108" ht="62" customHeight="1">
      <x:c r="A108" s="180" t="str">
        <x:v>N08-002</x:v>
      </x:c>
      <x:c r="B108" s="180" t="str">
        <x:v>I08</x:v>
      </x:c>
      <x:c r="C108" s="180" t="str">
        <x:v>CORRECTED NATIVE I20</x:v>
      </x:c>
      <x:c r="D108" s="180" t="str">
        <x:v>Front solder mask aperture bridges items with different nets</x:v>
      </x:c>
      <x:c r="E108" s="180" t="str">
        <x:v>Resolved through the subsequent coordinated native candidate and recorded source changes.</x:v>
      </x:c>
      <x:c r="F108" s="180" t="str">
        <x:v>iterations/I08_native_corrections/REDLINE_FREEZE.json
iterations/I20_controlled_handoff/NATIVE_BINDING.json
current/I21_SOURCE_VERIFICATION.json
current/SOURCE_EFFECTIVITY.json</x:v>
      </x:c>
    </x:row>
    <x:row r="109" ht="62" customHeight="1">
      <x:c r="A109" s="219" t="str">
        <x:v>N08-003</x:v>
      </x:c>
      <x:c r="B109" s="219" t="str">
        <x:v>I08</x:v>
      </x:c>
      <x:c r="C109" s="219" t="str">
        <x:v>CORRECTED NATIVE I20</x:v>
      </x:c>
      <x:c r="D109" s="219" t="str">
        <x:v>Front solder mask aperture bridges items with different nets</x:v>
      </x:c>
      <x:c r="E109" s="219" t="str">
        <x:v>Resolved through the subsequent coordinated native candidate and recorded source changes.</x:v>
      </x:c>
      <x:c r="F109" s="219" t="str">
        <x:v>iterations/I08_native_corrections/REDLINE_FREEZE.json
iterations/I20_controlled_handoff/NATIVE_BINDING.json
current/I21_SOURCE_VERIFICATION.json
current/SOURCE_EFFECTIVITY.json</x:v>
      </x:c>
    </x:row>
    <x:row r="110" ht="62" customHeight="1">
      <x:c r="A110" s="180" t="str">
        <x:v>N08-004</x:v>
      </x:c>
      <x:c r="B110" s="180" t="str">
        <x:v>I08</x:v>
      </x:c>
      <x:c r="C110" s="180" t="str">
        <x:v>CORRECTED NATIVE I20</x:v>
      </x:c>
      <x:c r="D110" s="180" t="str">
        <x:v>Front solder mask aperture bridges items with different nets</x:v>
      </x:c>
      <x:c r="E110" s="180" t="str">
        <x:v>Resolved through the subsequent coordinated native candidate and recorded source changes.</x:v>
      </x:c>
      <x:c r="F110" s="180" t="str">
        <x:v>iterations/I08_native_corrections/REDLINE_FREEZE.json
iterations/I20_controlled_handoff/NATIVE_BINDING.json
current/I21_SOURCE_VERIFICATION.json
current/SOURCE_EFFECTIVITY.json</x:v>
      </x:c>
    </x:row>
    <x:row r="111" ht="62" customHeight="1">
      <x:c r="A111" s="219" t="str">
        <x:v>N08-005</x:v>
      </x:c>
      <x:c r="B111" s="219" t="str">
        <x:v>I08</x:v>
      </x:c>
      <x:c r="C111" s="219" t="str">
        <x:v>CORRECTED NATIVE I20</x:v>
      </x:c>
      <x:c r="D111" s="219" t="str">
        <x:v>Front solder mask aperture bridges items with different nets</x:v>
      </x:c>
      <x:c r="E111" s="219" t="str">
        <x:v>Resolved through the subsequent coordinated native candidate and recorded source changes.</x:v>
      </x:c>
      <x:c r="F111" s="219" t="str">
        <x:v>iterations/I08_native_corrections/REDLINE_FREEZE.json
iterations/I20_controlled_handoff/NATIVE_BINDING.json
current/I21_SOURCE_VERIFICATION.json
current/SOURCE_EFFECTIVITY.json</x:v>
      </x:c>
    </x:row>
    <x:row r="112" ht="62" customHeight="1">
      <x:c r="A112" s="180" t="str">
        <x:v>N08-006</x:v>
      </x:c>
      <x:c r="B112" s="180" t="str">
        <x:v>I08</x:v>
      </x:c>
      <x:c r="C112" s="180" t="str">
        <x:v>CORRECTED NATIVE I20</x:v>
      </x:c>
      <x:c r="D112" s="180" t="str">
        <x:v>Front solder mask aperture bridges items with different nets</x:v>
      </x:c>
      <x:c r="E112" s="180" t="str">
        <x:v>Resolved through the subsequent coordinated native candidate and recorded source changes.</x:v>
      </x:c>
      <x:c r="F112" s="180" t="str">
        <x:v>iterations/I08_native_corrections/REDLINE_FREEZE.json
iterations/I20_controlled_handoff/NATIVE_BINDING.json
current/I21_SOURCE_VERIFICATION.json
current/SOURCE_EFFECTIVITY.json</x:v>
      </x:c>
    </x:row>
    <x:row r="113" ht="62" customHeight="1">
      <x:c r="A113" s="219" t="str">
        <x:v>N08-007</x:v>
      </x:c>
      <x:c r="B113" s="219" t="str">
        <x:v>I08</x:v>
      </x:c>
      <x:c r="C113" s="219" t="str">
        <x:v>CORRECTED NATIVE I20</x:v>
      </x:c>
      <x:c r="D113" s="219" t="str">
        <x:v>Front solder mask aperture bridges items with different nets</x:v>
      </x:c>
      <x:c r="E113" s="219" t="str">
        <x:v>Resolved through the subsequent coordinated native candidate and recorded source changes.</x:v>
      </x:c>
      <x:c r="F113" s="219" t="str">
        <x:v>iterations/I08_native_corrections/REDLINE_FREEZE.json
iterations/I20_controlled_handoff/NATIVE_BINDING.json
current/I21_SOURCE_VERIFICATION.json
current/SOURCE_EFFECTIVITY.json</x:v>
      </x:c>
    </x:row>
    <x:row r="114" ht="62" customHeight="1">
      <x:c r="A114" s="180" t="str">
        <x:v>N08-008</x:v>
      </x:c>
      <x:c r="B114" s="180" t="str">
        <x:v>I08</x:v>
      </x:c>
      <x:c r="C114" s="180" t="str">
        <x:v>CORRECTED NATIVE I20</x:v>
      </x:c>
      <x:c r="D114" s="180" t="str">
        <x:v>Rear solder mask aperture bridges items with different nets</x:v>
      </x:c>
      <x:c r="E114" s="180" t="str">
        <x:v>Resolved through the subsequent coordinated native candidate and recorded source changes.</x:v>
      </x:c>
      <x:c r="F114" s="180" t="str">
        <x:v>iterations/I08_native_corrections/REDLINE_FREEZE.json
iterations/I20_controlled_handoff/NATIVE_BINDING.json
current/I21_SOURCE_VERIFICATION.json
current/SOURCE_EFFECTIVITY.json</x:v>
      </x:c>
    </x:row>
    <x:row r="115" ht="62" customHeight="1">
      <x:c r="A115" s="219" t="str">
        <x:v>N08-009</x:v>
      </x:c>
      <x:c r="B115" s="219" t="str">
        <x:v>I08</x:v>
      </x:c>
      <x:c r="C115" s="219" t="str">
        <x:v>CORRECTED NATIVE I20</x:v>
      </x:c>
      <x:c r="D115" s="219" t="str">
        <x:v>Rear solder mask aperture bridges items with different nets</x:v>
      </x:c>
      <x:c r="E115" s="219" t="str">
        <x:v>Resolved through the subsequent coordinated native candidate and recorded source changes.</x:v>
      </x:c>
      <x:c r="F115" s="219" t="str">
        <x:v>iterations/I08_native_corrections/REDLINE_FREEZE.json
iterations/I20_controlled_handoff/NATIVE_BINDING.json
current/I21_SOURCE_VERIFICATION.json
current/SOURCE_EFFECTIVITY.json</x:v>
      </x:c>
    </x:row>
    <x:row r="116" ht="62" customHeight="1">
      <x:c r="A116" s="180" t="str">
        <x:v>N08-010</x:v>
      </x:c>
      <x:c r="B116" s="180" t="str">
        <x:v>I08</x:v>
      </x:c>
      <x:c r="C116" s="180" t="str">
        <x:v>CORRECTED NATIVE I20</x:v>
      </x:c>
      <x:c r="D116" s="180" t="str">
        <x:v>Rear solder mask aperture bridges items with different nets</x:v>
      </x:c>
      <x:c r="E116" s="180" t="str">
        <x:v>Resolved through the subsequent coordinated native candidate and recorded source changes.</x:v>
      </x:c>
      <x:c r="F116" s="180" t="str">
        <x:v>iterations/I08_native_corrections/REDLINE_FREEZE.json
iterations/I20_controlled_handoff/NATIVE_BINDING.json
current/I21_SOURCE_VERIFICATION.json
current/SOURCE_EFFECTIVITY.json</x:v>
      </x:c>
    </x:row>
    <x:row r="117" ht="62" customHeight="1">
      <x:c r="A117" s="219" t="str">
        <x:v>N08-011</x:v>
      </x:c>
      <x:c r="B117" s="219" t="str">
        <x:v>I08</x:v>
      </x:c>
      <x:c r="C117" s="219" t="str">
        <x:v>CORRECTED NATIVE I20</x:v>
      </x:c>
      <x:c r="D117" s="219" t="str">
        <x:v>Rear solder mask aperture bridges items with different nets</x:v>
      </x:c>
      <x:c r="E117" s="219" t="str">
        <x:v>Resolved through the subsequent coordinated native candidate and recorded source changes.</x:v>
      </x:c>
      <x:c r="F117" s="219" t="str">
        <x:v>iterations/I08_native_corrections/REDLINE_FREEZE.json
iterations/I20_controlled_handoff/NATIVE_BINDING.json
current/I21_SOURCE_VERIFICATION.json
current/SOURCE_EFFECTIVITY.json</x:v>
      </x:c>
    </x:row>
    <x:row r="118" ht="62" customHeight="1">
      <x:c r="A118" s="180" t="str">
        <x:v>N08-012</x:v>
      </x:c>
      <x:c r="B118" s="180" t="str">
        <x:v>I08</x:v>
      </x:c>
      <x:c r="C118" s="180" t="str">
        <x:v>CORRECTED NATIVE I20</x:v>
      </x:c>
      <x:c r="D118" s="180" t="str">
        <x:v>Rear solder mask aperture bridges items with different nets</x:v>
      </x:c>
      <x:c r="E118" s="180" t="str">
        <x:v>Resolved through the subsequent coordinated native candidate and recorded source changes.</x:v>
      </x:c>
      <x:c r="F118" s="180" t="str">
        <x:v>iterations/I08_native_corrections/REDLINE_FREEZE.json
iterations/I20_controlled_handoff/NATIVE_BINDING.json
current/I21_SOURCE_VERIFICATION.json
current/SOURCE_EFFECTIVITY.json</x:v>
      </x:c>
    </x:row>
    <x:row r="119" ht="62" customHeight="1">
      <x:c r="A119" s="219" t="str">
        <x:v>N08-013</x:v>
      </x:c>
      <x:c r="B119" s="219" t="str">
        <x:v>I08</x:v>
      </x:c>
      <x:c r="C119" s="219" t="str">
        <x:v>CORRECTED NATIVE I20</x:v>
      </x:c>
      <x:c r="D119" s="219" t="str">
        <x:v>Rear solder mask aperture bridges items with different nets</x:v>
      </x:c>
      <x:c r="E119" s="219" t="str">
        <x:v>Resolved through the subsequent coordinated native candidate and recorded source changes.</x:v>
      </x:c>
      <x:c r="F119" s="219" t="str">
        <x:v>iterations/I08_native_corrections/REDLINE_FREEZE.json
iterations/I20_controlled_handoff/NATIVE_BINDING.json
current/I21_SOURCE_VERIFICATION.json
current/SOURCE_EFFECTIVITY.json</x:v>
      </x:c>
    </x:row>
    <x:row r="120" ht="62" customHeight="1">
      <x:c r="A120" s="180" t="str">
        <x:v>N08-014</x:v>
      </x:c>
      <x:c r="B120" s="180" t="str">
        <x:v>I08</x:v>
      </x:c>
      <x:c r="C120" s="180" t="str">
        <x:v>CORRECTED NATIVE I20</x:v>
      </x:c>
      <x:c r="D120" s="180" t="str">
        <x:v>Rear solder mask aperture bridges items with different nets</x:v>
      </x:c>
      <x:c r="E120" s="180" t="str">
        <x:v>Resolved through the subsequent coordinated native candidate and recorded source changes.</x:v>
      </x:c>
      <x:c r="F120" s="180" t="str">
        <x:v>iterations/I08_native_corrections/REDLINE_FREEZE.json
iterations/I20_controlled_handoff/NATIVE_BINDING.json
current/I21_SOURCE_VERIFICATION.json
current/SOURCE_EFFECTIVITY.json</x:v>
      </x:c>
    </x:row>
    <x:row r="121" ht="62" customHeight="1">
      <x:c r="A121" s="219" t="str">
        <x:v>N08-015</x:v>
      </x:c>
      <x:c r="B121" s="219" t="str">
        <x:v>I08</x:v>
      </x:c>
      <x:c r="C121" s="219" t="str">
        <x:v>CORRECTED NATIVE I20</x:v>
      </x:c>
      <x:c r="D121" s="219" t="str">
        <x:v>Rear solder mask aperture bridges items with different nets</x:v>
      </x:c>
      <x:c r="E121" s="219" t="str">
        <x:v>Resolved through the subsequent coordinated native candidate and recorded source changes.</x:v>
      </x:c>
      <x:c r="F121" s="219" t="str">
        <x:v>iterations/I08_native_corrections/REDLINE_FREEZE.json
iterations/I20_controlled_handoff/NATIVE_BINDING.json
current/I21_SOURCE_VERIFICATION.json
current/SOURCE_EFFECTIVITY.json</x:v>
      </x:c>
    </x:row>
    <x:row r="122" ht="62" customHeight="1">
      <x:c r="A122" s="180" t="str">
        <x:v>N08-016</x:v>
      </x:c>
      <x:c r="B122" s="180" t="str">
        <x:v>I08</x:v>
      </x:c>
      <x:c r="C122" s="180" t="str">
        <x:v>CORRECTED NATIVE I20</x:v>
      </x:c>
      <x:c r="D122" s="180" t="str">
        <x:v>Rear solder mask aperture bridges items with different nets</x:v>
      </x:c>
      <x:c r="E122" s="180" t="str">
        <x:v>Resolved through the subsequent coordinated native candidate and recorded source changes.</x:v>
      </x:c>
      <x:c r="F122" s="180" t="str">
        <x:v>iterations/I08_native_corrections/REDLINE_FREEZE.json
iterations/I20_controlled_handoff/NATIVE_BINDING.json
current/I21_SOURCE_VERIFICATION.json
current/SOURCE_EFFECTIVITY.json</x:v>
      </x:c>
    </x:row>
    <x:row r="123" ht="62" customHeight="1">
      <x:c r="A123" s="219" t="str">
        <x:v>N08-017</x:v>
      </x:c>
      <x:c r="B123" s="219" t="str">
        <x:v>I08</x:v>
      </x:c>
      <x:c r="C123" s="219" t="str">
        <x:v>CORRECTED NATIVE I20</x:v>
      </x:c>
      <x:c r="D123" s="219" t="str">
        <x:v>Rear solder mask aperture bridges items with different nets</x:v>
      </x:c>
      <x:c r="E123" s="219" t="str">
        <x:v>Resolved through the subsequent coordinated native candidate and recorded source changes.</x:v>
      </x:c>
      <x:c r="F123" s="219" t="str">
        <x:v>iterations/I08_native_corrections/REDLINE_FREEZE.json
iterations/I20_controlled_handoff/NATIVE_BINDING.json
current/I21_SOURCE_VERIFICATION.json
current/SOURCE_EFFECTIVITY.json</x:v>
      </x:c>
    </x:row>
    <x:row r="124" ht="62" customHeight="1">
      <x:c r="A124" s="180" t="str">
        <x:v>N08-018</x:v>
      </x:c>
      <x:c r="B124" s="180" t="str">
        <x:v>I08</x:v>
      </x:c>
      <x:c r="C124" s="180" t="str">
        <x:v>CORRECTED NATIVE I20</x:v>
      </x:c>
      <x:c r="D124" s="180" t="str">
        <x:v>Rear solder mask aperture bridges items with different nets</x:v>
      </x:c>
      <x:c r="E124" s="180" t="str">
        <x:v>Resolved through the subsequent coordinated native candidate and recorded source changes.</x:v>
      </x:c>
      <x:c r="F124" s="180" t="str">
        <x:v>iterations/I08_native_corrections/REDLINE_FREEZE.json
iterations/I20_controlled_handoff/NATIVE_BINDING.json
current/I21_SOURCE_VERIFICATION.json
current/SOURCE_EFFECTIVITY.json</x:v>
      </x:c>
    </x:row>
    <x:row r="125" ht="62" customHeight="1">
      <x:c r="A125" s="219" t="str">
        <x:v>N08-019</x:v>
      </x:c>
      <x:c r="B125" s="219" t="str">
        <x:v>I08</x:v>
      </x:c>
      <x:c r="C125" s="219" t="str">
        <x:v>CORRECTED NATIVE I20</x:v>
      </x:c>
      <x:c r="D125" s="219" t="str">
        <x:v>Rear solder mask aperture bridges items with different nets</x:v>
      </x:c>
      <x:c r="E125" s="219" t="str">
        <x:v>Resolved through the subsequent coordinated native candidate and recorded source changes.</x:v>
      </x:c>
      <x:c r="F125" s="219" t="str">
        <x:v>iterations/I08_native_corrections/REDLINE_FREEZE.json
iterations/I20_controlled_handoff/NATIVE_BINDING.json
current/I21_SOURCE_VERIFICATION.json
current/SOURCE_EFFECTIVITY.json</x:v>
      </x:c>
    </x:row>
    <x:row r="126" ht="62" customHeight="1">
      <x:c r="A126" s="180" t="str">
        <x:v>N08-020</x:v>
      </x:c>
      <x:c r="B126" s="180" t="str">
        <x:v>I08</x:v>
      </x:c>
      <x:c r="C126" s="180" t="str">
        <x:v>CORRECTED NATIVE I20</x:v>
      </x:c>
      <x:c r="D126" s="180" t="str">
        <x:v>Rear solder mask aperture bridges items with different nets</x:v>
      </x:c>
      <x:c r="E126" s="180" t="str">
        <x:v>Resolved through the subsequent coordinated native candidate and recorded source changes.</x:v>
      </x:c>
      <x:c r="F126" s="180" t="str">
        <x:v>iterations/I08_native_corrections/REDLINE_FREEZE.json
iterations/I20_controlled_handoff/NATIVE_BINDING.json
current/I21_SOURCE_VERIFICATION.json
current/SOURCE_EFFECTIVITY.json</x:v>
      </x:c>
    </x:row>
    <x:row r="127" ht="62" customHeight="1">
      <x:c r="A127" s="219" t="str">
        <x:v>N08-021</x:v>
      </x:c>
      <x:c r="B127" s="219" t="str">
        <x:v>I08</x:v>
      </x:c>
      <x:c r="C127" s="219" t="str">
        <x:v>CORRECTED NATIVE I20</x:v>
      </x:c>
      <x:c r="D127" s="219" t="str">
        <x:v>Rear solder mask aperture bridges items with different nets</x:v>
      </x:c>
      <x:c r="E127" s="219" t="str">
        <x:v>Resolved through the subsequent coordinated native candidate and recorded source changes.</x:v>
      </x:c>
      <x:c r="F127" s="219" t="str">
        <x:v>iterations/I08_native_corrections/REDLINE_FREEZE.json
iterations/I20_controlled_handoff/NATIVE_BINDING.json
current/I21_SOURCE_VERIFICATION.json
current/SOURCE_EFFECTIVITY.json</x:v>
      </x:c>
    </x:row>
    <x:row r="128" ht="62" customHeight="1">
      <x:c r="A128" s="180" t="str">
        <x:v>N08-022</x:v>
      </x:c>
      <x:c r="B128" s="180" t="str">
        <x:v>I08</x:v>
      </x:c>
      <x:c r="C128" s="180" t="str">
        <x:v>CORRECTED NATIVE I20</x:v>
      </x:c>
      <x:c r="D128" s="180" t="str">
        <x:v>Rear solder mask aperture bridges items with different nets</x:v>
      </x:c>
      <x:c r="E128" s="180" t="str">
        <x:v>Resolved through the subsequent coordinated native candidate and recorded source changes.</x:v>
      </x:c>
      <x:c r="F128" s="180" t="str">
        <x:v>iterations/I08_native_corrections/REDLINE_FREEZE.json
iterations/I20_controlled_handoff/NATIVE_BINDING.json
current/I21_SOURCE_VERIFICATION.json
current/SOURCE_EFFECTIVITY.json</x:v>
      </x:c>
    </x:row>
    <x:row r="129" ht="62" customHeight="1">
      <x:c r="A129" s="219" t="str">
        <x:v>N08-023</x:v>
      </x:c>
      <x:c r="B129" s="219" t="str">
        <x:v>I08</x:v>
      </x:c>
      <x:c r="C129" s="219" t="str">
        <x:v>CORRECTED NATIVE I20</x:v>
      </x:c>
      <x:c r="D129" s="219" t="str">
        <x:v>Rear solder mask aperture bridges items with different nets</x:v>
      </x:c>
      <x:c r="E129" s="219" t="str">
        <x:v>Resolved through the subsequent coordinated native candidate and recorded source changes.</x:v>
      </x:c>
      <x:c r="F129" s="219" t="str">
        <x:v>iterations/I08_native_corrections/REDLINE_FREEZE.json
iterations/I20_controlled_handoff/NATIVE_BINDING.json
current/I21_SOURCE_VERIFICATION.json
current/SOURCE_EFFECTIVITY.json</x:v>
      </x:c>
    </x:row>
    <x:row r="130" ht="62" customHeight="1">
      <x:c r="A130" s="180" t="str">
        <x:v>N08-024</x:v>
      </x:c>
      <x:c r="B130" s="180" t="str">
        <x:v>I08</x:v>
      </x:c>
      <x:c r="C130" s="180" t="str">
        <x:v>CORRECTED NATIVE I20</x:v>
      </x:c>
      <x:c r="D130" s="180" t="str">
        <x:v>Rear solder mask aperture bridges items with different nets</x:v>
      </x:c>
      <x:c r="E130" s="180" t="str">
        <x:v>Resolved through the subsequent coordinated native candidate and recorded source changes.</x:v>
      </x:c>
      <x:c r="F130" s="180" t="str">
        <x:v>iterations/I08_native_corrections/REDLINE_FREEZE.json
iterations/I20_controlled_handoff/NATIVE_BINDING.json
current/I21_SOURCE_VERIFICATION.json
current/SOURCE_EFFECTIVITY.json</x:v>
      </x:c>
    </x:row>
    <x:row r="131" ht="62" customHeight="1">
      <x:c r="A131" s="219" t="str">
        <x:v>N08-025</x:v>
      </x:c>
      <x:c r="B131" s="219" t="str">
        <x:v>I08</x:v>
      </x:c>
      <x:c r="C131" s="219" t="str">
        <x:v>CORRECTED NATIVE I20</x:v>
      </x:c>
      <x:c r="D131" s="219" t="str">
        <x:v>Rear solder mask aperture bridges items with different nets</x:v>
      </x:c>
      <x:c r="E131" s="219" t="str">
        <x:v>Resolved through the subsequent coordinated native candidate and recorded source changes.</x:v>
      </x:c>
      <x:c r="F131" s="219" t="str">
        <x:v>iterations/I08_native_corrections/REDLINE_FREEZE.json
iterations/I20_controlled_handoff/NATIVE_BINDING.json
current/I21_SOURCE_VERIFICATION.json
current/SOURCE_EFFECTIVITY.json</x:v>
      </x:c>
    </x:row>
    <x:row r="132" ht="62" customHeight="1">
      <x:c r="A132" s="180" t="str">
        <x:v>N08-026</x:v>
      </x:c>
      <x:c r="B132" s="180" t="str">
        <x:v>I08</x:v>
      </x:c>
      <x:c r="C132" s="180" t="str">
        <x:v>CORRECTED NATIVE I20</x:v>
      </x:c>
      <x:c r="D132" s="180" t="str">
        <x:v>Rear solder mask aperture bridges items with different nets</x:v>
      </x:c>
      <x:c r="E132" s="180" t="str">
        <x:v>Resolved through the subsequent coordinated native candidate and recorded source changes.</x:v>
      </x:c>
      <x:c r="F132" s="180" t="str">
        <x:v>iterations/I08_native_corrections/REDLINE_FREEZE.json
iterations/I20_controlled_handoff/NATIVE_BINDING.json
current/I21_SOURCE_VERIFICATION.json
current/SOURCE_EFFECTIVITY.json</x:v>
      </x:c>
    </x:row>
    <x:row r="133" ht="62" customHeight="1">
      <x:c r="A133" s="219" t="str">
        <x:v>N08-027</x:v>
      </x:c>
      <x:c r="B133" s="219" t="str">
        <x:v>I08</x:v>
      </x:c>
      <x:c r="C133" s="219" t="str">
        <x:v>CORRECTED NATIVE I20</x:v>
      </x:c>
      <x:c r="D133" s="219" t="str">
        <x:v>Rear solder mask aperture bridges items with different nets</x:v>
      </x:c>
      <x:c r="E133" s="219" t="str">
        <x:v>Resolved through the subsequent coordinated native candidate and recorded source changes.</x:v>
      </x:c>
      <x:c r="F133" s="219" t="str">
        <x:v>iterations/I08_native_corrections/REDLINE_FREEZE.json
iterations/I20_controlled_handoff/NATIVE_BINDING.json
current/I21_SOURCE_VERIFICATION.json
current/SOURCE_EFFECTIVITY.json</x:v>
      </x:c>
    </x:row>
    <x:row r="134" ht="62" customHeight="1">
      <x:c r="A134" s="180" t="str">
        <x:v>N08-028</x:v>
      </x:c>
      <x:c r="B134" s="180" t="str">
        <x:v>I08</x:v>
      </x:c>
      <x:c r="C134" s="180" t="str">
        <x:v>CORRECTED NATIVE I20</x:v>
      </x:c>
      <x:c r="D134" s="180" t="str">
        <x:v>Rear solder mask aperture bridges items with different nets</x:v>
      </x:c>
      <x:c r="E134" s="180" t="str">
        <x:v>Resolved through the subsequent coordinated native candidate and recorded source changes.</x:v>
      </x:c>
      <x:c r="F134" s="180" t="str">
        <x:v>iterations/I08_native_corrections/REDLINE_FREEZE.json
iterations/I20_controlled_handoff/NATIVE_BINDING.json
current/I21_SOURCE_VERIFICATION.json
current/SOURCE_EFFECTIVITY.json</x:v>
      </x:c>
    </x:row>
    <x:row r="135" ht="62" customHeight="1">
      <x:c r="A135" s="219" t="str">
        <x:v>N08-029</x:v>
      </x:c>
      <x:c r="B135" s="219" t="str">
        <x:v>I08</x:v>
      </x:c>
      <x:c r="C135" s="219" t="str">
        <x:v>CORRECTED NATIVE I20</x:v>
      </x:c>
      <x:c r="D135" s="219" t="str">
        <x:v>Rear solder mask aperture bridges items with different nets</x:v>
      </x:c>
      <x:c r="E135" s="219" t="str">
        <x:v>Resolved through the subsequent coordinated native candidate and recorded source changes.</x:v>
      </x:c>
      <x:c r="F135" s="219" t="str">
        <x:v>iterations/I08_native_corrections/REDLINE_FREEZE.json
iterations/I20_controlled_handoff/NATIVE_BINDING.json
current/I21_SOURCE_VERIFICATION.json
current/SOURCE_EFFECTIVITY.json</x:v>
      </x:c>
    </x:row>
    <x:row r="136" ht="62" customHeight="1">
      <x:c r="A136" s="180" t="str">
        <x:v>N08-030</x:v>
      </x:c>
      <x:c r="B136" s="180" t="str">
        <x:v>I08</x:v>
      </x:c>
      <x:c r="C136" s="180" t="str">
        <x:v>CORRECTED NATIVE I20</x:v>
      </x:c>
      <x:c r="D136" s="180" t="str">
        <x:v>Rear solder mask aperture bridges items with different nets</x:v>
      </x:c>
      <x:c r="E136" s="180" t="str">
        <x:v>Resolved through the subsequent coordinated native candidate and recorded source changes.</x:v>
      </x:c>
      <x:c r="F136" s="180" t="str">
        <x:v>iterations/I08_native_corrections/REDLINE_FREEZE.json
iterations/I20_controlled_handoff/NATIVE_BINDING.json
current/I21_SOURCE_VERIFICATION.json
current/SOURCE_EFFECTIVITY.json</x:v>
      </x:c>
    </x:row>
    <x:row r="137" ht="62" customHeight="1">
      <x:c r="A137" s="219" t="str">
        <x:v>N08-031</x:v>
      </x:c>
      <x:c r="B137" s="219" t="str">
        <x:v>I08</x:v>
      </x:c>
      <x:c r="C137" s="219" t="str">
        <x:v>CORRECTED NATIVE I20</x:v>
      </x:c>
      <x:c r="D137" s="219" t="str">
        <x:v>Rear solder mask aperture bridges items with different nets</x:v>
      </x:c>
      <x:c r="E137" s="219" t="str">
        <x:v>Resolved through the subsequent coordinated native candidate and recorded source changes.</x:v>
      </x:c>
      <x:c r="F137" s="219" t="str">
        <x:v>iterations/I08_native_corrections/REDLINE_FREEZE.json
iterations/I20_controlled_handoff/NATIVE_BINDING.json
current/I21_SOURCE_VERIFICATION.json
current/SOURCE_EFFECTIVITY.json</x:v>
      </x:c>
    </x:row>
    <x:row r="138" ht="62" customHeight="1">
      <x:c r="A138" s="180" t="str">
        <x:v>N08-032</x:v>
      </x:c>
      <x:c r="B138" s="180" t="str">
        <x:v>I08</x:v>
      </x:c>
      <x:c r="C138" s="180" t="str">
        <x:v>CORRECTED NATIVE I20</x:v>
      </x:c>
      <x:c r="D138" s="180" t="str">
        <x:v>Via diameter (board setup constraints min diameter 0.6000 mm; actual 0.5000 mm)</x:v>
      </x:c>
      <x:c r="E138" s="180" t="str">
        <x:v>Resolved through the subsequent coordinated native candidate and recorded source changes.</x:v>
      </x:c>
      <x:c r="F138" s="180" t="str">
        <x:v>iterations/I08_native_corrections/REDLINE_FREEZE.json
iterations/I20_controlled_handoff/NATIVE_BINDING.json
current/I21_SOURCE_VERIFICATION.json
current/SOURCE_EFFECTIVITY.json</x:v>
      </x:c>
    </x:row>
    <x:row r="139" ht="62" customHeight="1">
      <x:c r="A139" s="219" t="str">
        <x:v>N08-033</x:v>
      </x:c>
      <x:c r="B139" s="219" t="str">
        <x:v>I08</x:v>
      </x:c>
      <x:c r="C139" s="219" t="str">
        <x:v>CORRECTED NATIVE I20</x:v>
      </x:c>
      <x:c r="D139" s="219" t="str">
        <x:v>Clearance violation (rule 'Protected automotive voltage clearance' clearance 0.2500 mm; actual 0.2393 mm)</x:v>
      </x:c>
      <x:c r="E139" s="219" t="str">
        <x:v>Resolved through the subsequent coordinated native candidate and recorded source changes.</x:v>
      </x:c>
      <x:c r="F139" s="219" t="str">
        <x:v>iterations/I08_native_corrections/REDLINE_FREEZE.json
iterations/I20_controlled_handoff/NATIVE_BINDING.json
current/I21_SOURCE_VERIFICATION.json
current/SOURCE_EFFECTIVITY.json</x:v>
      </x:c>
    </x:row>
    <x:row r="140" ht="62" customHeight="1">
      <x:c r="A140" s="180" t="str">
        <x:v>N08-034</x:v>
      </x:c>
      <x:c r="B140" s="180" t="str">
        <x:v>I08</x:v>
      </x:c>
      <x:c r="C140" s="180" t="str">
        <x:v>CORRECTED NATIVE I20</x:v>
      </x:c>
      <x:c r="D140" s="180" t="str">
        <x:v>Clearance violation (rule 'Protected automotive voltage clearance' clearance 0.2500 mm; actual 0.2051 mm)</x:v>
      </x:c>
      <x:c r="E140" s="180" t="str">
        <x:v>Resolved through the subsequent coordinated native candidate and recorded source changes.</x:v>
      </x:c>
      <x:c r="F140" s="180" t="str">
        <x:v>iterations/I08_native_corrections/REDLINE_FREEZE.json
iterations/I20_controlled_handoff/NATIVE_BINDING.json
current/I21_SOURCE_VERIFICATION.json
current/SOURCE_EFFECTIVITY.json</x:v>
      </x:c>
    </x:row>
    <x:row r="141" ht="62" customHeight="1">
      <x:c r="A141" s="219" t="str">
        <x:v>N08-035</x:v>
      </x:c>
      <x:c r="B141" s="219" t="str">
        <x:v>I08</x:v>
      </x:c>
      <x:c r="C141" s="219" t="str">
        <x:v>CORRECTED NATIVE I20</x:v>
      </x:c>
      <x:c r="D141" s="219" t="str">
        <x:v>Clearance violation (rule 'Protected automotive voltage clearance' clearance 0.2500 mm; actual 0.1907 mm)</x:v>
      </x:c>
      <x:c r="E141" s="219" t="str">
        <x:v>Resolved through the subsequent coordinated native candidate and recorded source changes.</x:v>
      </x:c>
      <x:c r="F141" s="219" t="str">
        <x:v>iterations/I08_native_corrections/REDLINE_FREEZE.json
iterations/I20_controlled_handoff/NATIVE_BINDING.json
current/I21_SOURCE_VERIFICATION.json
current/SOURCE_EFFECTIVITY.json</x:v>
      </x:c>
    </x:row>
    <x:row r="142" ht="62" customHeight="1">
      <x:c r="A142" s="180" t="str">
        <x:v>N08-036</x:v>
      </x:c>
      <x:c r="B142" s="180" t="str">
        <x:v>I08</x:v>
      </x:c>
      <x:c r="C142" s="180" t="str">
        <x:v>CORRECTED NATIVE I20</x:v>
      </x:c>
      <x:c r="D142" s="180" t="str">
        <x:v>Clearance violation (rule 'Protected automotive voltage clearance' clearance 0.2500 mm; actual 0.1573 mm)</x:v>
      </x:c>
      <x:c r="E142" s="180" t="str">
        <x:v>Resolved through the subsequent coordinated native candidate and recorded source changes.</x:v>
      </x:c>
      <x:c r="F142" s="180" t="str">
        <x:v>iterations/I08_native_corrections/REDLINE_FREEZE.json
iterations/I20_controlled_handoff/NATIVE_BINDING.json
current/I21_SOURCE_VERIFICATION.json
current/SOURCE_EFFECTIVITY.json</x:v>
      </x:c>
    </x:row>
    <x:row r="143" ht="62" customHeight="1">
      <x:c r="A143" s="219" t="str">
        <x:v>N08-037</x:v>
      </x:c>
      <x:c r="B143" s="219" t="str">
        <x:v>I08</x:v>
      </x:c>
      <x:c r="C143" s="219" t="str">
        <x:v>CORRECTED NATIVE I20</x:v>
      </x:c>
      <x:c r="D143" s="219" t="str">
        <x:v>Clearance violation (rule 'Protected automotive voltage clearance' clearance 0.2500 mm; actual 0.2000 mm)</x:v>
      </x:c>
      <x:c r="E143" s="219" t="str">
        <x:v>Resolved through the subsequent coordinated native candidate and recorded source changes.</x:v>
      </x:c>
      <x:c r="F143" s="219" t="str">
        <x:v>iterations/I08_native_corrections/REDLINE_FREEZE.json
iterations/I20_controlled_handoff/NATIVE_BINDING.json
current/I21_SOURCE_VERIFICATION.json
current/SOURCE_EFFECTIVITY.json</x:v>
      </x:c>
    </x:row>
    <x:row r="144" ht="62" customHeight="1">
      <x:c r="A144" s="180" t="str">
        <x:v>N08-038</x:v>
      </x:c>
      <x:c r="B144" s="180" t="str">
        <x:v>I08</x:v>
      </x:c>
      <x:c r="C144" s="180" t="str">
        <x:v>CORRECTED NATIVE I20</x:v>
      </x:c>
      <x:c r="D144" s="180" t="str">
        <x:v>Clearance violation (rule 'Protected automotive voltage clearance' clearance 0.2500 mm; actual 0.1839 mm)</x:v>
      </x:c>
      <x:c r="E144" s="180" t="str">
        <x:v>Resolved through the subsequent coordinated native candidate and recorded source changes.</x:v>
      </x:c>
      <x:c r="F144" s="180" t="str">
        <x:v>iterations/I08_native_corrections/REDLINE_FREEZE.json
iterations/I20_controlled_handoff/NATIVE_BINDING.json
current/I21_SOURCE_VERIFICATION.json
current/SOURCE_EFFECTIVITY.json</x:v>
      </x:c>
    </x:row>
    <x:row r="145" ht="62" customHeight="1">
      <x:c r="A145" s="219" t="str">
        <x:v>N08-039</x:v>
      </x:c>
      <x:c r="B145" s="219" t="str">
        <x:v>I08</x:v>
      </x:c>
      <x:c r="C145" s="219" t="str">
        <x:v>CORRECTED NATIVE I20</x:v>
      </x:c>
      <x:c r="D145" s="219" t="str">
        <x:v>Clearance violation (rule 'Protected automotive voltage clearance' clearance 0.2500 mm; actual 0.2000 mm)</x:v>
      </x:c>
      <x:c r="E145" s="219" t="str">
        <x:v>Resolved through the subsequent coordinated native candidate and recorded source changes.</x:v>
      </x:c>
      <x:c r="F145" s="219" t="str">
        <x:v>iterations/I08_native_corrections/REDLINE_FREEZE.json
iterations/I20_controlled_handoff/NATIVE_BINDING.json
current/I21_SOURCE_VERIFICATION.json
current/SOURCE_EFFECTIVITY.json</x:v>
      </x:c>
    </x:row>
    <x:row r="146" ht="62" customHeight="1">
      <x:c r="A146" s="180" t="str">
        <x:v>N08-040</x:v>
      </x:c>
      <x:c r="B146" s="180" t="str">
        <x:v>I08</x:v>
      </x:c>
      <x:c r="C146" s="180" t="str">
        <x:v>CORRECTED NATIVE I20</x:v>
      </x:c>
      <x:c r="D146" s="180" t="str">
        <x:v>Clearance violation (rule 'Raw vehicle transient clearance' clearance 0.6000 mm; actual 0.1600 mm)</x:v>
      </x:c>
      <x:c r="E146" s="180" t="str">
        <x:v>Resolved through the subsequent coordinated native candidate and recorded source changes.</x:v>
      </x:c>
      <x:c r="F146" s="180" t="str">
        <x:v>iterations/I08_native_corrections/REDLINE_FREEZE.json
iterations/I20_controlled_handoff/NATIVE_BINDING.json
current/I21_SOURCE_VERIFICATION.json
current/SOURCE_EFFECTIVITY.json</x:v>
      </x:c>
    </x:row>
    <x:row r="147" ht="62" customHeight="1">
      <x:c r="A147" s="219" t="str">
        <x:v>N08-041</x:v>
      </x:c>
      <x:c r="B147" s="219" t="str">
        <x:v>I08</x:v>
      </x:c>
      <x:c r="C147" s="219" t="str">
        <x:v>CORRECTED NATIVE I20</x:v>
      </x:c>
      <x:c r="D147" s="219" t="str">
        <x:v>Clearance violation (rule 'Raw vehicle transient clearance' clearance 0.6000 mm; actual 0.1600 mm)</x:v>
      </x:c>
      <x:c r="E147" s="219" t="str">
        <x:v>Resolved through the subsequent coordinated native candidate and recorded source changes.</x:v>
      </x:c>
      <x:c r="F147" s="219" t="str">
        <x:v>iterations/I08_native_corrections/REDLINE_FREEZE.json
iterations/I20_controlled_handoff/NATIVE_BINDING.json
current/I21_SOURCE_VERIFICATION.json
current/SOURCE_EFFECTIVITY.json</x:v>
      </x:c>
    </x:row>
    <x:row r="148" ht="62" customHeight="1">
      <x:c r="A148" s="180" t="str">
        <x:v>N08-042</x:v>
      </x:c>
      <x:c r="B148" s="180" t="str">
        <x:v>I08</x:v>
      </x:c>
      <x:c r="C148" s="180" t="str">
        <x:v>CORRECTED NATIVE I20</x:v>
      </x:c>
      <x:c r="D148" s="180" t="str">
        <x:v>Items shorting two nets (nets 3V3_VSEL_ADJ and )</x:v>
      </x:c>
      <x:c r="E148" s="180" t="str">
        <x:v>Resolved through the subsequent coordinated native candidate and recorded source changes.</x:v>
      </x:c>
      <x:c r="F148" s="180" t="str">
        <x:v>iterations/I08_native_corrections/REDLINE_FREEZE.json
iterations/I20_controlled_handoff/NATIVE_BINDING.json
current/I21_SOURCE_VERIFICATION.json
current/SOURCE_EFFECTIVITY.json</x:v>
      </x:c>
    </x:row>
    <x:row r="149" ht="62" customHeight="1">
      <x:c r="A149" s="219" t="str">
        <x:v>N08-043</x:v>
      </x:c>
      <x:c r="B149" s="219" t="str">
        <x:v>I08</x:v>
      </x:c>
      <x:c r="C149" s="219" t="str">
        <x:v>CORRECTED NATIVE I20</x:v>
      </x:c>
      <x:c r="D149" s="219" t="str">
        <x:v>Clearance violation (rule 'Protected automotive voltage clearance' clearance 0.2500 mm; actual 0.1778 mm)</x:v>
      </x:c>
      <x:c r="E149" s="219" t="str">
        <x:v>Resolved through the subsequent coordinated native candidate and recorded source changes.</x:v>
      </x:c>
      <x:c r="F149" s="219" t="str">
        <x:v>iterations/I08_native_corrections/REDLINE_FREEZE.json
iterations/I20_controlled_handoff/NATIVE_BINDING.json
current/I21_SOURCE_VERIFICATION.json
current/SOURCE_EFFECTIVITY.json</x:v>
      </x:c>
    </x:row>
    <x:row r="150" ht="62" customHeight="1">
      <x:c r="A150" s="180" t="str">
        <x:v>N08-044</x:v>
      </x:c>
      <x:c r="B150" s="180" t="str">
        <x:v>I08</x:v>
      </x:c>
      <x:c r="C150" s="180" t="str">
        <x:v>CORRECTED NATIVE I20</x:v>
      </x:c>
      <x:c r="D150" s="180" t="str">
        <x:v>Items shorting two nets (nets  and 3V3_VSEL_ADJ)</x:v>
      </x:c>
      <x:c r="E150" s="180" t="str">
        <x:v>Resolved through the subsequent coordinated native candidate and recorded source changes.</x:v>
      </x:c>
      <x:c r="F150" s="180" t="str">
        <x:v>iterations/I08_native_corrections/REDLINE_FREEZE.json
iterations/I20_controlled_handoff/NATIVE_BINDING.json
current/I21_SOURCE_VERIFICATION.json
current/SOURCE_EFFECTIVITY.json</x:v>
      </x:c>
    </x:row>
    <x:row r="151" ht="62" customHeight="1">
      <x:c r="A151" s="219" t="str">
        <x:v>N08-045</x:v>
      </x:c>
      <x:c r="B151" s="219" t="str">
        <x:v>I08</x:v>
      </x:c>
      <x:c r="C151" s="219" t="str">
        <x:v>CORRECTED NATIVE I20</x:v>
      </x:c>
      <x:c r="D151" s="219" t="str">
        <x:v>Items shorting two nets (nets  and 3V3_VSEL_ADJ)</x:v>
      </x:c>
      <x:c r="E151" s="219" t="str">
        <x:v>Resolved through the subsequent coordinated native candidate and recorded source changes.</x:v>
      </x:c>
      <x:c r="F151" s="219" t="str">
        <x:v>iterations/I08_native_corrections/REDLINE_FREEZE.json
iterations/I20_controlled_handoff/NATIVE_BINDING.json
current/I21_SOURCE_VERIFICATION.json
current/SOURCE_EFFECTIVITY.json</x:v>
      </x:c>
    </x:row>
    <x:row r="152" ht="62" customHeight="1">
      <x:c r="A152" s="180" t="str">
        <x:v>N08-046</x:v>
      </x:c>
      <x:c r="B152" s="180" t="str">
        <x:v>I08</x:v>
      </x:c>
      <x:c r="C152" s="180" t="str">
        <x:v>CORRECTED NATIVE I20</x:v>
      </x:c>
      <x:c r="D152" s="180" t="str">
        <x:v>Clearance violation (rule 'Protected automotive voltage clearance' clearance 0.2500 mm; actual 0.1616 mm)</x:v>
      </x:c>
      <x:c r="E152" s="180" t="str">
        <x:v>Resolved through the subsequent coordinated native candidate and recorded source changes.</x:v>
      </x:c>
      <x:c r="F152" s="180" t="str">
        <x:v>iterations/I08_native_corrections/REDLINE_FREEZE.json
iterations/I20_controlled_handoff/NATIVE_BINDING.json
current/I21_SOURCE_VERIFICATION.json
current/SOURCE_EFFECTIVITY.json</x:v>
      </x:c>
    </x:row>
    <x:row r="153" ht="62" customHeight="1">
      <x:c r="A153" s="219" t="str">
        <x:v>N08-047</x:v>
      </x:c>
      <x:c r="B153" s="219" t="str">
        <x:v>I08</x:v>
      </x:c>
      <x:c r="C153" s="219" t="str">
        <x:v>CORRECTED NATIVE I20</x:v>
      </x:c>
      <x:c r="D153" s="219" t="str">
        <x:v>Clearance violation (rule 'Protected automotive voltage clearance' clearance 0.2500 mm; actual 0.1616 mm)</x:v>
      </x:c>
      <x:c r="E153" s="219" t="str">
        <x:v>Resolved through the subsequent coordinated native candidate and recorded source changes.</x:v>
      </x:c>
      <x:c r="F153" s="219" t="str">
        <x:v>iterations/I08_native_corrections/REDLINE_FREEZE.json
iterations/I20_controlled_handoff/NATIVE_BINDING.json
current/I21_SOURCE_VERIFICATION.json
current/SOURCE_EFFECTIVITY.json</x:v>
      </x:c>
    </x:row>
    <x:row r="154" ht="62" customHeight="1">
      <x:c r="A154" s="180" t="str">
        <x:v>N08-048</x:v>
      </x:c>
      <x:c r="B154" s="180" t="str">
        <x:v>I08</x:v>
      </x:c>
      <x:c r="C154" s="180" t="str">
        <x:v>CORRECTED NATIVE I20</x:v>
      </x:c>
      <x:c r="D154" s="180" t="str">
        <x:v>Clearance violation (rule 'Logic clearance' clearance 0.1500 mm; actual 0.0750 mm)</x:v>
      </x:c>
      <x:c r="E154" s="180" t="str">
        <x:v>Resolved through the subsequent coordinated native candidate and recorded source changes.</x:v>
      </x:c>
      <x:c r="F154" s="180" t="str">
        <x:v>iterations/I08_native_corrections/REDLINE_FREEZE.json
iterations/I20_controlled_handoff/NATIVE_BINDING.json
current/I21_SOURCE_VERIFICATION.json
current/SOURCE_EFFECTIVITY.json</x:v>
      </x:c>
    </x:row>
    <x:row r="155" ht="62" customHeight="1">
      <x:c r="A155" s="219" t="str">
        <x:v>N08-049</x:v>
      </x:c>
      <x:c r="B155" s="219" t="str">
        <x:v>I08</x:v>
      </x:c>
      <x:c r="C155" s="219" t="str">
        <x:v>CORRECTED NATIVE I20</x:v>
      </x:c>
      <x:c r="D155" s="219" t="str">
        <x:v>Items shorting two nets (nets  and 3V3_VSEL_ADJ)</x:v>
      </x:c>
      <x:c r="E155" s="219" t="str">
        <x:v>Resolved through the subsequent coordinated native candidate and recorded source changes.</x:v>
      </x:c>
      <x:c r="F155" s="219" t="str">
        <x:v>iterations/I08_native_corrections/REDLINE_FREEZE.json
iterations/I20_controlled_handoff/NATIVE_BINDING.json
current/I21_SOURCE_VERIFICATION.json
current/SOURCE_EFFECTIVITY.json</x:v>
      </x:c>
    </x:row>
    <x:row r="156" ht="62" customHeight="1">
      <x:c r="A156" s="180" t="str">
        <x:v>N08-050</x:v>
      </x:c>
      <x:c r="B156" s="180" t="str">
        <x:v>I08</x:v>
      </x:c>
      <x:c r="C156" s="180" t="str">
        <x:v>CORRECTED NATIVE I20</x:v>
      </x:c>
      <x:c r="D156" s="180" t="str">
        <x:v>Items shorting two nets (nets  and 3V3_VSEL_ADJ)</x:v>
      </x:c>
      <x:c r="E156" s="180" t="str">
        <x:v>Resolved through the subsequent coordinated native candidate and recorded source changes.</x:v>
      </x:c>
      <x:c r="F156" s="180" t="str">
        <x:v>iterations/I08_native_corrections/REDLINE_FREEZE.json
iterations/I20_controlled_handoff/NATIVE_BINDING.json
current/I21_SOURCE_VERIFICATION.json
current/SOURCE_EFFECTIVITY.json</x:v>
      </x:c>
    </x:row>
    <x:row r="157" ht="62" customHeight="1">
      <x:c r="A157" s="219" t="str">
        <x:v>N08-051</x:v>
      </x:c>
      <x:c r="B157" s="219" t="str">
        <x:v>I08</x:v>
      </x:c>
      <x:c r="C157" s="219" t="str">
        <x:v>CORRECTED NATIVE I20</x:v>
      </x:c>
      <x:c r="D157" s="219" t="str">
        <x:v>Items shorting two nets (nets  and 3V3_VSEL_ADJ)</x:v>
      </x:c>
      <x:c r="E157" s="219" t="str">
        <x:v>Resolved through the subsequent coordinated native candidate and recorded source changes.</x:v>
      </x:c>
      <x:c r="F157" s="219" t="str">
        <x:v>iterations/I08_native_corrections/REDLINE_FREEZE.json
iterations/I20_controlled_handoff/NATIVE_BINDING.json
current/I21_SOURCE_VERIFICATION.json
current/SOURCE_EFFECTIVITY.json</x:v>
      </x:c>
    </x:row>
    <x:row r="158" ht="62" customHeight="1">
      <x:c r="A158" s="180" t="str">
        <x:v>N08-052</x:v>
      </x:c>
      <x:c r="B158" s="180" t="str">
        <x:v>I08</x:v>
      </x:c>
      <x:c r="C158" s="180" t="str">
        <x:v>CORRECTED NATIVE I20</x:v>
      </x:c>
      <x:c r="D158" s="180" t="str">
        <x:v>Clearance violation (rule 'Protected automotive voltage clearance' clearance 0.2500 mm; actual 0.2000 mm)</x:v>
      </x:c>
      <x:c r="E158" s="180" t="str">
        <x:v>Resolved through the subsequent coordinated native candidate and recorded source changes.</x:v>
      </x:c>
      <x:c r="F158" s="180" t="str">
        <x:v>iterations/I08_native_corrections/REDLINE_FREEZE.json
iterations/I20_controlled_handoff/NATIVE_BINDING.json
current/I21_SOURCE_VERIFICATION.json
current/SOURCE_EFFECTIVITY.json</x:v>
      </x:c>
    </x:row>
    <x:row r="159" ht="62" customHeight="1">
      <x:c r="A159" s="219" t="str">
        <x:v>N08-053</x:v>
      </x:c>
      <x:c r="B159" s="219" t="str">
        <x:v>I08</x:v>
      </x:c>
      <x:c r="C159" s="219" t="str">
        <x:v>CORRECTED NATIVE I20</x:v>
      </x:c>
      <x:c r="D159" s="219" t="str">
        <x:v>Clearance violation (rule 'Protected automotive voltage clearance' clearance 0.2500 mm; actual 0.2250 mm)</x:v>
      </x:c>
      <x:c r="E159" s="219" t="str">
        <x:v>Resolved through the subsequent coordinated native candidate and recorded source changes.</x:v>
      </x:c>
      <x:c r="F159" s="219" t="str">
        <x:v>iterations/I08_native_corrections/REDLINE_FREEZE.json
iterations/I20_controlled_handoff/NATIVE_BINDING.json
current/I21_SOURCE_VERIFICATION.json
current/SOURCE_EFFECTIVITY.json</x:v>
      </x:c>
    </x:row>
    <x:row r="160" ht="62" customHeight="1">
      <x:c r="A160" s="180" t="str">
        <x:v>N08-054</x:v>
      </x:c>
      <x:c r="B160" s="180" t="str">
        <x:v>I08</x:v>
      </x:c>
      <x:c r="C160" s="180" t="str">
        <x:v>CORRECTED NATIVE I20</x:v>
      </x:c>
      <x:c r="D160" s="180" t="str">
        <x:v>Clearance violation (rule 'Protected automotive voltage clearance' clearance 0.2500 mm; actual 0.1616 mm)</x:v>
      </x:c>
      <x:c r="E160" s="180" t="str">
        <x:v>Resolved through the subsequent coordinated native candidate and recorded source changes.</x:v>
      </x:c>
      <x:c r="F160" s="180" t="str">
        <x:v>iterations/I08_native_corrections/REDLINE_FREEZE.json
iterations/I20_controlled_handoff/NATIVE_BINDING.json
current/I21_SOURCE_VERIFICATION.json
current/SOURCE_EFFECTIVITY.json</x:v>
      </x:c>
    </x:row>
    <x:row r="161" ht="62" customHeight="1">
      <x:c r="A161" s="219" t="str">
        <x:v>N08-055</x:v>
      </x:c>
      <x:c r="B161" s="219" t="str">
        <x:v>I08</x:v>
      </x:c>
      <x:c r="C161" s="219" t="str">
        <x:v>CORRECTED NATIVE I20</x:v>
      </x:c>
      <x:c r="D161" s="219" t="str">
        <x:v>Clearance violation (rule 'Protected automotive voltage clearance' clearance 0.2500 mm; actual 0.2250 mm)</x:v>
      </x:c>
      <x:c r="E161" s="219" t="str">
        <x:v>Resolved through the subsequent coordinated native candidate and recorded source changes.</x:v>
      </x:c>
      <x:c r="F161" s="219" t="str">
        <x:v>iterations/I08_native_corrections/REDLINE_FREEZE.json
iterations/I20_controlled_handoff/NATIVE_BINDING.json
current/I21_SOURCE_VERIFICATION.json
current/SOURCE_EFFECTIVITY.json</x:v>
      </x:c>
    </x:row>
    <x:row r="162" ht="62" customHeight="1">
      <x:c r="A162" s="180" t="str">
        <x:v>N08-056</x:v>
      </x:c>
      <x:c r="B162" s="180" t="str">
        <x:v>I08</x:v>
      </x:c>
      <x:c r="C162" s="180" t="str">
        <x:v>CORRECTED NATIVE I20</x:v>
      </x:c>
      <x:c r="D162" s="180" t="str">
        <x:v>Clearance violation (rule 'Protected automotive voltage clearance' clearance 0.2500 mm; actual 0.1616 mm)</x:v>
      </x:c>
      <x:c r="E162" s="180" t="str">
        <x:v>Resolved through the subsequent coordinated native candidate and recorded source changes.</x:v>
      </x:c>
      <x:c r="F162" s="180" t="str">
        <x:v>iterations/I08_native_corrections/REDLINE_FREEZE.json
iterations/I20_controlled_handoff/NATIVE_BINDING.json
current/I21_SOURCE_VERIFICATION.json
current/SOURCE_EFFECTIVITY.json</x:v>
      </x:c>
    </x:row>
    <x:row r="163" ht="62" customHeight="1">
      <x:c r="A163" s="219" t="str">
        <x:v>N08-057</x:v>
      </x:c>
      <x:c r="B163" s="219" t="str">
        <x:v>I08</x:v>
      </x:c>
      <x:c r="C163" s="219" t="str">
        <x:v>CORRECTED NATIVE I20</x:v>
      </x:c>
      <x:c r="D163" s="219" t="str">
        <x:v>Clearance violation (rule 'Logic clearance' clearance 0.1500 mm; actual 0.0500 mm)</x:v>
      </x:c>
      <x:c r="E163" s="219" t="str">
        <x:v>Resolved through the subsequent coordinated native candidate and recorded source changes.</x:v>
      </x:c>
      <x:c r="F163" s="219" t="str">
        <x:v>iterations/I08_native_corrections/REDLINE_FREEZE.json
iterations/I20_controlled_handoff/NATIVE_BINDING.json
current/I21_SOURCE_VERIFICATION.json
current/SOURCE_EFFECTIVITY.json</x:v>
      </x:c>
    </x:row>
    <x:row r="164" ht="62" customHeight="1">
      <x:c r="A164" s="180" t="str">
        <x:v>N08-058</x:v>
      </x:c>
      <x:c r="B164" s="180" t="str">
        <x:v>I08</x:v>
      </x:c>
      <x:c r="C164" s="180" t="str">
        <x:v>CORRECTED NATIVE I20</x:v>
      </x:c>
      <x:c r="D164" s="180" t="str">
        <x:v>Hole clearance violation (board setup constraints hole clearance 0.2500 mm; actual 0.2000 mm)</x:v>
      </x:c>
      <x:c r="E164" s="180" t="str">
        <x:v>Resolved through the subsequent coordinated native candidate and recorded source changes.</x:v>
      </x:c>
      <x:c r="F164" s="180" t="str">
        <x:v>iterations/I08_native_corrections/REDLINE_FREEZE.json
iterations/I20_controlled_handoff/NATIVE_BINDING.json
current/I21_SOURCE_VERIFICATION.json
current/SOURCE_EFFECTIVITY.json</x:v>
      </x:c>
    </x:row>
    <x:row r="165" ht="62" customHeight="1">
      <x:c r="A165" s="219" t="str">
        <x:v>N08-059</x:v>
      </x:c>
      <x:c r="B165" s="219" t="str">
        <x:v>I08</x:v>
      </x:c>
      <x:c r="C165" s="219" t="str">
        <x:v>CORRECTED NATIVE I20</x:v>
      </x:c>
      <x:c r="D165" s="219" t="str">
        <x:v>Items shorting two nets (nets 3V3_VSEL_ADJ and )</x:v>
      </x:c>
      <x:c r="E165" s="219" t="str">
        <x:v>Resolved through the subsequent coordinated native candidate and recorded source changes.</x:v>
      </x:c>
      <x:c r="F165" s="219" t="str">
        <x:v>iterations/I08_native_corrections/REDLINE_FREEZE.json
iterations/I20_controlled_handoff/NATIVE_BINDING.json
current/I21_SOURCE_VERIFICATION.json
current/SOURCE_EFFECTIVITY.json</x:v>
      </x:c>
    </x:row>
    <x:row r="166" ht="62" customHeight="1">
      <x:c r="A166" s="180" t="str">
        <x:v>N08-060</x:v>
      </x:c>
      <x:c r="B166" s="180" t="str">
        <x:v>I08</x:v>
      </x:c>
      <x:c r="C166" s="180" t="str">
        <x:v>CORRECTED NATIVE I20</x:v>
      </x:c>
      <x:c r="D166" s="180" t="str">
        <x:v>Items shorting two nets (nets  and 3V3_VSEL_ADJ)</x:v>
      </x:c>
      <x:c r="E166" s="180" t="str">
        <x:v>Resolved through the subsequent coordinated native candidate and recorded source changes.</x:v>
      </x:c>
      <x:c r="F166" s="180" t="str">
        <x:v>iterations/I08_native_corrections/REDLINE_FREEZE.json
iterations/I20_controlled_handoff/NATIVE_BINDING.json
current/I21_SOURCE_VERIFICATION.json
current/SOURCE_EFFECTIVITY.json</x:v>
      </x:c>
    </x:row>
    <x:row r="167" ht="62" customHeight="1">
      <x:c r="A167" s="219" t="str">
        <x:v>N08-061</x:v>
      </x:c>
      <x:c r="B167" s="219" t="str">
        <x:v>I08</x:v>
      </x:c>
      <x:c r="C167" s="219" t="str">
        <x:v>CORRECTED NATIVE I20</x:v>
      </x:c>
      <x:c r="D167" s="219" t="str">
        <x:v>Clearance violation (rule 'Protected automotive voltage clearance' clearance 0.2500 mm; actual 0.2083 mm)</x:v>
      </x:c>
      <x:c r="E167" s="219" t="str">
        <x:v>Resolved through the subsequent coordinated native candidate and recorded source changes.</x:v>
      </x:c>
      <x:c r="F167" s="219" t="str">
        <x:v>iterations/I08_native_corrections/REDLINE_FREEZE.json
iterations/I20_controlled_handoff/NATIVE_BINDING.json
current/I21_SOURCE_VERIFICATION.json
current/SOURCE_EFFECTIVITY.json</x:v>
      </x:c>
    </x:row>
    <x:row r="168" ht="62" customHeight="1">
      <x:c r="A168" s="180" t="str">
        <x:v>N08-062</x:v>
      </x:c>
      <x:c r="B168" s="180" t="str">
        <x:v>I08</x:v>
      </x:c>
      <x:c r="C168" s="180" t="str">
        <x:v>CORRECTED NATIVE I20</x:v>
      </x:c>
      <x:c r="D168" s="180" t="str">
        <x:v>Clearance violation (rule 'Protected automotive voltage clearance' clearance 0.2500 mm; actual 0.2083 mm)</x:v>
      </x:c>
      <x:c r="E168" s="180" t="str">
        <x:v>Resolved through the subsequent coordinated native candidate and recorded source changes.</x:v>
      </x:c>
      <x:c r="F168" s="180" t="str">
        <x:v>iterations/I08_native_corrections/REDLINE_FREEZE.json
iterations/I20_controlled_handoff/NATIVE_BINDING.json
current/I21_SOURCE_VERIFICATION.json
current/SOURCE_EFFECTIVITY.json</x:v>
      </x:c>
    </x:row>
    <x:row r="169" ht="62" customHeight="1">
      <x:c r="A169" s="219" t="str">
        <x:v>N08-063</x:v>
      </x:c>
      <x:c r="B169" s="219" t="str">
        <x:v>I08</x:v>
      </x:c>
      <x:c r="C169" s="219" t="str">
        <x:v>CORRECTED NATIVE I20</x:v>
      </x:c>
      <x:c r="D169" s="219" t="str">
        <x:v>Clearance violation (rule 'Protected automotive voltage clearance' clearance 0.2500 mm; actual 0.2364 mm)</x:v>
      </x:c>
      <x:c r="E169" s="219" t="str">
        <x:v>Resolved through the subsequent coordinated native candidate and recorded source changes.</x:v>
      </x:c>
      <x:c r="F169" s="219" t="str">
        <x:v>iterations/I08_native_corrections/REDLINE_FREEZE.json
iterations/I20_controlled_handoff/NATIVE_BINDING.json
current/I21_SOURCE_VERIFICATION.json
current/SOURCE_EFFECTIVITY.json</x:v>
      </x:c>
    </x:row>
    <x:row r="170" ht="62" customHeight="1">
      <x:c r="A170" s="180" t="str">
        <x:v>N08-064</x:v>
      </x:c>
      <x:c r="B170" s="180" t="str">
        <x:v>I08</x:v>
      </x:c>
      <x:c r="C170" s="180" t="str">
        <x:v>CORRECTED NATIVE I20</x:v>
      </x:c>
      <x:c r="D170" s="180" t="str">
        <x:v>Clearance violation (rule 'Protected automotive voltage clearance' clearance 0.2500 mm; actual 0.1831 mm)</x:v>
      </x:c>
      <x:c r="E170" s="180" t="str">
        <x:v>Resolved through the subsequent coordinated native candidate and recorded source changes.</x:v>
      </x:c>
      <x:c r="F170" s="180" t="str">
        <x:v>iterations/I08_native_corrections/REDLINE_FREEZE.json
iterations/I20_controlled_handoff/NATIVE_BINDING.json
current/I21_SOURCE_VERIFICATION.json
current/SOURCE_EFFECTIVITY.json</x:v>
      </x:c>
    </x:row>
    <x:row r="171" ht="62" customHeight="1">
      <x:c r="A171" s="219" t="str">
        <x:v>N08-065</x:v>
      </x:c>
      <x:c r="B171" s="219" t="str">
        <x:v>I08</x:v>
      </x:c>
      <x:c r="C171" s="219" t="str">
        <x:v>CORRECTED NATIVE I20</x:v>
      </x:c>
      <x:c r="D171" s="219" t="str">
        <x:v>Clearance violation (rule 'Protected automotive voltage clearance' clearance 0.2500 mm; actual 0.2051 mm)</x:v>
      </x:c>
      <x:c r="E171" s="219" t="str">
        <x:v>Resolved through the subsequent coordinated native candidate and recorded source changes.</x:v>
      </x:c>
      <x:c r="F171" s="219" t="str">
        <x:v>iterations/I08_native_corrections/REDLINE_FREEZE.json
iterations/I20_controlled_handoff/NATIVE_BINDING.json
current/I21_SOURCE_VERIFICATION.json
current/SOURCE_EFFECTIVITY.json</x:v>
      </x:c>
    </x:row>
    <x:row r="172" ht="62" customHeight="1">
      <x:c r="A172" s="180" t="str">
        <x:v>N08-066</x:v>
      </x:c>
      <x:c r="B172" s="180" t="str">
        <x:v>I08</x:v>
      </x:c>
      <x:c r="C172" s="180" t="str">
        <x:v>CORRECTED NATIVE I20</x:v>
      </x:c>
      <x:c r="D172" s="180" t="str">
        <x:v>Clearance violation (rule 'Protected automotive voltage clearance' clearance 0.2500 mm; actual 0.2364 mm)</x:v>
      </x:c>
      <x:c r="E172" s="180" t="str">
        <x:v>Resolved through the subsequent coordinated native candidate and recorded source changes.</x:v>
      </x:c>
      <x:c r="F172" s="180" t="str">
        <x:v>iterations/I08_native_corrections/REDLINE_FREEZE.json
iterations/I20_controlled_handoff/NATIVE_BINDING.json
current/I21_SOURCE_VERIFICATION.json
current/SOURCE_EFFECTIVITY.json</x:v>
      </x:c>
    </x:row>
    <x:row r="173" ht="62" customHeight="1">
      <x:c r="A173" s="219" t="str">
        <x:v>N08-067</x:v>
      </x:c>
      <x:c r="B173" s="219" t="str">
        <x:v>I08</x:v>
      </x:c>
      <x:c r="C173" s="219" t="str">
        <x:v>CORRECTED NATIVE I20</x:v>
      </x:c>
      <x:c r="D173" s="219" t="str">
        <x:v>Clearance violation (rule 'Protected automotive voltage clearance' clearance 0.2500 mm; actual 0.1831 mm)</x:v>
      </x:c>
      <x:c r="E173" s="219" t="str">
        <x:v>Resolved through the subsequent coordinated native candidate and recorded source changes.</x:v>
      </x:c>
      <x:c r="F173" s="219" t="str">
        <x:v>iterations/I08_native_corrections/REDLINE_FREEZE.json
iterations/I20_controlled_handoff/NATIVE_BINDING.json
current/I21_SOURCE_VERIFICATION.json
current/SOURCE_EFFECTIVITY.json</x:v>
      </x:c>
    </x:row>
    <x:row r="174" ht="62" customHeight="1">
      <x:c r="A174" s="180" t="str">
        <x:v>N08-068</x:v>
      </x:c>
      <x:c r="B174" s="180" t="str">
        <x:v>I08</x:v>
      </x:c>
      <x:c r="C174" s="180" t="str">
        <x:v>CORRECTED NATIVE I20</x:v>
      </x:c>
      <x:c r="D174" s="180" t="str">
        <x:v>Clearance violation (rule 'Protected automotive voltage clearance' clearance 0.2500 mm; actual 0.2051 mm)</x:v>
      </x:c>
      <x:c r="E174" s="180" t="str">
        <x:v>Resolved through the subsequent coordinated native candidate and recorded source changes.</x:v>
      </x:c>
      <x:c r="F174" s="180" t="str">
        <x:v>iterations/I08_native_corrections/REDLINE_FREEZE.json
iterations/I20_controlled_handoff/NATIVE_BINDING.json
current/I21_SOURCE_VERIFICATION.json
current/SOURCE_EFFECTIVITY.json</x:v>
      </x:c>
    </x:row>
    <x:row r="175" ht="62" customHeight="1">
      <x:c r="A175" s="219" t="str">
        <x:v>N08-069</x:v>
      </x:c>
      <x:c r="B175" s="219" t="str">
        <x:v>I08</x:v>
      </x:c>
      <x:c r="C175" s="219" t="str">
        <x:v>CORRECTED NATIVE I20</x:v>
      </x:c>
      <x:c r="D175" s="219" t="str">
        <x:v>Clearance violation (rule 'Protected automotive voltage clearance' clearance 0.2500 mm; actual 0.2364 mm)</x:v>
      </x:c>
      <x:c r="E175" s="219" t="str">
        <x:v>Resolved through the subsequent coordinated native candidate and recorded source changes.</x:v>
      </x:c>
      <x:c r="F175" s="219" t="str">
        <x:v>iterations/I08_native_corrections/REDLINE_FREEZE.json
iterations/I20_controlled_handoff/NATIVE_BINDING.json
current/I21_SOURCE_VERIFICATION.json
current/SOURCE_EFFECTIVITY.json</x:v>
      </x:c>
    </x:row>
    <x:row r="176" ht="62" customHeight="1">
      <x:c r="A176" s="180" t="str">
        <x:v>N08-070</x:v>
      </x:c>
      <x:c r="B176" s="180" t="str">
        <x:v>I08</x:v>
      </x:c>
      <x:c r="C176" s="180" t="str">
        <x:v>CORRECTED NATIVE I20</x:v>
      </x:c>
      <x:c r="D176" s="180" t="str">
        <x:v>Clearance violation (rule 'Protected automotive voltage clearance' clearance 0.2500 mm; actual 0.1831 mm)</x:v>
      </x:c>
      <x:c r="E176" s="180" t="str">
        <x:v>Resolved through the subsequent coordinated native candidate and recorded source changes.</x:v>
      </x:c>
      <x:c r="F176" s="180" t="str">
        <x:v>iterations/I08_native_corrections/REDLINE_FREEZE.json
iterations/I20_controlled_handoff/NATIVE_BINDING.json
current/I21_SOURCE_VERIFICATION.json
current/SOURCE_EFFECTIVITY.json</x:v>
      </x:c>
    </x:row>
    <x:row r="177" ht="62" customHeight="1">
      <x:c r="A177" s="219" t="str">
        <x:v>N08-071</x:v>
      </x:c>
      <x:c r="B177" s="219" t="str">
        <x:v>I08</x:v>
      </x:c>
      <x:c r="C177" s="219" t="str">
        <x:v>CORRECTED NATIVE I20</x:v>
      </x:c>
      <x:c r="D177" s="219" t="str">
        <x:v>Clearance violation (rule 'Protected automotive voltage clearance' clearance 0.2500 mm; actual 0.1831 mm)</x:v>
      </x:c>
      <x:c r="E177" s="219" t="str">
        <x:v>Resolved through the subsequent coordinated native candidate and recorded source changes.</x:v>
      </x:c>
      <x:c r="F177" s="219" t="str">
        <x:v>iterations/I08_native_corrections/REDLINE_FREEZE.json
iterations/I20_controlled_handoff/NATIVE_BINDING.json
current/I21_SOURCE_VERIFICATION.json
current/SOURCE_EFFECTIVITY.json</x:v>
      </x:c>
    </x:row>
    <x:row r="178" ht="62" customHeight="1">
      <x:c r="A178" s="180" t="str">
        <x:v>N08-072</x:v>
      </x:c>
      <x:c r="B178" s="180" t="str">
        <x:v>I08</x:v>
      </x:c>
      <x:c r="C178" s="180" t="str">
        <x:v>CORRECTED NATIVE I20</x:v>
      </x:c>
      <x:c r="D178" s="180" t="str">
        <x:v>Clearance violation (rule 'Protected automotive voltage clearance' clearance 0.2500 mm; actual 0.2250 mm)</x:v>
      </x:c>
      <x:c r="E178" s="180" t="str">
        <x:v>Resolved through the subsequent coordinated native candidate and recorded source changes.</x:v>
      </x:c>
      <x:c r="F178" s="180" t="str">
        <x:v>iterations/I08_native_corrections/REDLINE_FREEZE.json
iterations/I20_controlled_handoff/NATIVE_BINDING.json
current/I21_SOURCE_VERIFICATION.json
current/SOURCE_EFFECTIVITY.json</x:v>
      </x:c>
    </x:row>
    <x:row r="179" ht="62" customHeight="1">
      <x:c r="A179" s="219" t="str">
        <x:v>N08-073</x:v>
      </x:c>
      <x:c r="B179" s="219" t="str">
        <x:v>I08</x:v>
      </x:c>
      <x:c r="C179" s="219" t="str">
        <x:v>CORRECTED NATIVE I20</x:v>
      </x:c>
      <x:c r="D179" s="219" t="str">
        <x:v>Clearance violation (rule 'Protected automotive voltage clearance' clearance 0.2500 mm; actual 0.2364 mm)</x:v>
      </x:c>
      <x:c r="E179" s="219" t="str">
        <x:v>Resolved through the subsequent coordinated native candidate and recorded source changes.</x:v>
      </x:c>
      <x:c r="F179" s="219" t="str">
        <x:v>iterations/I08_native_corrections/REDLINE_FREEZE.json
iterations/I20_controlled_handoff/NATIVE_BINDING.json
current/I21_SOURCE_VERIFICATION.json
current/SOURCE_EFFECTIVITY.json</x:v>
      </x:c>
    </x:row>
    <x:row r="180" ht="62" customHeight="1">
      <x:c r="A180" s="180" t="str">
        <x:v>N08-074</x:v>
      </x:c>
      <x:c r="B180" s="180" t="str">
        <x:v>I08</x:v>
      </x:c>
      <x:c r="C180" s="180" t="str">
        <x:v>CORRECTED NATIVE I20</x:v>
      </x:c>
      <x:c r="D180" s="180" t="str">
        <x:v>Clearance violation (rule 'Protected automotive voltage clearance' clearance 0.2500 mm; actual 0.2083 mm)</x:v>
      </x:c>
      <x:c r="E180" s="180" t="str">
        <x:v>Resolved through the subsequent coordinated native candidate and recorded source changes.</x:v>
      </x:c>
      <x:c r="F180" s="180" t="str">
        <x:v>iterations/I08_native_corrections/REDLINE_FREEZE.json
iterations/I20_controlled_handoff/NATIVE_BINDING.json
current/I21_SOURCE_VERIFICATION.json
current/SOURCE_EFFECTIVITY.json</x:v>
      </x:c>
    </x:row>
    <x:row r="181" ht="62" customHeight="1">
      <x:c r="A181" s="219" t="str">
        <x:v>N08-075</x:v>
      </x:c>
      <x:c r="B181" s="219" t="str">
        <x:v>I08</x:v>
      </x:c>
      <x:c r="C181" s="219" t="str">
        <x:v>CORRECTED NATIVE I20</x:v>
      </x:c>
      <x:c r="D181" s="219" t="str">
        <x:v>Clearance violation (rule 'Protected automotive voltage clearance' clearance 0.2500 mm; actual 0.1831 mm)</x:v>
      </x:c>
      <x:c r="E181" s="219" t="str">
        <x:v>Resolved through the subsequent coordinated native candidate and recorded source changes.</x:v>
      </x:c>
      <x:c r="F181" s="219" t="str">
        <x:v>iterations/I08_native_corrections/REDLINE_FREEZE.json
iterations/I20_controlled_handoff/NATIVE_BINDING.json
current/I21_SOURCE_VERIFICATION.json
current/SOURCE_EFFECTIVITY.json</x:v>
      </x:c>
    </x:row>
    <x:row r="182" ht="62" customHeight="1">
      <x:c r="A182" s="180" t="str">
        <x:v>N08-076</x:v>
      </x:c>
      <x:c r="B182" s="180" t="str">
        <x:v>I08</x:v>
      </x:c>
      <x:c r="C182" s="180" t="str">
        <x:v>CORRECTED NATIVE I20</x:v>
      </x:c>
      <x:c r="D182" s="180" t="str">
        <x:v>Clearance violation (rule 'Protected automotive voltage clearance' clearance 0.2500 mm; actual 0.2083 mm)</x:v>
      </x:c>
      <x:c r="E182" s="180" t="str">
        <x:v>Resolved through the subsequent coordinated native candidate and recorded source changes.</x:v>
      </x:c>
      <x:c r="F182" s="180" t="str">
        <x:v>iterations/I08_native_corrections/REDLINE_FREEZE.json
iterations/I20_controlled_handoff/NATIVE_BINDING.json
current/I21_SOURCE_VERIFICATION.json
current/SOURCE_EFFECTIVITY.json</x:v>
      </x:c>
    </x:row>
    <x:row r="183" ht="62" customHeight="1">
      <x:c r="A183" s="219" t="str">
        <x:v>N08-077</x:v>
      </x:c>
      <x:c r="B183" s="219" t="str">
        <x:v>I08</x:v>
      </x:c>
      <x:c r="C183" s="219" t="str">
        <x:v>CORRECTED NATIVE I20</x:v>
      </x:c>
      <x:c r="D183" s="219" t="str">
        <x:v>Clearance violation (rule 'Protected automotive voltage clearance' clearance 0.2500 mm; actual 0.1831 mm)</x:v>
      </x:c>
      <x:c r="E183" s="219" t="str">
        <x:v>Resolved through the subsequent coordinated native candidate and recorded source changes.</x:v>
      </x:c>
      <x:c r="F183" s="219" t="str">
        <x:v>iterations/I08_native_corrections/REDLINE_FREEZE.json
iterations/I20_controlled_handoff/NATIVE_BINDING.json
current/I21_SOURCE_VERIFICATION.json
current/SOURCE_EFFECTIVITY.json</x:v>
      </x:c>
    </x:row>
    <x:row r="184" ht="62" customHeight="1">
      <x:c r="A184" s="180" t="str">
        <x:v>N08-078</x:v>
      </x:c>
      <x:c r="B184" s="180" t="str">
        <x:v>I08</x:v>
      </x:c>
      <x:c r="C184" s="180" t="str">
        <x:v>CORRECTED NATIVE I20</x:v>
      </x:c>
      <x:c r="D184" s="180" t="str">
        <x:v>Clearance violation (rule 'Protected automotive voltage clearance' clearance 0.2500 mm; actual 0.2083 mm)</x:v>
      </x:c>
      <x:c r="E184" s="180" t="str">
        <x:v>Resolved through the subsequent coordinated native candidate and recorded source changes.</x:v>
      </x:c>
      <x:c r="F184" s="180" t="str">
        <x:v>iterations/I08_native_corrections/REDLINE_FREEZE.json
iterations/I20_controlled_handoff/NATIVE_BINDING.json
current/I21_SOURCE_VERIFICATION.json
current/SOURCE_EFFECTIVITY.json</x:v>
      </x:c>
    </x:row>
    <x:row r="185" ht="62" customHeight="1">
      <x:c r="A185" s="219" t="str">
        <x:v>N08-079</x:v>
      </x:c>
      <x:c r="B185" s="219" t="str">
        <x:v>I08</x:v>
      </x:c>
      <x:c r="C185" s="219" t="str">
        <x:v>CORRECTED NATIVE I20</x:v>
      </x:c>
      <x:c r="D185" s="219" t="str">
        <x:v>Clearance violation (rule 'Protected automotive voltage clearance' clearance 0.2500 mm; actual 0.1708 mm)</x:v>
      </x:c>
      <x:c r="E185" s="219" t="str">
        <x:v>Resolved through the subsequent coordinated native candidate and recorded source changes.</x:v>
      </x:c>
      <x:c r="F185" s="219" t="str">
        <x:v>iterations/I08_native_corrections/REDLINE_FREEZE.json
iterations/I20_controlled_handoff/NATIVE_BINDING.json
current/I21_SOURCE_VERIFICATION.json
current/SOURCE_EFFECTIVITY.json</x:v>
      </x:c>
    </x:row>
    <x:row r="186" ht="62" customHeight="1">
      <x:c r="A186" s="180" t="str">
        <x:v>N08-080</x:v>
      </x:c>
      <x:c r="B186" s="180" t="str">
        <x:v>I08</x:v>
      </x:c>
      <x:c r="C186" s="180" t="str">
        <x:v>CORRECTED NATIVE I20</x:v>
      </x:c>
      <x:c r="D186" s="180" t="str">
        <x:v>Clearance violation (rule 'Protected automotive voltage clearance' clearance 0.2500 mm; actual 0.2403 mm)</x:v>
      </x:c>
      <x:c r="E186" s="180" t="str">
        <x:v>Resolved through the subsequent coordinated native candidate and recorded source changes.</x:v>
      </x:c>
      <x:c r="F186" s="180" t="str">
        <x:v>iterations/I08_native_corrections/REDLINE_FREEZE.json
iterations/I20_controlled_handoff/NATIVE_BINDING.json
current/I21_SOURCE_VERIFICATION.json
current/SOURCE_EFFECTIVITY.json</x:v>
      </x:c>
    </x:row>
    <x:row r="187" ht="62" customHeight="1">
      <x:c r="A187" s="219" t="str">
        <x:v>N08-081</x:v>
      </x:c>
      <x:c r="B187" s="219" t="str">
        <x:v>I08</x:v>
      </x:c>
      <x:c r="C187" s="219" t="str">
        <x:v>CORRECTED NATIVE I20</x:v>
      </x:c>
      <x:c r="D187" s="219" t="str">
        <x:v>Clearance violation (rule 'Protected automotive voltage clearance' clearance 0.2500 mm; actual 0.1831 mm)</x:v>
      </x:c>
      <x:c r="E187" s="219" t="str">
        <x:v>Resolved through the subsequent coordinated native candidate and recorded source changes.</x:v>
      </x:c>
      <x:c r="F187" s="219" t="str">
        <x:v>iterations/I08_native_corrections/REDLINE_FREEZE.json
iterations/I20_controlled_handoff/NATIVE_BINDING.json
current/I21_SOURCE_VERIFICATION.json
current/SOURCE_EFFECTIVITY.json</x:v>
      </x:c>
    </x:row>
    <x:row r="188" ht="62" customHeight="1">
      <x:c r="A188" s="180" t="str">
        <x:v>N08-082</x:v>
      </x:c>
      <x:c r="B188" s="180" t="str">
        <x:v>I08</x:v>
      </x:c>
      <x:c r="C188" s="180" t="str">
        <x:v>CORRECTED NATIVE I20</x:v>
      </x:c>
      <x:c r="D188" s="180" t="str">
        <x:v>Clearance violation (rule 'Protected automotive voltage clearance' clearance 0.2500 mm; actual 0.2403 mm)</x:v>
      </x:c>
      <x:c r="E188" s="180" t="str">
        <x:v>Resolved through the subsequent coordinated native candidate and recorded source changes.</x:v>
      </x:c>
      <x:c r="F188" s="180" t="str">
        <x:v>iterations/I08_native_corrections/REDLINE_FREEZE.json
iterations/I20_controlled_handoff/NATIVE_BINDING.json
current/I21_SOURCE_VERIFICATION.json
current/SOURCE_EFFECTIVITY.json</x:v>
      </x:c>
    </x:row>
    <x:row r="189" ht="62" customHeight="1">
      <x:c r="A189" s="219" t="str">
        <x:v>N08-083</x:v>
      </x:c>
      <x:c r="B189" s="219" t="str">
        <x:v>I08</x:v>
      </x:c>
      <x:c r="C189" s="219" t="str">
        <x:v>CORRECTED NATIVE I20</x:v>
      </x:c>
      <x:c r="D189" s="219" t="str">
        <x:v>Clearance violation (rule 'Protected automotive voltage clearance' clearance 0.2500 mm; actual 0.1708 mm)</x:v>
      </x:c>
      <x:c r="E189" s="219" t="str">
        <x:v>Resolved through the subsequent coordinated native candidate and recorded source changes.</x:v>
      </x:c>
      <x:c r="F189" s="219" t="str">
        <x:v>iterations/I08_native_corrections/REDLINE_FREEZE.json
iterations/I20_controlled_handoff/NATIVE_BINDING.json
current/I21_SOURCE_VERIFICATION.json
current/SOURCE_EFFECTIVITY.json</x:v>
      </x:c>
    </x:row>
    <x:row r="190" ht="62" customHeight="1">
      <x:c r="A190" s="180" t="str">
        <x:v>N08-084</x:v>
      </x:c>
      <x:c r="B190" s="180" t="str">
        <x:v>I08</x:v>
      </x:c>
      <x:c r="C190" s="180" t="str">
        <x:v>CORRECTED NATIVE I20</x:v>
      </x:c>
      <x:c r="D190" s="180" t="str">
        <x:v>Clearance violation (rule 'Protected automotive voltage clearance' clearance 0.2500 mm; actual 0.2000 mm)</x:v>
      </x:c>
      <x:c r="E190" s="180" t="str">
        <x:v>Resolved through the subsequent coordinated native candidate and recorded source changes.</x:v>
      </x:c>
      <x:c r="F190" s="180" t="str">
        <x:v>iterations/I08_native_corrections/REDLINE_FREEZE.json
iterations/I20_controlled_handoff/NATIVE_BINDING.json
current/I21_SOURCE_VERIFICATION.json
current/SOURCE_EFFECTIVITY.json</x:v>
      </x:c>
    </x:row>
    <x:row r="191" ht="62" customHeight="1">
      <x:c r="A191" s="219" t="str">
        <x:v>N08-085</x:v>
      </x:c>
      <x:c r="B191" s="219" t="str">
        <x:v>I08</x:v>
      </x:c>
      <x:c r="C191" s="219" t="str">
        <x:v>CORRECTED NATIVE I20</x:v>
      </x:c>
      <x:c r="D191" s="219" t="str">
        <x:v>Clearance violation (rule 'Protected automotive voltage clearance' clearance 0.2500 mm; actual 0.2083 mm)</x:v>
      </x:c>
      <x:c r="E191" s="219" t="str">
        <x:v>Resolved through the subsequent coordinated native candidate and recorded source changes.</x:v>
      </x:c>
      <x:c r="F191" s="219" t="str">
        <x:v>iterations/I08_native_corrections/REDLINE_FREEZE.json
iterations/I20_controlled_handoff/NATIVE_BINDING.json
current/I21_SOURCE_VERIFICATION.json
current/SOURCE_EFFECTIVITY.json</x:v>
      </x:c>
    </x:row>
    <x:row r="192" ht="62" customHeight="1">
      <x:c r="A192" s="180" t="str">
        <x:v>N08-086</x:v>
      </x:c>
      <x:c r="B192" s="180" t="str">
        <x:v>I08</x:v>
      </x:c>
      <x:c r="C192" s="180" t="str">
        <x:v>CORRECTED NATIVE I20</x:v>
      </x:c>
      <x:c r="D192" s="180" t="str">
        <x:v>Clearance violation (rule 'Protected automotive voltage clearance' clearance 0.2500 mm; actual 0.2071 mm)</x:v>
      </x:c>
      <x:c r="E192" s="180" t="str">
        <x:v>Resolved through the subsequent coordinated native candidate and recorded source changes.</x:v>
      </x:c>
      <x:c r="F192" s="180" t="str">
        <x:v>iterations/I08_native_corrections/REDLINE_FREEZE.json
iterations/I20_controlled_handoff/NATIVE_BINDING.json
current/I21_SOURCE_VERIFICATION.json
current/SOURCE_EFFECTIVITY.json</x:v>
      </x:c>
    </x:row>
    <x:row r="193" ht="62" customHeight="1">
      <x:c r="A193" s="219" t="str">
        <x:v>N08-087</x:v>
      </x:c>
      <x:c r="B193" s="219" t="str">
        <x:v>I08</x:v>
      </x:c>
      <x:c r="C193" s="219" t="str">
        <x:v>CORRECTED NATIVE I20</x:v>
      </x:c>
      <x:c r="D193" s="219" t="str">
        <x:v>Clearance violation (rule 'Protected automotive voltage clearance' clearance 0.2500 mm; actual 0.2364 mm)</x:v>
      </x:c>
      <x:c r="E193" s="219" t="str">
        <x:v>Resolved through the subsequent coordinated native candidate and recorded source changes.</x:v>
      </x:c>
      <x:c r="F193" s="219" t="str">
        <x:v>iterations/I08_native_corrections/REDLINE_FREEZE.json
iterations/I20_controlled_handoff/NATIVE_BINDING.json
current/I21_SOURCE_VERIFICATION.json
current/SOURCE_EFFECTIVITY.json</x:v>
      </x:c>
    </x:row>
    <x:row r="194" ht="62" customHeight="1">
      <x:c r="A194" s="180" t="str">
        <x:v>N08-088</x:v>
      </x:c>
      <x:c r="B194" s="180" t="str">
        <x:v>I08</x:v>
      </x:c>
      <x:c r="C194" s="180" t="str">
        <x:v>CORRECTED NATIVE I20</x:v>
      </x:c>
      <x:c r="D194" s="180" t="str">
        <x:v>Clearance violation (rule 'Protected automotive voltage clearance' clearance 0.2500 mm; actual 0.2071 mm)</x:v>
      </x:c>
      <x:c r="E194" s="180" t="str">
        <x:v>Resolved through the subsequent coordinated native candidate and recorded source changes.</x:v>
      </x:c>
      <x:c r="F194" s="180" t="str">
        <x:v>iterations/I08_native_corrections/REDLINE_FREEZE.json
iterations/I20_controlled_handoff/NATIVE_BINDING.json
current/I21_SOURCE_VERIFICATION.json
current/SOURCE_EFFECTIVITY.json</x:v>
      </x:c>
    </x:row>
    <x:row r="195" ht="62" customHeight="1">
      <x:c r="A195" s="219" t="str">
        <x:v>N08-089</x:v>
      </x:c>
      <x:c r="B195" s="219" t="str">
        <x:v>I08</x:v>
      </x:c>
      <x:c r="C195" s="219" t="str">
        <x:v>CORRECTED NATIVE I20</x:v>
      </x:c>
      <x:c r="D195" s="219" t="str">
        <x:v>Clearance violation (rule 'Protected automotive voltage clearance' clearance 0.2500 mm; actual 0.1831 mm)</x:v>
      </x:c>
      <x:c r="E195" s="219" t="str">
        <x:v>Resolved through the subsequent coordinated native candidate and recorded source changes.</x:v>
      </x:c>
      <x:c r="F195" s="219" t="str">
        <x:v>iterations/I08_native_corrections/REDLINE_FREEZE.json
iterations/I20_controlled_handoff/NATIVE_BINDING.json
current/I21_SOURCE_VERIFICATION.json
current/SOURCE_EFFECTIVITY.json</x:v>
      </x:c>
    </x:row>
    <x:row r="196" ht="62" customHeight="1">
      <x:c r="A196" s="180" t="str">
        <x:v>N08-090</x:v>
      </x:c>
      <x:c r="B196" s="180" t="str">
        <x:v>I08</x:v>
      </x:c>
      <x:c r="C196" s="180" t="str">
        <x:v>CORRECTED NATIVE I20</x:v>
      </x:c>
      <x:c r="D196" s="180" t="str">
        <x:v>Clearance violation (rule 'Protected automotive voltage clearance' clearance 0.2500 mm; actual 0.1831 mm)</x:v>
      </x:c>
      <x:c r="E196" s="180" t="str">
        <x:v>Resolved through the subsequent coordinated native candidate and recorded source changes.</x:v>
      </x:c>
      <x:c r="F196" s="180" t="str">
        <x:v>iterations/I08_native_corrections/REDLINE_FREEZE.json
iterations/I20_controlled_handoff/NATIVE_BINDING.json
current/I21_SOURCE_VERIFICATION.json
current/SOURCE_EFFECTIVITY.json</x:v>
      </x:c>
    </x:row>
    <x:row r="197" ht="62" customHeight="1">
      <x:c r="A197" s="219" t="str">
        <x:v>N08-091</x:v>
      </x:c>
      <x:c r="B197" s="219" t="str">
        <x:v>I08</x:v>
      </x:c>
      <x:c r="C197" s="219" t="str">
        <x:v>CORRECTED NATIVE I20</x:v>
      </x:c>
      <x:c r="D197" s="219" t="str">
        <x:v>Clearance violation (rule 'Protected automotive voltage clearance' clearance 0.2500 mm; actual 0.1831 mm)</x:v>
      </x:c>
      <x:c r="E197" s="219" t="str">
        <x:v>Resolved through the subsequent coordinated native candidate and recorded source changes.</x:v>
      </x:c>
      <x:c r="F197" s="219" t="str">
        <x:v>iterations/I08_native_corrections/REDLINE_FREEZE.json
iterations/I20_controlled_handoff/NATIVE_BINDING.json
current/I21_SOURCE_VERIFICATION.json
current/SOURCE_EFFECTIVITY.json</x:v>
      </x:c>
    </x:row>
    <x:row r="198" ht="62" customHeight="1">
      <x:c r="A198" s="180" t="str">
        <x:v>N08-092</x:v>
      </x:c>
      <x:c r="B198" s="180" t="str">
        <x:v>I08</x:v>
      </x:c>
      <x:c r="C198" s="180" t="str">
        <x:v>CORRECTED NATIVE I20</x:v>
      </x:c>
      <x:c r="D198" s="180" t="str">
        <x:v>Clearance violation (rule 'Protected automotive voltage clearance' clearance 0.2500 mm; actual 0.2403 mm)</x:v>
      </x:c>
      <x:c r="E198" s="180" t="str">
        <x:v>Resolved through the subsequent coordinated native candidate and recorded source changes.</x:v>
      </x:c>
      <x:c r="F198" s="180" t="str">
        <x:v>iterations/I08_native_corrections/REDLINE_FREEZE.json
iterations/I20_controlled_handoff/NATIVE_BINDING.json
current/I21_SOURCE_VERIFICATION.json
current/SOURCE_EFFECTIVITY.json</x:v>
      </x:c>
    </x:row>
    <x:row r="199" ht="62" customHeight="1">
      <x:c r="A199" s="219" t="str">
        <x:v>N08-093</x:v>
      </x:c>
      <x:c r="B199" s="219" t="str">
        <x:v>I08</x:v>
      </x:c>
      <x:c r="C199" s="219" t="str">
        <x:v>CORRECTED NATIVE I20</x:v>
      </x:c>
      <x:c r="D199" s="219" t="str">
        <x:v>Clearance violation (rule 'Protected automotive voltage clearance' clearance 0.2500 mm; actual 0.2083 mm)</x:v>
      </x:c>
      <x:c r="E199" s="219" t="str">
        <x:v>Resolved through the subsequent coordinated native candidate and recorded source changes.</x:v>
      </x:c>
      <x:c r="F199" s="219" t="str">
        <x:v>iterations/I08_native_corrections/REDLINE_FREEZE.json
iterations/I20_controlled_handoff/NATIVE_BINDING.json
current/I21_SOURCE_VERIFICATION.json
current/SOURCE_EFFECTIVITY.json</x:v>
      </x:c>
    </x:row>
    <x:row r="200" ht="62" customHeight="1">
      <x:c r="A200" s="180" t="str">
        <x:v>N08-094</x:v>
      </x:c>
      <x:c r="B200" s="180" t="str">
        <x:v>I08</x:v>
      </x:c>
      <x:c r="C200" s="180" t="str">
        <x:v>CORRECTED NATIVE I20</x:v>
      </x:c>
      <x:c r="D200" s="180" t="str">
        <x:v>Clearance violation (rule 'Protected automotive voltage clearance' clearance 0.2500 mm; actual 0.1831 mm)</x:v>
      </x:c>
      <x:c r="E200" s="180" t="str">
        <x:v>Resolved through the subsequent coordinated native candidate and recorded source changes.</x:v>
      </x:c>
      <x:c r="F200" s="180" t="str">
        <x:v>iterations/I08_native_corrections/REDLINE_FREEZE.json
iterations/I20_controlled_handoff/NATIVE_BINDING.json
current/I21_SOURCE_VERIFICATION.json
current/SOURCE_EFFECTIVITY.json</x:v>
      </x:c>
    </x:row>
    <x:row r="201" ht="62" customHeight="1">
      <x:c r="A201" s="219" t="str">
        <x:v>N08-095</x:v>
      </x:c>
      <x:c r="B201" s="219" t="str">
        <x:v>I08</x:v>
      </x:c>
      <x:c r="C201" s="219" t="str">
        <x:v>CORRECTED NATIVE I20</x:v>
      </x:c>
      <x:c r="D201" s="219" t="str">
        <x:v>Clearance violation (rule 'Protected automotive voltage clearance' clearance 0.2500 mm; actual 0.2403 mm)</x:v>
      </x:c>
      <x:c r="E201" s="219" t="str">
        <x:v>Resolved through the subsequent coordinated native candidate and recorded source changes.</x:v>
      </x:c>
      <x:c r="F201" s="219" t="str">
        <x:v>iterations/I08_native_corrections/REDLINE_FREEZE.json
iterations/I20_controlled_handoff/NATIVE_BINDING.json
current/I21_SOURCE_VERIFICATION.json
current/SOURCE_EFFECTIVITY.json</x:v>
      </x:c>
    </x:row>
    <x:row r="202" ht="62" customHeight="1">
      <x:c r="A202" s="180" t="str">
        <x:v>N08-096</x:v>
      </x:c>
      <x:c r="B202" s="180" t="str">
        <x:v>I08</x:v>
      </x:c>
      <x:c r="C202" s="180" t="str">
        <x:v>CORRECTED NATIVE I20</x:v>
      </x:c>
      <x:c r="D202" s="180" t="str">
        <x:v>Clearance violation (rule 'Protected automotive voltage clearance' clearance 0.2500 mm; actual 0.2000 mm)</x:v>
      </x:c>
      <x:c r="E202" s="180" t="str">
        <x:v>Resolved through the subsequent coordinated native candidate and recorded source changes.</x:v>
      </x:c>
      <x:c r="F202" s="180" t="str">
        <x:v>iterations/I08_native_corrections/REDLINE_FREEZE.json
iterations/I20_controlled_handoff/NATIVE_BINDING.json
current/I21_SOURCE_VERIFICATION.json
current/SOURCE_EFFECTIVITY.json</x:v>
      </x:c>
    </x:row>
    <x:row r="203" ht="62" customHeight="1">
      <x:c r="A203" s="219" t="str">
        <x:v>N08-097</x:v>
      </x:c>
      <x:c r="B203" s="219" t="str">
        <x:v>I08</x:v>
      </x:c>
      <x:c r="C203" s="219" t="str">
        <x:v>CORRECTED NATIVE I20</x:v>
      </x:c>
      <x:c r="D203" s="219" t="str">
        <x:v>Clearance violation (rule 'Protected automotive voltage clearance' clearance 0.2500 mm; actual 0.2000 mm)</x:v>
      </x:c>
      <x:c r="E203" s="219" t="str">
        <x:v>Resolved through the subsequent coordinated native candidate and recorded source changes.</x:v>
      </x:c>
      <x:c r="F203" s="219" t="str">
        <x:v>iterations/I08_native_corrections/REDLINE_FREEZE.json
iterations/I20_controlled_handoff/NATIVE_BINDING.json
current/I21_SOURCE_VERIFICATION.json
current/SOURCE_EFFECTIVITY.json</x:v>
      </x:c>
    </x:row>
    <x:row r="204" ht="62" customHeight="1">
      <x:c r="A204" s="180" t="str">
        <x:v>N08-098</x:v>
      </x:c>
      <x:c r="B204" s="180" t="str">
        <x:v>I08</x:v>
      </x:c>
      <x:c r="C204" s="180" t="str">
        <x:v>CORRECTED NATIVE I20</x:v>
      </x:c>
      <x:c r="D204" s="180" t="str">
        <x:v>Clearance violation (rule 'Protected automotive voltage clearance' clearance 0.2500 mm; actual 0.2403 mm)</x:v>
      </x:c>
      <x:c r="E204" s="180" t="str">
        <x:v>Resolved through the subsequent coordinated native candidate and recorded source changes.</x:v>
      </x:c>
      <x:c r="F204" s="180" t="str">
        <x:v>iterations/I08_native_corrections/REDLINE_FREEZE.json
iterations/I20_controlled_handoff/NATIVE_BINDING.json
current/I21_SOURCE_VERIFICATION.json
current/SOURCE_EFFECTIVITY.json</x:v>
      </x:c>
    </x:row>
    <x:row r="205" ht="62" customHeight="1">
      <x:c r="A205" s="219" t="str">
        <x:v>N08-099</x:v>
      </x:c>
      <x:c r="B205" s="219" t="str">
        <x:v>I08</x:v>
      </x:c>
      <x:c r="C205" s="219" t="str">
        <x:v>CORRECTED NATIVE I20</x:v>
      </x:c>
      <x:c r="D205" s="219" t="str">
        <x:v>Clearance violation (rule 'Protected automotive voltage clearance' clearance 0.2500 mm; actual 0.2000 mm)</x:v>
      </x:c>
      <x:c r="E205" s="219" t="str">
        <x:v>Resolved through the subsequent coordinated native candidate and recorded source changes.</x:v>
      </x:c>
      <x:c r="F205" s="219" t="str">
        <x:v>iterations/I08_native_corrections/REDLINE_FREEZE.json
iterations/I20_controlled_handoff/NATIVE_BINDING.json
current/I21_SOURCE_VERIFICATION.json
current/SOURCE_EFFECTIVITY.json</x:v>
      </x:c>
    </x:row>
    <x:row r="206" ht="62" customHeight="1">
      <x:c r="A206" s="180" t="str">
        <x:v>N08-100</x:v>
      </x:c>
      <x:c r="B206" s="180" t="str">
        <x:v>I08</x:v>
      </x:c>
      <x:c r="C206" s="180" t="str">
        <x:v>CORRECTED NATIVE I20</x:v>
      </x:c>
      <x:c r="D206" s="180" t="str">
        <x:v>Clearance violation (rule 'Protected automotive voltage clearance' clearance 0.2500 mm; actual 0.2000 mm)</x:v>
      </x:c>
      <x:c r="E206" s="180" t="str">
        <x:v>Resolved through the subsequent coordinated native candidate and recorded source changes.</x:v>
      </x:c>
      <x:c r="F206" s="180" t="str">
        <x:v>iterations/I08_native_corrections/REDLINE_FREEZE.json
iterations/I20_controlled_handoff/NATIVE_BINDING.json
current/I21_SOURCE_VERIFICATION.json
current/SOURCE_EFFECTIVITY.json</x:v>
      </x:c>
    </x:row>
    <x:row r="207" ht="62" customHeight="1">
      <x:c r="A207" s="219" t="str">
        <x:v>N08-101</x:v>
      </x:c>
      <x:c r="B207" s="219" t="str">
        <x:v>I08</x:v>
      </x:c>
      <x:c r="C207" s="219" t="str">
        <x:v>CORRECTED NATIVE I20</x:v>
      </x:c>
      <x:c r="D207" s="219" t="str">
        <x:v>Clearance violation (rule 'Protected automotive voltage clearance' clearance 0.2500 mm; actual 0.2403 mm)</x:v>
      </x:c>
      <x:c r="E207" s="219" t="str">
        <x:v>Resolved through the subsequent coordinated native candidate and recorded source changes.</x:v>
      </x:c>
      <x:c r="F207" s="219" t="str">
        <x:v>iterations/I08_native_corrections/REDLINE_FREEZE.json
iterations/I20_controlled_handoff/NATIVE_BINDING.json
current/I21_SOURCE_VERIFICATION.json
current/SOURCE_EFFECTIVITY.json</x:v>
      </x:c>
    </x:row>
    <x:row r="208" ht="62" customHeight="1">
      <x:c r="A208" s="180" t="str">
        <x:v>N08-102</x:v>
      </x:c>
      <x:c r="B208" s="180" t="str">
        <x:v>I08</x:v>
      </x:c>
      <x:c r="C208" s="180" t="str">
        <x:v>CORRECTED NATIVE I20</x:v>
      </x:c>
      <x:c r="D208" s="180" t="str">
        <x:v>Clearance violation (rule 'Protected automotive voltage clearance' clearance 0.2500 mm; actual 0.2364 mm)</x:v>
      </x:c>
      <x:c r="E208" s="180" t="str">
        <x:v>Resolved through the subsequent coordinated native candidate and recorded source changes.</x:v>
      </x:c>
      <x:c r="F208" s="180" t="str">
        <x:v>iterations/I08_native_corrections/REDLINE_FREEZE.json
iterations/I20_controlled_handoff/NATIVE_BINDING.json
current/I21_SOURCE_VERIFICATION.json
current/SOURCE_EFFECTIVITY.json</x:v>
      </x:c>
    </x:row>
    <x:row r="209" ht="62" customHeight="1">
      <x:c r="A209" s="219" t="str">
        <x:v>N08-103</x:v>
      </x:c>
      <x:c r="B209" s="219" t="str">
        <x:v>I08</x:v>
      </x:c>
      <x:c r="C209" s="219" t="str">
        <x:v>CORRECTED NATIVE I20</x:v>
      </x:c>
      <x:c r="D209" s="219" t="str">
        <x:v>Clearance violation (rule 'Protected automotive voltage clearance' clearance 0.2500 mm; actual 0.1831 mm)</x:v>
      </x:c>
      <x:c r="E209" s="219" t="str">
        <x:v>Resolved through the subsequent coordinated native candidate and recorded source changes.</x:v>
      </x:c>
      <x:c r="F209" s="219" t="str">
        <x:v>iterations/I08_native_corrections/REDLINE_FREEZE.json
iterations/I20_controlled_handoff/NATIVE_BINDING.json
current/I21_SOURCE_VERIFICATION.json
current/SOURCE_EFFECTIVITY.json</x:v>
      </x:c>
    </x:row>
    <x:row r="210" ht="62" customHeight="1">
      <x:c r="A210" s="180" t="str">
        <x:v>N08-104</x:v>
      </x:c>
      <x:c r="B210" s="180" t="str">
        <x:v>I08</x:v>
      </x:c>
      <x:c r="C210" s="180" t="str">
        <x:v>CORRECTED NATIVE I20</x:v>
      </x:c>
      <x:c r="D210" s="180" t="str">
        <x:v>Clearance violation (rule 'Protected automotive voltage clearance' clearance 0.2500 mm; actual 0.1831 mm)</x:v>
      </x:c>
      <x:c r="E210" s="180" t="str">
        <x:v>Resolved through the subsequent coordinated native candidate and recorded source changes.</x:v>
      </x:c>
      <x:c r="F210" s="180" t="str">
        <x:v>iterations/I08_native_corrections/REDLINE_FREEZE.json
iterations/I20_controlled_handoff/NATIVE_BINDING.json
current/I21_SOURCE_VERIFICATION.json
current/SOURCE_EFFECTIVITY.json</x:v>
      </x:c>
    </x:row>
    <x:row r="211" ht="62" customHeight="1">
      <x:c r="A211" s="219" t="str">
        <x:v>N08-105</x:v>
      </x:c>
      <x:c r="B211" s="219" t="str">
        <x:v>I08</x:v>
      </x:c>
      <x:c r="C211" s="219" t="str">
        <x:v>CORRECTED NATIVE I20</x:v>
      </x:c>
      <x:c r="D211" s="219" t="str">
        <x:v>Clearance violation (rule 'Protected automotive voltage clearance' clearance 0.2500 mm; actual 0.2364 mm)</x:v>
      </x:c>
      <x:c r="E211" s="219" t="str">
        <x:v>Resolved through the subsequent coordinated native candidate and recorded source changes.</x:v>
      </x:c>
      <x:c r="F211" s="219" t="str">
        <x:v>iterations/I08_native_corrections/REDLINE_FREEZE.json
iterations/I20_controlled_handoff/NATIVE_BINDING.json
current/I21_SOURCE_VERIFICATION.json
current/SOURCE_EFFECTIVITY.json</x:v>
      </x:c>
    </x:row>
    <x:row r="212" ht="62" customHeight="1">
      <x:c r="A212" s="180" t="str">
        <x:v>N08-106</x:v>
      </x:c>
      <x:c r="B212" s="180" t="str">
        <x:v>I08</x:v>
      </x:c>
      <x:c r="C212" s="180" t="str">
        <x:v>CORRECTED NATIVE I20</x:v>
      </x:c>
      <x:c r="D212" s="180" t="str">
        <x:v>Clearance violation (rule 'Protected automotive voltage clearance' clearance 0.2500 mm; actual 0.2364 mm)</x:v>
      </x:c>
      <x:c r="E212" s="180" t="str">
        <x:v>Resolved through the subsequent coordinated native candidate and recorded source changes.</x:v>
      </x:c>
      <x:c r="F212" s="180" t="str">
        <x:v>iterations/I08_native_corrections/REDLINE_FREEZE.json
iterations/I20_controlled_handoff/NATIVE_BINDING.json
current/I21_SOURCE_VERIFICATION.json
current/SOURCE_EFFECTIVITY.json</x:v>
      </x:c>
    </x:row>
    <x:row r="213" ht="62" customHeight="1">
      <x:c r="A213" s="219" t="str">
        <x:v>N08-107</x:v>
      </x:c>
      <x:c r="B213" s="219" t="str">
        <x:v>I08</x:v>
      </x:c>
      <x:c r="C213" s="219" t="str">
        <x:v>CORRECTED NATIVE I20</x:v>
      </x:c>
      <x:c r="D213" s="219" t="str">
        <x:v>Clearance violation (rule 'Protected automotive voltage clearance' clearance 0.2500 mm; actual 0.2364 mm)</x:v>
      </x:c>
      <x:c r="E213" s="219" t="str">
        <x:v>Resolved through the subsequent coordinated native candidate and recorded source changes.</x:v>
      </x:c>
      <x:c r="F213" s="219" t="str">
        <x:v>iterations/I08_native_corrections/REDLINE_FREEZE.json
iterations/I20_controlled_handoff/NATIVE_BINDING.json
current/I21_SOURCE_VERIFICATION.json
current/SOURCE_EFFECTIVITY.json</x:v>
      </x:c>
    </x:row>
    <x:row r="214" ht="62" customHeight="1">
      <x:c r="A214" s="180" t="str">
        <x:v>N08-108</x:v>
      </x:c>
      <x:c r="B214" s="180" t="str">
        <x:v>I08</x:v>
      </x:c>
      <x:c r="C214" s="180" t="str">
        <x:v>CORRECTED NATIVE I20</x:v>
      </x:c>
      <x:c r="D214" s="180" t="str">
        <x:v>Clearance violation (rule 'Protected automotive voltage clearance' clearance 0.2500 mm; actual 0.2083 mm)</x:v>
      </x:c>
      <x:c r="E214" s="180" t="str">
        <x:v>Resolved through the subsequent coordinated native candidate and recorded source changes.</x:v>
      </x:c>
      <x:c r="F214" s="180" t="str">
        <x:v>iterations/I08_native_corrections/REDLINE_FREEZE.json
iterations/I20_controlled_handoff/NATIVE_BINDING.json
current/I21_SOURCE_VERIFICATION.json
current/SOURCE_EFFECTIVITY.json</x:v>
      </x:c>
    </x:row>
    <x:row r="215" ht="62" customHeight="1">
      <x:c r="A215" s="219" t="str">
        <x:v>N08-109</x:v>
      </x:c>
      <x:c r="B215" s="219" t="str">
        <x:v>I08</x:v>
      </x:c>
      <x:c r="C215" s="219" t="str">
        <x:v>CORRECTED NATIVE I20</x:v>
      </x:c>
      <x:c r="D215" s="219" t="str">
        <x:v>Clearance violation (rule 'Protected automotive voltage clearance' clearance 0.2500 mm; actual 0.1831 mm)</x:v>
      </x:c>
      <x:c r="E215" s="219" t="str">
        <x:v>Resolved through the subsequent coordinated native candidate and recorded source changes.</x:v>
      </x:c>
      <x:c r="F215" s="219" t="str">
        <x:v>iterations/I08_native_corrections/REDLINE_FREEZE.json
iterations/I20_controlled_handoff/NATIVE_BINDING.json
current/I21_SOURCE_VERIFICATION.json
current/SOURCE_EFFECTIVITY.json</x:v>
      </x:c>
    </x:row>
    <x:row r="216" ht="62" customHeight="1">
      <x:c r="A216" s="180" t="str">
        <x:v>N08-110</x:v>
      </x:c>
      <x:c r="B216" s="180" t="str">
        <x:v>I08</x:v>
      </x:c>
      <x:c r="C216" s="180" t="str">
        <x:v>CORRECTED NATIVE I20</x:v>
      </x:c>
      <x:c r="D216" s="180" t="str">
        <x:v>Clearance violation (rule 'Protected automotive voltage clearance' clearance 0.2500 mm; actual 0.2083 mm)</x:v>
      </x:c>
      <x:c r="E216" s="180" t="str">
        <x:v>Resolved through the subsequent coordinated native candidate and recorded source changes.</x:v>
      </x:c>
      <x:c r="F216" s="180" t="str">
        <x:v>iterations/I08_native_corrections/REDLINE_FREEZE.json
iterations/I20_controlled_handoff/NATIVE_BINDING.json
current/I21_SOURCE_VERIFICATION.json
current/SOURCE_EFFECTIVITY.json</x:v>
      </x:c>
    </x:row>
    <x:row r="217" ht="62" customHeight="1">
      <x:c r="A217" s="219" t="str">
        <x:v>N08-111</x:v>
      </x:c>
      <x:c r="B217" s="219" t="str">
        <x:v>I08</x:v>
      </x:c>
      <x:c r="C217" s="219" t="str">
        <x:v>CORRECTED NATIVE I20</x:v>
      </x:c>
      <x:c r="D217" s="219" t="str">
        <x:v>Clearance violation (rule 'Protected automotive voltage clearance' clearance 0.2500 mm; actual 0.1831 mm)</x:v>
      </x:c>
      <x:c r="E217" s="219" t="str">
        <x:v>Resolved through the subsequent coordinated native candidate and recorded source changes.</x:v>
      </x:c>
      <x:c r="F217" s="219" t="str">
        <x:v>iterations/I08_native_corrections/REDLINE_FREEZE.json
iterations/I20_controlled_handoff/NATIVE_BINDING.json
current/I21_SOURCE_VERIFICATION.json
current/SOURCE_EFFECTIVITY.json</x:v>
      </x:c>
    </x:row>
    <x:row r="218" ht="62" customHeight="1">
      <x:c r="A218" s="180" t="str">
        <x:v>N08-112</x:v>
      </x:c>
      <x:c r="B218" s="180" t="str">
        <x:v>I08</x:v>
      </x:c>
      <x:c r="C218" s="180" t="str">
        <x:v>CORRECTED NATIVE I20</x:v>
      </x:c>
      <x:c r="D218" s="180" t="str">
        <x:v>Clearance violation (rule 'Protected automotive voltage clearance' clearance 0.2500 mm; actual 0.2083 mm)</x:v>
      </x:c>
      <x:c r="E218" s="180" t="str">
        <x:v>Resolved through the subsequent coordinated native candidate and recorded source changes.</x:v>
      </x:c>
      <x:c r="F218" s="180" t="str">
        <x:v>iterations/I08_native_corrections/REDLINE_FREEZE.json
iterations/I20_controlled_handoff/NATIVE_BINDING.json
current/I21_SOURCE_VERIFICATION.json
current/SOURCE_EFFECTIVITY.json</x:v>
      </x:c>
    </x:row>
    <x:row r="219" ht="62" customHeight="1">
      <x:c r="A219" s="219" t="str">
        <x:v>N08-113</x:v>
      </x:c>
      <x:c r="B219" s="219" t="str">
        <x:v>I08</x:v>
      </x:c>
      <x:c r="C219" s="219" t="str">
        <x:v>CORRECTED NATIVE I20</x:v>
      </x:c>
      <x:c r="D219" s="219" t="str">
        <x:v>Clearance violation (rule 'Protected automotive voltage clearance' clearance 0.2500 mm; actual 0.2083 mm)</x:v>
      </x:c>
      <x:c r="E219" s="219" t="str">
        <x:v>Resolved through the subsequent coordinated native candidate and recorded source changes.</x:v>
      </x:c>
      <x:c r="F219" s="219" t="str">
        <x:v>iterations/I08_native_corrections/REDLINE_FREEZE.json
iterations/I20_controlled_handoff/NATIVE_BINDING.json
current/I21_SOURCE_VERIFICATION.json
current/SOURCE_EFFECTIVITY.json</x:v>
      </x:c>
    </x:row>
    <x:row r="220" ht="62" customHeight="1">
      <x:c r="A220" s="180" t="str">
        <x:v>N08-114</x:v>
      </x:c>
      <x:c r="B220" s="180" t="str">
        <x:v>I08</x:v>
      </x:c>
      <x:c r="C220" s="180" t="str">
        <x:v>CORRECTED NATIVE I20</x:v>
      </x:c>
      <x:c r="D220" s="180" t="str">
        <x:v>Clearance violation (rule 'Protected automotive voltage clearance' clearance 0.2500 mm; actual 0.2083 mm)</x:v>
      </x:c>
      <x:c r="E220" s="180" t="str">
        <x:v>Resolved through the subsequent coordinated native candidate and recorded source changes.</x:v>
      </x:c>
      <x:c r="F220" s="180" t="str">
        <x:v>iterations/I08_native_corrections/REDLINE_FREEZE.json
iterations/I20_controlled_handoff/NATIVE_BINDING.json
current/I21_SOURCE_VERIFICATION.json
current/SOURCE_EFFECTIVITY.json</x:v>
      </x:c>
    </x:row>
    <x:row r="221" ht="62" customHeight="1">
      <x:c r="A221" s="219" t="str">
        <x:v>N08-115</x:v>
      </x:c>
      <x:c r="B221" s="219" t="str">
        <x:v>I08</x:v>
      </x:c>
      <x:c r="C221" s="219" t="str">
        <x:v>CORRECTED NATIVE I20</x:v>
      </x:c>
      <x:c r="D221" s="219" t="str">
        <x:v>Clearance violation (rule 'Protected automotive voltage clearance' clearance 0.2500 mm; actual 0.1831 mm)</x:v>
      </x:c>
      <x:c r="E221" s="219" t="str">
        <x:v>Resolved through the subsequent coordinated native candidate and recorded source changes.</x:v>
      </x:c>
      <x:c r="F221" s="219" t="str">
        <x:v>iterations/I08_native_corrections/REDLINE_FREEZE.json
iterations/I20_controlled_handoff/NATIVE_BINDING.json
current/I21_SOURCE_VERIFICATION.json
current/SOURCE_EFFECTIVITY.json</x:v>
      </x:c>
    </x:row>
    <x:row r="222" ht="62" customHeight="1">
      <x:c r="A222" s="180" t="str">
        <x:v>N08-116</x:v>
      </x:c>
      <x:c r="B222" s="180" t="str">
        <x:v>I08</x:v>
      </x:c>
      <x:c r="C222" s="180" t="str">
        <x:v>CORRECTED NATIVE I20</x:v>
      </x:c>
      <x:c r="D222" s="180" t="str">
        <x:v>Clearance violation (rule 'Protected automotive voltage clearance' clearance 0.2500 mm; actual 0.2403 mm)</x:v>
      </x:c>
      <x:c r="E222" s="180" t="str">
        <x:v>Resolved through the subsequent coordinated native candidate and recorded source changes.</x:v>
      </x:c>
      <x:c r="F222" s="180" t="str">
        <x:v>iterations/I08_native_corrections/REDLINE_FREEZE.json
iterations/I20_controlled_handoff/NATIVE_BINDING.json
current/I21_SOURCE_VERIFICATION.json
current/SOURCE_EFFECTIVITY.json</x:v>
      </x:c>
    </x:row>
    <x:row r="223" ht="62" customHeight="1">
      <x:c r="A223" s="219" t="str">
        <x:v>N08-117</x:v>
      </x:c>
      <x:c r="B223" s="219" t="str">
        <x:v>I08</x:v>
      </x:c>
      <x:c r="C223" s="219" t="str">
        <x:v>CORRECTED NATIVE I20</x:v>
      </x:c>
      <x:c r="D223" s="219" t="str">
        <x:v>Items shorting two nets (nets 3V3_FB_ADJ and )</x:v>
      </x:c>
      <x:c r="E223" s="219" t="str">
        <x:v>Resolved through the subsequent coordinated native candidate and recorded source changes.</x:v>
      </x:c>
      <x:c r="F223" s="219" t="str">
        <x:v>iterations/I08_native_corrections/REDLINE_FREEZE.json
iterations/I20_controlled_handoff/NATIVE_BINDING.json
current/I21_SOURCE_VERIFICATION.json
current/SOURCE_EFFECTIVITY.json</x:v>
      </x:c>
    </x:row>
    <x:row r="224" ht="62" customHeight="1">
      <x:c r="A224" s="180" t="str">
        <x:v>N08-118</x:v>
      </x:c>
      <x:c r="B224" s="180" t="str">
        <x:v>I08</x:v>
      </x:c>
      <x:c r="C224" s="180" t="str">
        <x:v>CORRECTED NATIVE I20</x:v>
      </x:c>
      <x:c r="D224" s="180" t="str">
        <x:v>Items shorting two nets (nets 3V3_FB_ADJ and )</x:v>
      </x:c>
      <x:c r="E224" s="180" t="str">
        <x:v>Resolved through the subsequent coordinated native candidate and recorded source changes.</x:v>
      </x:c>
      <x:c r="F224" s="180" t="str">
        <x:v>iterations/I08_native_corrections/REDLINE_FREEZE.json
iterations/I20_controlled_handoff/NATIVE_BINDING.json
current/I21_SOURCE_VERIFICATION.json
current/SOURCE_EFFECTIVITY.json</x:v>
      </x:c>
    </x:row>
    <x:row r="225" ht="62" customHeight="1">
      <x:c r="A225" s="219" t="str">
        <x:v>N08-119</x:v>
      </x:c>
      <x:c r="B225" s="219" t="str">
        <x:v>I08</x:v>
      </x:c>
      <x:c r="C225" s="219" t="str">
        <x:v>CORRECTED NATIVE I20</x:v>
      </x:c>
      <x:c r="D225" s="219" t="str">
        <x:v>Items shorting two nets (nets 3V3_FB_ADJ and )</x:v>
      </x:c>
      <x:c r="E225" s="219" t="str">
        <x:v>Resolved through the subsequent coordinated native candidate and recorded source changes.</x:v>
      </x:c>
      <x:c r="F225" s="219" t="str">
        <x:v>iterations/I08_native_corrections/REDLINE_FREEZE.json
iterations/I20_controlled_handoff/NATIVE_BINDING.json
current/I21_SOURCE_VERIFICATION.json
current/SOURCE_EFFECTIVITY.json</x:v>
      </x:c>
    </x:row>
    <x:row r="226" ht="62" customHeight="1">
      <x:c r="A226" s="180" t="str">
        <x:v>N08-120</x:v>
      </x:c>
      <x:c r="B226" s="180" t="str">
        <x:v>I08</x:v>
      </x:c>
      <x:c r="C226" s="180" t="str">
        <x:v>CORRECTED NATIVE I20</x:v>
      </x:c>
      <x:c r="D226" s="180" t="str">
        <x:v>Items shorting two nets (nets  and 3V3_FB_ADJ)</x:v>
      </x:c>
      <x:c r="E226" s="180" t="str">
        <x:v>Resolved through the subsequent coordinated native candidate and recorded source changes.</x:v>
      </x:c>
      <x:c r="F226" s="180" t="str">
        <x:v>iterations/I08_native_corrections/REDLINE_FREEZE.json
iterations/I20_controlled_handoff/NATIVE_BINDING.json
current/I21_SOURCE_VERIFICATION.json
current/SOURCE_EFFECTIVITY.json</x:v>
      </x:c>
    </x:row>
    <x:row r="227" ht="62" customHeight="1">
      <x:c r="A227" s="219" t="str">
        <x:v>N08-121</x:v>
      </x:c>
      <x:c r="B227" s="219" t="str">
        <x:v>I08</x:v>
      </x:c>
      <x:c r="C227" s="219" t="str">
        <x:v>CORRECTED NATIVE I20</x:v>
      </x:c>
      <x:c r="D227" s="219" t="str">
        <x:v>Items shorting two nets (nets  and 3V3_FB_ADJ)</x:v>
      </x:c>
      <x:c r="E227" s="219" t="str">
        <x:v>Resolved through the subsequent coordinated native candidate and recorded source changes.</x:v>
      </x:c>
      <x:c r="F227" s="219" t="str">
        <x:v>iterations/I08_native_corrections/REDLINE_FREEZE.json
iterations/I20_controlled_handoff/NATIVE_BINDING.json
current/I21_SOURCE_VERIFICATION.json
current/SOURCE_EFFECTIVITY.json</x:v>
      </x:c>
    </x:row>
    <x:row r="228" ht="62" customHeight="1">
      <x:c r="A228" s="180" t="str">
        <x:v>N08-122</x:v>
      </x:c>
      <x:c r="B228" s="180" t="str">
        <x:v>I08</x:v>
      </x:c>
      <x:c r="C228" s="180" t="str">
        <x:v>CORRECTED NATIVE I20</x:v>
      </x:c>
      <x:c r="D228" s="180" t="str">
        <x:v>Items shorting two nets (nets 3V3_FB_ADJ and )</x:v>
      </x:c>
      <x:c r="E228" s="180" t="str">
        <x:v>Resolved through the subsequent coordinated native candidate and recorded source changes.</x:v>
      </x:c>
      <x:c r="F228" s="180" t="str">
        <x:v>iterations/I08_native_corrections/REDLINE_FREEZE.json
iterations/I20_controlled_handoff/NATIVE_BINDING.json
current/I21_SOURCE_VERIFICATION.json
current/SOURCE_EFFECTIVITY.json</x:v>
      </x:c>
    </x:row>
    <x:row r="229" ht="62" customHeight="1">
      <x:c r="A229" s="219" t="str">
        <x:v>N08-123</x:v>
      </x:c>
      <x:c r="B229" s="219" t="str">
        <x:v>I08</x:v>
      </x:c>
      <x:c r="C229" s="219" t="str">
        <x:v>CORRECTED NATIVE I20</x:v>
      </x:c>
      <x:c r="D229" s="219" t="str">
        <x:v>Items shorting two nets (nets 3V3_FB_ADJ and )</x:v>
      </x:c>
      <x:c r="E229" s="219" t="str">
        <x:v>Resolved through the subsequent coordinated native candidate and recorded source changes.</x:v>
      </x:c>
      <x:c r="F229" s="219" t="str">
        <x:v>iterations/I08_native_corrections/REDLINE_FREEZE.json
iterations/I20_controlled_handoff/NATIVE_BINDING.json
current/I21_SOURCE_VERIFICATION.json
current/SOURCE_EFFECTIVITY.json</x:v>
      </x:c>
    </x:row>
    <x:row r="230" ht="62" customHeight="1">
      <x:c r="A230" s="180" t="str">
        <x:v>N08-124</x:v>
      </x:c>
      <x:c r="B230" s="180" t="str">
        <x:v>I08</x:v>
      </x:c>
      <x:c r="C230" s="180" t="str">
        <x:v>CORRECTED NATIVE I20</x:v>
      </x:c>
      <x:c r="D230" s="180" t="str">
        <x:v>Items shorting two nets (nets  and 3V3_FB_ADJ)</x:v>
      </x:c>
      <x:c r="E230" s="180" t="str">
        <x:v>Resolved through the subsequent coordinated native candidate and recorded source changes.</x:v>
      </x:c>
      <x:c r="F230" s="180" t="str">
        <x:v>iterations/I08_native_corrections/REDLINE_FREEZE.json
iterations/I20_controlled_handoff/NATIVE_BINDING.json
current/I21_SOURCE_VERIFICATION.json
current/SOURCE_EFFECTIVITY.json</x:v>
      </x:c>
    </x:row>
    <x:row r="231" ht="62" customHeight="1">
      <x:c r="A231" s="219" t="str">
        <x:v>N08-125</x:v>
      </x:c>
      <x:c r="B231" s="219" t="str">
        <x:v>I08</x:v>
      </x:c>
      <x:c r="C231" s="219" t="str">
        <x:v>CORRECTED NATIVE I20</x:v>
      </x:c>
      <x:c r="D231" s="219" t="str">
        <x:v>Items shorting two nets (nets  and 3V3_FB_ADJ)</x:v>
      </x:c>
      <x:c r="E231" s="219" t="str">
        <x:v>Resolved through the subsequent coordinated native candidate and recorded source changes.</x:v>
      </x:c>
      <x:c r="F231" s="219" t="str">
        <x:v>iterations/I08_native_corrections/REDLINE_FREEZE.json
iterations/I20_controlled_handoff/NATIVE_BINDING.json
current/I21_SOURCE_VERIFICATION.json
current/SOURCE_EFFECTIVITY.json</x:v>
      </x:c>
    </x:row>
    <x:row r="232" ht="62" customHeight="1">
      <x:c r="A232" s="180" t="str">
        <x:v>N08-126</x:v>
      </x:c>
      <x:c r="B232" s="180" t="str">
        <x:v>I08</x:v>
      </x:c>
      <x:c r="C232" s="180" t="str">
        <x:v>CORRECTED NATIVE I20</x:v>
      </x:c>
      <x:c r="D232" s="180" t="str">
        <x:v>Items shorting two nets (nets  and 3V3_FB_ADJ)</x:v>
      </x:c>
      <x:c r="E232" s="180" t="str">
        <x:v>Resolved through the subsequent coordinated native candidate and recorded source changes.</x:v>
      </x:c>
      <x:c r="F232" s="180" t="str">
        <x:v>iterations/I08_native_corrections/REDLINE_FREEZE.json
iterations/I20_controlled_handoff/NATIVE_BINDING.json
current/I21_SOURCE_VERIFICATION.json
current/SOURCE_EFFECTIVITY.json</x:v>
      </x:c>
    </x:row>
    <x:row r="233" ht="62" customHeight="1">
      <x:c r="A233" s="219" t="str">
        <x:v>N08-127</x:v>
      </x:c>
      <x:c r="B233" s="219" t="str">
        <x:v>I08</x:v>
      </x:c>
      <x:c r="C233" s="219" t="str">
        <x:v>CORRECTED NATIVE I20</x:v>
      </x:c>
      <x:c r="D233" s="219" t="str">
        <x:v>Items shorting two nets (nets  and 3V3_FB_ADJ)</x:v>
      </x:c>
      <x:c r="E233" s="219" t="str">
        <x:v>Resolved through the subsequent coordinated native candidate and recorded source changes.</x:v>
      </x:c>
      <x:c r="F233" s="219" t="str">
        <x:v>iterations/I08_native_corrections/REDLINE_FREEZE.json
iterations/I20_controlled_handoff/NATIVE_BINDING.json
current/I21_SOURCE_VERIFICATION.json
current/SOURCE_EFFECTIVITY.json</x:v>
      </x:c>
    </x:row>
    <x:row r="234" ht="62" customHeight="1">
      <x:c r="A234" s="180" t="str">
        <x:v>N08-128</x:v>
      </x:c>
      <x:c r="B234" s="180" t="str">
        <x:v>I08</x:v>
      </x:c>
      <x:c r="C234" s="180" t="str">
        <x:v>CORRECTED NATIVE I20</x:v>
      </x:c>
      <x:c r="D234" s="180" t="str">
        <x:v>Items shorting two nets (nets  and 3V3_FB_ADJ)</x:v>
      </x:c>
      <x:c r="E234" s="180" t="str">
        <x:v>Resolved through the subsequent coordinated native candidate and recorded source changes.</x:v>
      </x:c>
      <x:c r="F234" s="180" t="str">
        <x:v>iterations/I08_native_corrections/REDLINE_FREEZE.json
iterations/I20_controlled_handoff/NATIVE_BINDING.json
current/I21_SOURCE_VERIFICATION.json
current/SOURCE_EFFECTIVITY.json</x:v>
      </x:c>
    </x:row>
    <x:row r="235" ht="62" customHeight="1">
      <x:c r="A235" s="219" t="str">
        <x:v>N08-129</x:v>
      </x:c>
      <x:c r="B235" s="219" t="str">
        <x:v>I08</x:v>
      </x:c>
      <x:c r="C235" s="219" t="str">
        <x:v>CORRECTED NATIVE I20</x:v>
      </x:c>
      <x:c r="D235" s="219" t="str">
        <x:v>Items shorting two nets (nets  and 3V3_FB_ADJ)</x:v>
      </x:c>
      <x:c r="E235" s="219" t="str">
        <x:v>Resolved through the subsequent coordinated native candidate and recorded source changes.</x:v>
      </x:c>
      <x:c r="F235" s="219" t="str">
        <x:v>iterations/I08_native_corrections/REDLINE_FREEZE.json
iterations/I20_controlled_handoff/NATIVE_BINDING.json
current/I21_SOURCE_VERIFICATION.json
current/SOURCE_EFFECTIVITY.json</x:v>
      </x:c>
    </x:row>
    <x:row r="236" ht="62" customHeight="1">
      <x:c r="A236" s="180" t="str">
        <x:v>N08-130</x:v>
      </x:c>
      <x:c r="B236" s="180" t="str">
        <x:v>I08</x:v>
      </x:c>
      <x:c r="C236" s="180" t="str">
        <x:v>CORRECTED NATIVE I20</x:v>
      </x:c>
      <x:c r="D236" s="180" t="str">
        <x:v>Clearance violation (rule 'Logic clearance' clearance 0.1500 mm; actual 0.1250 mm)</x:v>
      </x:c>
      <x:c r="E236" s="180" t="str">
        <x:v>Resolved through the subsequent coordinated native candidate and recorded source changes.</x:v>
      </x:c>
      <x:c r="F236" s="180" t="str">
        <x:v>iterations/I08_native_corrections/REDLINE_FREEZE.json
iterations/I20_controlled_handoff/NATIVE_BINDING.json
current/I21_SOURCE_VERIFICATION.json
current/SOURCE_EFFECTIVITY.json</x:v>
      </x:c>
    </x:row>
    <x:row r="237" ht="62" customHeight="1">
      <x:c r="A237" s="219" t="str">
        <x:v>N08-131</x:v>
      </x:c>
      <x:c r="B237" s="219" t="str">
        <x:v>I08</x:v>
      </x:c>
      <x:c r="C237" s="219" t="str">
        <x:v>CORRECTED NATIVE I20</x:v>
      </x:c>
      <x:c r="D237" s="219" t="str">
        <x:v>Clearance violation (rule 'Logic clearance' clearance 0.1500 mm; actual 0.0251 mm)</x:v>
      </x:c>
      <x:c r="E237" s="219" t="str">
        <x:v>Resolved through the subsequent coordinated native candidate and recorded source changes.</x:v>
      </x:c>
      <x:c r="F237" s="219" t="str">
        <x:v>iterations/I08_native_corrections/REDLINE_FREEZE.json
iterations/I20_controlled_handoff/NATIVE_BINDING.json
current/I21_SOURCE_VERIFICATION.json
current/SOURCE_EFFECTIVITY.json</x:v>
      </x:c>
    </x:row>
    <x:row r="238" ht="62" customHeight="1">
      <x:c r="A238" s="180" t="str">
        <x:v>N08-132</x:v>
      </x:c>
      <x:c r="B238" s="180" t="str">
        <x:v>I08</x:v>
      </x:c>
      <x:c r="C238" s="180" t="str">
        <x:v>CORRECTED NATIVE I20</x:v>
      </x:c>
      <x:c r="D238" s="180" t="str">
        <x:v>Items shorting two nets (nets  and 3V3_FB_ADJ)</x:v>
      </x:c>
      <x:c r="E238" s="180" t="str">
        <x:v>Resolved through the subsequent coordinated native candidate and recorded source changes.</x:v>
      </x:c>
      <x:c r="F238" s="180" t="str">
        <x:v>iterations/I08_native_corrections/REDLINE_FREEZE.json
iterations/I20_controlled_handoff/NATIVE_BINDING.json
current/I21_SOURCE_VERIFICATION.json
current/SOURCE_EFFECTIVITY.json</x:v>
      </x:c>
    </x:row>
    <x:row r="239" ht="62" customHeight="1">
      <x:c r="A239" s="219" t="str">
        <x:v>N08-133</x:v>
      </x:c>
      <x:c r="B239" s="219" t="str">
        <x:v>I08</x:v>
      </x:c>
      <x:c r="C239" s="219" t="str">
        <x:v>CORRECTED NATIVE I20</x:v>
      </x:c>
      <x:c r="D239" s="219" t="str">
        <x:v>Items shorting two nets (nets 3V3_BULK_DAMPED and )</x:v>
      </x:c>
      <x:c r="E239" s="219" t="str">
        <x:v>Resolved through the subsequent coordinated native candidate and recorded source changes.</x:v>
      </x:c>
      <x:c r="F239" s="219" t="str">
        <x:v>iterations/I08_native_corrections/REDLINE_FREEZE.json
iterations/I20_controlled_handoff/NATIVE_BINDING.json
current/I21_SOURCE_VERIFICATION.json
current/SOURCE_EFFECTIVITY.json</x:v>
      </x:c>
    </x:row>
    <x:row r="240" ht="62" customHeight="1">
      <x:c r="A240" s="180" t="str">
        <x:v>N08-134</x:v>
      </x:c>
      <x:c r="B240" s="180" t="str">
        <x:v>I08</x:v>
      </x:c>
      <x:c r="C240" s="180" t="str">
        <x:v>CORRECTED NATIVE I20</x:v>
      </x:c>
      <x:c r="D240" s="180" t="str">
        <x:v>Clearance violation (rule 'Logic clearance' clearance 0.1500 mm; actual 0.1300 mm)</x:v>
      </x:c>
      <x:c r="E240" s="180" t="str">
        <x:v>Resolved through the subsequent coordinated native candidate and recorded source changes.</x:v>
      </x:c>
      <x:c r="F240" s="180" t="str">
        <x:v>iterations/I08_native_corrections/REDLINE_FREEZE.json
iterations/I20_controlled_handoff/NATIVE_BINDING.json
current/I21_SOURCE_VERIFICATION.json
current/SOURCE_EFFECTIVITY.json</x:v>
      </x:c>
    </x:row>
    <x:row r="241" ht="62" customHeight="1">
      <x:c r="A241" s="219" t="str">
        <x:v>N08-135</x:v>
      </x:c>
      <x:c r="B241" s="219" t="str">
        <x:v>I08</x:v>
      </x:c>
      <x:c r="C241" s="219" t="str">
        <x:v>CORRECTED NATIVE I20</x:v>
      </x:c>
      <x:c r="D241" s="219" t="str">
        <x:v>Items shorting two nets (nets  and 3V3_BULK_DAMPED)</x:v>
      </x:c>
      <x:c r="E241" s="219" t="str">
        <x:v>Resolved through the subsequent coordinated native candidate and recorded source changes.</x:v>
      </x:c>
      <x:c r="F241" s="219" t="str">
        <x:v>iterations/I08_native_corrections/REDLINE_FREEZE.json
iterations/I20_controlled_handoff/NATIVE_BINDING.json
current/I21_SOURCE_VERIFICATION.json
current/SOURCE_EFFECTIVITY.json</x:v>
      </x:c>
    </x:row>
    <x:row r="242" ht="62" customHeight="1">
      <x:c r="A242" s="180" t="str">
        <x:v>N08-136</x:v>
      </x:c>
      <x:c r="B242" s="180" t="str">
        <x:v>I08</x:v>
      </x:c>
      <x:c r="C242" s="180" t="str">
        <x:v>CORRECTED NATIVE I20</x:v>
      </x:c>
      <x:c r="D242" s="180" t="str">
        <x:v>Clearance violation (rule 'Logic clearance' clearance 0.1500 mm; actual 0.0950 mm)</x:v>
      </x:c>
      <x:c r="E242" s="180" t="str">
        <x:v>Resolved through the subsequent coordinated native candidate and recorded source changes.</x:v>
      </x:c>
      <x:c r="F242" s="180" t="str">
        <x:v>iterations/I08_native_corrections/REDLINE_FREEZE.json
iterations/I20_controlled_handoff/NATIVE_BINDING.json
current/I21_SOURCE_VERIFICATION.json
current/SOURCE_EFFECTIVITY.json</x:v>
      </x:c>
    </x:row>
    <x:row r="243" ht="62" customHeight="1">
      <x:c r="A243" s="219" t="str">
        <x:v>N08-137</x:v>
      </x:c>
      <x:c r="B243" s="219" t="str">
        <x:v>I08</x:v>
      </x:c>
      <x:c r="C243" s="219" t="str">
        <x:v>CORRECTED NATIVE I20</x:v>
      </x:c>
      <x:c r="D243" s="219" t="str">
        <x:v>Items shorting two nets (nets 3V3_BULK_DAMPED and )</x:v>
      </x:c>
      <x:c r="E243" s="219" t="str">
        <x:v>Resolved through the subsequent coordinated native candidate and recorded source changes.</x:v>
      </x:c>
      <x:c r="F243" s="219" t="str">
        <x:v>iterations/I08_native_corrections/REDLINE_FREEZE.json
iterations/I20_controlled_handoff/NATIVE_BINDING.json
current/I21_SOURCE_VERIFICATION.json
current/SOURCE_EFFECTIVITY.json</x:v>
      </x:c>
    </x:row>
    <x:row r="244" ht="62" customHeight="1">
      <x:c r="A244" s="180" t="str">
        <x:v>N08-138</x:v>
      </x:c>
      <x:c r="B244" s="180" t="str">
        <x:v>I08</x:v>
      </x:c>
      <x:c r="C244" s="180" t="str">
        <x:v>CORRECTED NATIVE I20</x:v>
      </x:c>
      <x:c r="D244" s="180" t="str">
        <x:v>Items shorting two nets (nets  and 3V3_BULK_DAMPED)</x:v>
      </x:c>
      <x:c r="E244" s="180" t="str">
        <x:v>Resolved through the subsequent coordinated native candidate and recorded source changes.</x:v>
      </x:c>
      <x:c r="F244" s="180" t="str">
        <x:v>iterations/I08_native_corrections/REDLINE_FREEZE.json
iterations/I20_controlled_handoff/NATIVE_BINDING.json
current/I21_SOURCE_VERIFICATION.json
current/SOURCE_EFFECTIVITY.json</x:v>
      </x:c>
    </x:row>
    <x:row r="245" ht="62" customHeight="1">
      <x:c r="A245" s="219" t="str">
        <x:v>N08-139</x:v>
      </x:c>
      <x:c r="B245" s="219" t="str">
        <x:v>I08</x:v>
      </x:c>
      <x:c r="C245" s="219" t="str">
        <x:v>CORRECTED NATIVE I20</x:v>
      </x:c>
      <x:c r="D245" s="219" t="str">
        <x:v>Items shorting two nets (nets  and 3V3_BULK_DAMPED)</x:v>
      </x:c>
      <x:c r="E245" s="219" t="str">
        <x:v>Resolved through the subsequent coordinated native candidate and recorded source changes.</x:v>
      </x:c>
      <x:c r="F245" s="219" t="str">
        <x:v>iterations/I08_native_corrections/REDLINE_FREEZE.json
iterations/I20_controlled_handoff/NATIVE_BINDING.json
current/I21_SOURCE_VERIFICATION.json
current/SOURCE_EFFECTIVITY.json</x:v>
      </x:c>
    </x:row>
    <x:row r="246" ht="62" customHeight="1">
      <x:c r="A246" s="180" t="str">
        <x:v>N08-140</x:v>
      </x:c>
      <x:c r="B246" s="180" t="str">
        <x:v>I08</x:v>
      </x:c>
      <x:c r="C246" s="180" t="str">
        <x:v>CORRECTED NATIVE I20</x:v>
      </x:c>
      <x:c r="D246" s="180" t="str">
        <x:v>Clearance violation (rule 'Logic clearance' clearance 0.1500 mm; actual 0.0300 mm)</x:v>
      </x:c>
      <x:c r="E246" s="180" t="str">
        <x:v>Resolved through the subsequent coordinated native candidate and recorded source changes.</x:v>
      </x:c>
      <x:c r="F246" s="180" t="str">
        <x:v>iterations/I08_native_corrections/REDLINE_FREEZE.json
iterations/I20_controlled_handoff/NATIVE_BINDING.json
current/I21_SOURCE_VERIFICATION.json
current/SOURCE_EFFECTIVITY.json</x:v>
      </x:c>
    </x:row>
    <x:row r="247" ht="62" customHeight="1">
      <x:c r="A247" s="219" t="str">
        <x:v>N08-141</x:v>
      </x:c>
      <x:c r="B247" s="219" t="str">
        <x:v>I08</x:v>
      </x:c>
      <x:c r="C247" s="219" t="str">
        <x:v>CORRECTED NATIVE I20</x:v>
      </x:c>
      <x:c r="D247" s="219" t="str">
        <x:v>Hole clearance violation (board setup constraints hole clearance 0.2500 mm; actual 0.2000 mm)</x:v>
      </x:c>
      <x:c r="E247" s="219" t="str">
        <x:v>Resolved through the subsequent coordinated native candidate and recorded source changes.</x:v>
      </x:c>
      <x:c r="F247" s="219" t="str">
        <x:v>iterations/I08_native_corrections/REDLINE_FREEZE.json
iterations/I20_controlled_handoff/NATIVE_BINDING.json
current/I21_SOURCE_VERIFICATION.json
current/SOURCE_EFFECTIVITY.json</x:v>
      </x:c>
    </x:row>
    <x:row r="248" ht="62" customHeight="1">
      <x:c r="A248" s="180" t="str">
        <x:v>N08-142</x:v>
      </x:c>
      <x:c r="B248" s="180" t="str">
        <x:v>I08</x:v>
      </x:c>
      <x:c r="C248" s="180" t="str">
        <x:v>CORRECTED NATIVE I20</x:v>
      </x:c>
      <x:c r="D248" s="180" t="str">
        <x:v>Copper zones intersect (intersecting zones must have distinct priorities)</x:v>
      </x:c>
      <x:c r="E248" s="180" t="str">
        <x:v>Resolved through the subsequent coordinated native candidate and recorded source changes.</x:v>
      </x:c>
      <x:c r="F248" s="180" t="str">
        <x:v>iterations/I08_native_corrections/REDLINE_FREEZE.json
iterations/I20_controlled_handoff/NATIVE_BINDING.json
current/I21_SOURCE_VERIFICATION.json
current/SOURCE_EFFECTIVITY.json</x:v>
      </x:c>
    </x:row>
    <x:row r="249" ht="62" customHeight="1">
      <x:c r="A249" s="219" t="str">
        <x:v>N08-143</x:v>
      </x:c>
      <x:c r="B249" s="219" t="str">
        <x:v>I08</x:v>
      </x:c>
      <x:c r="C249" s="219" t="str">
        <x:v>CORRECTED NATIVE I20</x:v>
      </x:c>
      <x:c r="D249" s="219" t="str">
        <x:v>Copper zones intersect (intersecting zones must have distinct priorities)</x:v>
      </x:c>
      <x:c r="E249" s="219" t="str">
        <x:v>Resolved through the subsequent coordinated native candidate and recorded source changes.</x:v>
      </x:c>
      <x:c r="F249" s="219" t="str">
        <x:v>iterations/I08_native_corrections/REDLINE_FREEZE.json
iterations/I20_controlled_handoff/NATIVE_BINDING.json
current/I21_SOURCE_VERIFICATION.json
current/SOURCE_EFFECTIVITY.json</x:v>
      </x:c>
    </x:row>
    <x:row r="250" ht="62" customHeight="1">
      <x:c r="A250" s="180" t="str">
        <x:v>N08-144</x:v>
      </x:c>
      <x:c r="B250" s="180" t="str">
        <x:v>I08</x:v>
      </x:c>
      <x:c r="C250" s="180" t="str">
        <x:v>CORRECTED NATIVE I20</x:v>
      </x:c>
      <x:c r="D250" s="180" t="str">
        <x:v>Copper zones intersect (intersecting zones must have distinct priorities)</x:v>
      </x:c>
      <x:c r="E250" s="180" t="str">
        <x:v>Resolved through the subsequent coordinated native candidate and recorded source changes.</x:v>
      </x:c>
      <x:c r="F250" s="180" t="str">
        <x:v>iterations/I08_native_corrections/REDLINE_FREEZE.json
iterations/I20_controlled_handoff/NATIVE_BINDING.json
current/I21_SOURCE_VERIFICATION.json
current/SOURCE_EFFECTIVITY.json</x:v>
      </x:c>
    </x:row>
    <x:row r="251" ht="62" customHeight="1">
      <x:c r="A251" s="219" t="str">
        <x:v>N08-145</x:v>
      </x:c>
      <x:c r="B251" s="219" t="str">
        <x:v>I08</x:v>
      </x:c>
      <x:c r="C251" s="219" t="str">
        <x:v>CORRECTED NATIVE I20</x:v>
      </x:c>
      <x:c r="D251" s="219" t="str">
        <x:v>Copper zones intersect (intersecting zones must have distinct priorities)</x:v>
      </x:c>
      <x:c r="E251" s="219" t="str">
        <x:v>Resolved through the subsequent coordinated native candidate and recorded source changes.</x:v>
      </x:c>
      <x:c r="F251" s="219" t="str">
        <x:v>iterations/I08_native_corrections/REDLINE_FREEZE.json
iterations/I20_controlled_handoff/NATIVE_BINDING.json
current/I21_SOURCE_VERIFICATION.json
current/SOURCE_EFFECTIVITY.json</x:v>
      </x:c>
    </x:row>
    <x:row r="252" ht="62" customHeight="1">
      <x:c r="A252" s="180" t="str">
        <x:v>N08-146</x:v>
      </x:c>
      <x:c r="B252" s="180" t="str">
        <x:v>I08</x:v>
      </x:c>
      <x:c r="C252" s="180" t="str">
        <x:v>CORRECTED NATIVE I20</x:v>
      </x:c>
      <x:c r="D252" s="180" t="str">
        <x:v>Copper zones intersect (intersecting zones must have distinct priorities)</x:v>
      </x:c>
      <x:c r="E252" s="180" t="str">
        <x:v>Resolved through the subsequent coordinated native candidate and recorded source changes.</x:v>
      </x:c>
      <x:c r="F252" s="180" t="str">
        <x:v>iterations/I08_native_corrections/REDLINE_FREEZE.json
iterations/I20_controlled_handoff/NATIVE_BINDING.json
current/I21_SOURCE_VERIFICATION.json
current/SOURCE_EFFECTIVITY.json</x:v>
      </x:c>
    </x:row>
    <x:row r="253" ht="62" customHeight="1">
      <x:c r="A253" s="219" t="str">
        <x:v>N08-147</x:v>
      </x:c>
      <x:c r="B253" s="219" t="str">
        <x:v>I08</x:v>
      </x:c>
      <x:c r="C253" s="219" t="str">
        <x:v>CORRECTED NATIVE I20</x:v>
      </x:c>
      <x:c r="D253" s="219" t="str">
        <x:v>Copper zones intersect (intersecting zones must have distinct priorities)</x:v>
      </x:c>
      <x:c r="E253" s="219" t="str">
        <x:v>Resolved through the subsequent coordinated native candidate and recorded source changes.</x:v>
      </x:c>
      <x:c r="F253" s="219" t="str">
        <x:v>iterations/I08_native_corrections/REDLINE_FREEZE.json
iterations/I20_controlled_handoff/NATIVE_BINDING.json
current/I21_SOURCE_VERIFICATION.json
current/SOURCE_EFFECTIVITY.json</x:v>
      </x:c>
    </x:row>
    <x:row r="254" ht="62" customHeight="1">
      <x:c r="A254" s="180" t="str">
        <x:v>N08-148</x:v>
      </x:c>
      <x:c r="B254" s="180" t="str">
        <x:v>I08</x:v>
      </x:c>
      <x:c r="C254" s="180" t="str">
        <x:v>CORRECTED NATIVE I20</x:v>
      </x:c>
      <x:c r="D254" s="180" t="str">
        <x:v>Copper zones intersect (intersecting zones must have distinct priorities)</x:v>
      </x:c>
      <x:c r="E254" s="180" t="str">
        <x:v>Resolved through the subsequent coordinated native candidate and recorded source changes.</x:v>
      </x:c>
      <x:c r="F254" s="180" t="str">
        <x:v>iterations/I08_native_corrections/REDLINE_FREEZE.json
iterations/I20_controlled_handoff/NATIVE_BINDING.json
current/I21_SOURCE_VERIFICATION.json
current/SOURCE_EFFECTIVITY.json</x:v>
      </x:c>
    </x:row>
    <x:row r="255" ht="62" customHeight="1">
      <x:c r="A255" s="219" t="str">
        <x:v>N08-149</x:v>
      </x:c>
      <x:c r="B255" s="219" t="str">
        <x:v>I08</x:v>
      </x:c>
      <x:c r="C255" s="219" t="str">
        <x:v>CORRECTED NATIVE I20</x:v>
      </x:c>
      <x:c r="D255" s="219" t="str">
        <x:v>Copper zones intersect (intersecting zones must have distinct priorities)</x:v>
      </x:c>
      <x:c r="E255" s="219" t="str">
        <x:v>Resolved through the subsequent coordinated native candidate and recorded source changes.</x:v>
      </x:c>
      <x:c r="F255" s="219" t="str">
        <x:v>iterations/I08_native_corrections/REDLINE_FREEZE.json
iterations/I20_controlled_handoff/NATIVE_BINDING.json
current/I21_SOURCE_VERIFICATION.json
current/SOURCE_EFFECTIVITY.json</x:v>
      </x:c>
    </x:row>
    <x:row r="256" ht="62" customHeight="1">
      <x:c r="A256" s="180" t="str">
        <x:v>N08-150</x:v>
      </x:c>
      <x:c r="B256" s="180" t="str">
        <x:v>I08</x:v>
      </x:c>
      <x:c r="C256" s="180" t="str">
        <x:v>CORRECTED NATIVE I20</x:v>
      </x:c>
      <x:c r="D256" s="180" t="str">
        <x:v>Items not allowed (keepout area)</x:v>
      </x:c>
      <x:c r="E256" s="180" t="str">
        <x:v>Resolved through the subsequent coordinated native candidate and recorded source changes.</x:v>
      </x:c>
      <x:c r="F256" s="180" t="str">
        <x:v>iterations/I08_native_corrections/REDLINE_FREEZE.json
iterations/I20_controlled_handoff/NATIVE_BINDING.json
current/I21_SOURCE_VERIFICATION.json
current/SOURCE_EFFECTIVITY.json</x:v>
      </x:c>
    </x:row>
    <x:row r="257" ht="62" customHeight="1">
      <x:c r="A257" s="219" t="str">
        <x:v>N08-151</x:v>
      </x:c>
      <x:c r="B257" s="219" t="str">
        <x:v>I08</x:v>
      </x:c>
      <x:c r="C257" s="219" t="str">
        <x:v>CORRECTED NATIVE I20</x:v>
      </x:c>
      <x:c r="D257" s="219" t="str">
        <x:v>Items not allowed (keepout area)</x:v>
      </x:c>
      <x:c r="E257" s="219" t="str">
        <x:v>Resolved through the subsequent coordinated native candidate and recorded source changes.</x:v>
      </x:c>
      <x:c r="F257" s="219" t="str">
        <x:v>iterations/I08_native_corrections/REDLINE_FREEZE.json
iterations/I20_controlled_handoff/NATIVE_BINDING.json
current/I21_SOURCE_VERIFICATION.json
current/SOURCE_EFFECTIVITY.json</x:v>
      </x:c>
    </x:row>
    <x:row r="258" ht="62" customHeight="1">
      <x:c r="A258" s="180" t="str">
        <x:v>N08-152</x:v>
      </x:c>
      <x:c r="B258" s="180" t="str">
        <x:v>I08</x:v>
      </x:c>
      <x:c r="C258" s="180" t="str">
        <x:v>CORRECTED NATIVE I20</x:v>
      </x:c>
      <x:c r="D258" s="180" t="str">
        <x:v>Items not allowed (keepout area)</x:v>
      </x:c>
      <x:c r="E258" s="180" t="str">
        <x:v>Resolved through the subsequent coordinated native candidate and recorded source changes.</x:v>
      </x:c>
      <x:c r="F258" s="180" t="str">
        <x:v>iterations/I08_native_corrections/REDLINE_FREEZE.json
iterations/I20_controlled_handoff/NATIVE_BINDING.json
current/I21_SOURCE_VERIFICATION.json
current/SOURCE_EFFECTIVITY.json</x:v>
      </x:c>
    </x:row>
    <x:row r="259" ht="62" customHeight="1">
      <x:c r="A259" s="219" t="str">
        <x:v>N08-153</x:v>
      </x:c>
      <x:c r="B259" s="219" t="str">
        <x:v>I08</x:v>
      </x:c>
      <x:c r="C259" s="219" t="str">
        <x:v>CORRECTED NATIVE I20</x:v>
      </x:c>
      <x:c r="D259" s="219" t="str">
        <x:v>Items not allowed (keepout area)</x:v>
      </x:c>
      <x:c r="E259" s="219" t="str">
        <x:v>Resolved through the subsequent coordinated native candidate and recorded source changes.</x:v>
      </x:c>
      <x:c r="F259" s="219" t="str">
        <x:v>iterations/I08_native_corrections/REDLINE_FREEZE.json
iterations/I20_controlled_handoff/NATIVE_BINDING.json
current/I21_SOURCE_VERIFICATION.json
current/SOURCE_EFFECTIVITY.json</x:v>
      </x:c>
    </x:row>
    <x:row r="260" ht="62" customHeight="1">
      <x:c r="A260" s="180" t="str">
        <x:v>N08-154</x:v>
      </x:c>
      <x:c r="B260" s="180" t="str">
        <x:v>I08</x:v>
      </x:c>
      <x:c r="C260" s="180" t="str">
        <x:v>CORRECTED NATIVE I20</x:v>
      </x:c>
      <x:c r="D260" s="180" t="str">
        <x:v>Items not allowed (keepout area)</x:v>
      </x:c>
      <x:c r="E260" s="180" t="str">
        <x:v>Resolved through the subsequent coordinated native candidate and recorded source changes.</x:v>
      </x:c>
      <x:c r="F260" s="180" t="str">
        <x:v>iterations/I08_native_corrections/REDLINE_FREEZE.json
iterations/I20_controlled_handoff/NATIVE_BINDING.json
current/I21_SOURCE_VERIFICATION.json
current/SOURCE_EFFECTIVITY.json</x:v>
      </x:c>
    </x:row>
    <x:row r="261" ht="62" customHeight="1">
      <x:c r="A261" s="219" t="str">
        <x:v>N08-155</x:v>
      </x:c>
      <x:c r="B261" s="219" t="str">
        <x:v>I08</x:v>
      </x:c>
      <x:c r="C261" s="219" t="str">
        <x:v>CORRECTED NATIVE I20</x:v>
      </x:c>
      <x:c r="D261" s="219" t="str">
        <x:v>Items not allowed (keepout area)</x:v>
      </x:c>
      <x:c r="E261" s="219" t="str">
        <x:v>Resolved through the subsequent coordinated native candidate and recorded source changes.</x:v>
      </x:c>
      <x:c r="F261" s="219" t="str">
        <x:v>iterations/I08_native_corrections/REDLINE_FREEZE.json
iterations/I20_controlled_handoff/NATIVE_BINDING.json
current/I21_SOURCE_VERIFICATION.json
current/SOURCE_EFFECTIVITY.json</x:v>
      </x:c>
    </x:row>
    <x:row r="262" ht="62" customHeight="1">
      <x:c r="A262" s="180" t="str">
        <x:v>N08-156</x:v>
      </x:c>
      <x:c r="B262" s="180" t="str">
        <x:v>I08</x:v>
      </x:c>
      <x:c r="C262" s="180" t="str">
        <x:v>CORRECTED NATIVE I20</x:v>
      </x:c>
      <x:c r="D262" s="180" t="str">
        <x:v>Items not allowed (keepout area 'RVB22_EAR_NO_COPPER')</x:v>
      </x:c>
      <x:c r="E262" s="180" t="str">
        <x:v>Resolved through the subsequent coordinated native candidate and recorded source changes.</x:v>
      </x:c>
      <x:c r="F262" s="180" t="str">
        <x:v>iterations/I08_native_corrections/REDLINE_FREEZE.json
iterations/I20_controlled_handoff/NATIVE_BINDING.json
current/I21_SOURCE_VERIFICATION.json
current/SOURCE_EFFECTIVITY.json</x:v>
      </x:c>
    </x:row>
    <x:row r="263" ht="62" customHeight="1">
      <x:c r="A263" s="219" t="str">
        <x:v>N08-157</x:v>
      </x:c>
      <x:c r="B263" s="219" t="str">
        <x:v>I08</x:v>
      </x:c>
      <x:c r="C263" s="219" t="str">
        <x:v>CORRECTED NATIVE I20</x:v>
      </x:c>
      <x:c r="D263" s="219" t="str">
        <x:v>Items not allowed (keepout area 'RVB22_EAR_NO_COPPER')</x:v>
      </x:c>
      <x:c r="E263" s="219" t="str">
        <x:v>Resolved through the subsequent coordinated native candidate and recorded source changes.</x:v>
      </x:c>
      <x:c r="F263" s="219" t="str">
        <x:v>iterations/I08_native_corrections/REDLINE_FREEZE.json
iterations/I20_controlled_handoff/NATIVE_BINDING.json
current/I21_SOURCE_VERIFICATION.json
current/SOURCE_EFFECTIVITY.json</x:v>
      </x:c>
    </x:row>
    <x:row r="264" ht="62" customHeight="1">
      <x:c r="A264" s="180" t="str">
        <x:v>N08-158</x:v>
      </x:c>
      <x:c r="B264" s="180" t="str">
        <x:v>I08</x:v>
      </x:c>
      <x:c r="C264" s="180" t="str">
        <x:v>CORRECTED NATIVE I20</x:v>
      </x:c>
      <x:c r="D264" s="180" t="str">
        <x:v>Items not allowed (keepout area 'RVB22_EAR_NO_COPPER')</x:v>
      </x:c>
      <x:c r="E264" s="180" t="str">
        <x:v>Resolved through the subsequent coordinated native candidate and recorded source changes.</x:v>
      </x:c>
      <x:c r="F264" s="180" t="str">
        <x:v>iterations/I08_native_corrections/REDLINE_FREEZE.json
iterations/I20_controlled_handoff/NATIVE_BINDING.json
current/I21_SOURCE_VERIFICATION.json
current/SOURCE_EFFECTIVITY.json</x:v>
      </x:c>
    </x:row>
    <x:row r="265" ht="62" customHeight="1">
      <x:c r="A265" s="219" t="str">
        <x:v>N08-159</x:v>
      </x:c>
      <x:c r="B265" s="219" t="str">
        <x:v>I08</x:v>
      </x:c>
      <x:c r="C265" s="219" t="str">
        <x:v>CORRECTED NATIVE I20</x:v>
      </x:c>
      <x:c r="D265" s="219" t="str">
        <x:v>Items not allowed (keepout area 'RVB22_EAR_NO_COPPER')</x:v>
      </x:c>
      <x:c r="E265" s="219" t="str">
        <x:v>Resolved through the subsequent coordinated native candidate and recorded source changes.</x:v>
      </x:c>
      <x:c r="F265" s="219" t="str">
        <x:v>iterations/I08_native_corrections/REDLINE_FREEZE.json
iterations/I20_controlled_handoff/NATIVE_BINDING.json
current/I21_SOURCE_VERIFICATION.json
current/SOURCE_EFFECTIVITY.json</x:v>
      </x:c>
    </x:row>
    <x:row r="266" ht="62" customHeight="1">
      <x:c r="A266" s="180" t="str">
        <x:v>N08-160</x:v>
      </x:c>
      <x:c r="B266" s="180" t="str">
        <x:v>I08</x:v>
      </x:c>
      <x:c r="C266" s="180" t="str">
        <x:v>CORRECTED NATIVE I20</x:v>
      </x:c>
      <x:c r="D266" s="180" t="str">
        <x:v>Silkscreen clipped by solder mask</x:v>
      </x:c>
      <x:c r="E266" s="180" t="str">
        <x:v>Resolved through the subsequent coordinated native candidate and recorded source changes.</x:v>
      </x:c>
      <x:c r="F266" s="180" t="str">
        <x:v>iterations/I08_native_corrections/REDLINE_FREEZE.json
iterations/I20_controlled_handoff/NATIVE_BINDING.json
current/I21_SOURCE_VERIFICATION.json
current/SOURCE_EFFECTIVITY.json</x:v>
      </x:c>
    </x:row>
    <x:row r="267" ht="62" customHeight="1">
      <x:c r="A267" s="219" t="str">
        <x:v>N08-161</x:v>
      </x:c>
      <x:c r="B267" s="219" t="str">
        <x:v>I08</x:v>
      </x:c>
      <x:c r="C267" s="219" t="str">
        <x:v>CORRECTED NATIVE I20</x:v>
      </x:c>
      <x:c r="D267" s="219" t="str">
        <x:v>Footprint 'ESP32-S3-WROOM-1' does not match copy in library 'RevB'.</x:v>
      </x:c>
      <x:c r="E267" s="219" t="str">
        <x:v>Resolved through the subsequent coordinated native candidate and recorded source changes.</x:v>
      </x:c>
      <x:c r="F267" s="219" t="str">
        <x:v>iterations/I08_native_corrections/REDLINE_FREEZE.json
iterations/I20_controlled_handoff/NATIVE_BINDING.json
current/I21_SOURCE_VERIFICATION.json
current/SOURCE_EFFECTIVITY.json</x:v>
      </x:c>
    </x:row>
    <x:row r="268" ht="62" customHeight="1">
      <x:c r="A268" s="180" t="str">
        <x:v>N08-162</x:v>
      </x:c>
      <x:c r="B268" s="180" t="str">
        <x:v>I08</x:v>
      </x:c>
      <x:c r="C268" s="180" t="str">
        <x:v>CORRECTED NATIVE I20</x:v>
      </x:c>
      <x:c r="D268" s="180" t="str">
        <x:v>Footprint 'D_SMC' does not match copy in library 'RevB'.</x:v>
      </x:c>
      <x:c r="E268" s="180" t="str">
        <x:v>Resolved through the subsequent coordinated native candidate and recorded source changes.</x:v>
      </x:c>
      <x:c r="F268" s="180" t="str">
        <x:v>iterations/I08_native_corrections/REDLINE_FREEZE.json
iterations/I20_controlled_handoff/NATIVE_BINDING.json
current/I21_SOURCE_VERIFICATION.json
current/SOURCE_EFFECTIVITY.json</x:v>
      </x:c>
    </x:row>
    <x:row r="269" ht="62" customHeight="1">
      <x:c r="A269" s="219" t="str">
        <x:v>N08-163</x:v>
      </x:c>
      <x:c r="B269" s="219" t="str">
        <x:v>I08</x:v>
      </x:c>
      <x:c r="C269" s="219" t="str">
        <x:v>CORRECTED NATIVE I20</x:v>
      </x:c>
      <x:c r="D269" s="219" t="str">
        <x:v>Footprint 'Coilcraft_MSS1246T_12x12' does not match copy in library 'RevB'.</x:v>
      </x:c>
      <x:c r="E269" s="219" t="str">
        <x:v>Resolved through the subsequent coordinated native candidate and recorded source changes.</x:v>
      </x:c>
      <x:c r="F269" s="219" t="str">
        <x:v>iterations/I08_native_corrections/REDLINE_FREEZE.json
iterations/I20_controlled_handoff/NATIVE_BINDING.json
current/I21_SOURCE_VERIFICATION.json
current/SOURCE_EFFECTIVITY.json</x:v>
      </x:c>
    </x:row>
    <x:row r="270" ht="62" customHeight="1">
      <x:c r="A270" s="180" t="str">
        <x:v>N08-164</x:v>
      </x:c>
      <x:c r="B270" s="180" t="str">
        <x:v>I08</x:v>
      </x:c>
      <x:c r="C270" s="180" t="str">
        <x:v>CORRECTED NATIVE I20</x:v>
      </x:c>
      <x:c r="D270" s="180" t="str">
        <x:v>Footprint 'R_0603_1608Metric' does not match copy in library 'RevB'.</x:v>
      </x:c>
      <x:c r="E270" s="180" t="str">
        <x:v>Resolved through the subsequent coordinated native candidate and recorded source changes.</x:v>
      </x:c>
      <x:c r="F270" s="180" t="str">
        <x:v>iterations/I08_native_corrections/REDLINE_FREEZE.json
iterations/I20_controlled_handoff/NATIVE_BINDING.json
current/I21_SOURCE_VERIFICATION.json
current/SOURCE_EFFECTIVITY.json</x:v>
      </x:c>
    </x:row>
    <x:row r="271" ht="62" customHeight="1">
      <x:c r="A271" s="219" t="str">
        <x:v>N08-165</x:v>
      </x:c>
      <x:c r="B271" s="219" t="str">
        <x:v>I08</x:v>
      </x:c>
      <x:c r="C271" s="219" t="str">
        <x:v>CORRECTED NATIVE I20</x:v>
      </x:c>
      <x:c r="D271" s="219" t="str">
        <x:v>Footprint 'Molex_Micro-Fit_3.0_43045-1200_2x06_P3.00mm_Horizontal' does not match copy in library 'RevB'.</x:v>
      </x:c>
      <x:c r="E271" s="219" t="str">
        <x:v>Resolved through the subsequent coordinated native candidate and recorded source changes.</x:v>
      </x:c>
      <x:c r="F271" s="219" t="str">
        <x:v>iterations/I08_native_corrections/REDLINE_FREEZE.json
iterations/I20_controlled_handoff/NATIVE_BINDING.json
current/I21_SOURCE_VERIFICATION.json
current/SOURCE_EFFECTIVITY.json</x:v>
      </x:c>
    </x:row>
    <x:row r="272" ht="62" customHeight="1">
      <x:c r="A272" s="180" t="str">
        <x:v>N08-166</x:v>
      </x:c>
      <x:c r="B272" s="180" t="str">
        <x:v>I08</x:v>
      </x:c>
      <x:c r="C272" s="180" t="str">
        <x:v>CORRECTED NATIVE I20</x:v>
      </x:c>
      <x:c r="D272" s="180" t="str">
        <x:v>Footprint 'R_0603_1608Metric' does not match copy in library 'RevB'.</x:v>
      </x:c>
      <x:c r="E272" s="180" t="str">
        <x:v>Resolved through the subsequent coordinated native candidate and recorded source changes.</x:v>
      </x:c>
      <x:c r="F272" s="180" t="str">
        <x:v>iterations/I08_native_corrections/REDLINE_FREEZE.json
iterations/I20_controlled_handoff/NATIVE_BINDING.json
current/I21_SOURCE_VERIFICATION.json
current/SOURCE_EFFECTIVITY.json</x:v>
      </x:c>
    </x:row>
    <x:row r="273" ht="62" customHeight="1">
      <x:c r="A273" s="219" t="str">
        <x:v>N08-167</x:v>
      </x:c>
      <x:c r="B273" s="219" t="str">
        <x:v>I08</x:v>
      </x:c>
      <x:c r="C273" s="219" t="str">
        <x:v>CORRECTED NATIVE I20</x:v>
      </x:c>
      <x:c r="D273" s="219" t="str">
        <x:v>Footprint 'R_0603_1608Metric' does not match copy in library 'RevB'.</x:v>
      </x:c>
      <x:c r="E273" s="219" t="str">
        <x:v>Resolved through the subsequent coordinated native candidate and recorded source changes.</x:v>
      </x:c>
      <x:c r="F273" s="219" t="str">
        <x:v>iterations/I08_native_corrections/REDLINE_FREEZE.json
iterations/I20_controlled_handoff/NATIVE_BINDING.json
current/I21_SOURCE_VERIFICATION.json
current/SOURCE_EFFECTIVITY.json</x:v>
      </x:c>
    </x:row>
    <x:row r="274" ht="62" customHeight="1">
      <x:c r="A274" s="180" t="str">
        <x:v>N08-168</x:v>
      </x:c>
      <x:c r="B274" s="180" t="str">
        <x:v>I08</x:v>
      </x:c>
      <x:c r="C274" s="180" t="str">
        <x:v>CORRECTED NATIVE I20</x:v>
      </x:c>
      <x:c r="D274" s="180" t="str">
        <x:v>Footprint 'C_0603_1608Metric' does not match copy in library 'RevB'.</x:v>
      </x:c>
      <x:c r="E274" s="180" t="str">
        <x:v>Resolved through the subsequent coordinated native candidate and recorded source changes.</x:v>
      </x:c>
      <x:c r="F274" s="180" t="str">
        <x:v>iterations/I08_native_corrections/REDLINE_FREEZE.json
iterations/I20_controlled_handoff/NATIVE_BINDING.json
current/I21_SOURCE_VERIFICATION.json
current/SOURCE_EFFECTIVITY.json</x:v>
      </x:c>
    </x:row>
    <x:row r="275" ht="62" customHeight="1">
      <x:c r="A275" s="219" t="str">
        <x:v>N08-169</x:v>
      </x:c>
      <x:c r="B275" s="219" t="str">
        <x:v>I08</x:v>
      </x:c>
      <x:c r="C275" s="219" t="str">
        <x:v>CORRECTED NATIVE I20</x:v>
      </x:c>
      <x:c r="D275" s="219" t="str">
        <x:v>Footprint 'C_0603_1608Metric' does not match copy in library 'RevB'.</x:v>
      </x:c>
      <x:c r="E275" s="219" t="str">
        <x:v>Resolved through the subsequent coordinated native candidate and recorded source changes.</x:v>
      </x:c>
      <x:c r="F275" s="219" t="str">
        <x:v>iterations/I08_native_corrections/REDLINE_FREEZE.json
iterations/I20_controlled_handoff/NATIVE_BINDING.json
current/I21_SOURCE_VERIFICATION.json
current/SOURCE_EFFECTIVITY.json</x:v>
      </x:c>
    </x:row>
    <x:row r="276" ht="62" customHeight="1">
      <x:c r="A276" s="180" t="str">
        <x:v>N08-170</x:v>
      </x:c>
      <x:c r="B276" s="180" t="str">
        <x:v>I08</x:v>
      </x:c>
      <x:c r="C276" s="180" t="str">
        <x:v>CORRECTED NATIVE I20</x:v>
      </x:c>
      <x:c r="D276" s="180" t="str">
        <x:v>Footprint 'R_0603_1608Metric' does not match copy in library 'RevB'.</x:v>
      </x:c>
      <x:c r="E276" s="180" t="str">
        <x:v>Resolved through the subsequent coordinated native candidate and recorded source changes.</x:v>
      </x:c>
      <x:c r="F276" s="180" t="str">
        <x:v>iterations/I08_native_corrections/REDLINE_FREEZE.json
iterations/I20_controlled_handoff/NATIVE_BINDING.json
current/I21_SOURCE_VERIFICATION.json
current/SOURCE_EFFECTIVITY.json</x:v>
      </x:c>
    </x:row>
    <x:row r="277" ht="62" customHeight="1">
      <x:c r="A277" s="219" t="str">
        <x:v>N08-171</x:v>
      </x:c>
      <x:c r="B277" s="219" t="str">
        <x:v>I08</x:v>
      </x:c>
      <x:c r="C277" s="219" t="str">
        <x:v>CORRECTED NATIVE I20</x:v>
      </x:c>
      <x:c r="D277" s="219" t="str">
        <x:v>Footprint 'HTSSOP-16-1EP_4.4x5mm_P0.65mm_EP3.4x5mm_Mask2.46x2.31mm' does not match copy in library 'RevB'.</x:v>
      </x:c>
      <x:c r="E277" s="219" t="str">
        <x:v>Resolved through the subsequent coordinated native candidate and recorded source changes.</x:v>
      </x:c>
      <x:c r="F277" s="219" t="str">
        <x:v>iterations/I08_native_corrections/REDLINE_FREEZE.json
iterations/I20_controlled_handoff/NATIVE_BINDING.json
current/I21_SOURCE_VERIFICATION.json
current/SOURCE_EFFECTIVITY.json</x:v>
      </x:c>
    </x:row>
    <x:row r="278" ht="62" customHeight="1">
      <x:c r="A278" s="180" t="str">
        <x:v>N08-172</x:v>
      </x:c>
      <x:c r="B278" s="180" t="str">
        <x:v>I08</x:v>
      </x:c>
      <x:c r="C278" s="180" t="str">
        <x:v>CORRECTED NATIVE I20</x:v>
      </x:c>
      <x:c r="D278" s="180" t="str">
        <x:v>Via is not connected or connected on only one layer</x:v>
      </x:c>
      <x:c r="E278" s="180" t="str">
        <x:v>Resolved through the subsequent coordinated native candidate and recorded source changes.</x:v>
      </x:c>
      <x:c r="F278" s="180" t="str">
        <x:v>iterations/I08_native_corrections/REDLINE_FREEZE.json
iterations/I20_controlled_handoff/NATIVE_BINDING.json
current/I21_SOURCE_VERIFICATION.json
current/SOURCE_EFFECTIVITY.json</x:v>
      </x:c>
    </x:row>
    <x:row r="279" ht="62" customHeight="1">
      <x:c r="A279" s="219" t="str">
        <x:v>N08-173</x:v>
      </x:c>
      <x:c r="B279" s="219" t="str">
        <x:v>I08</x:v>
      </x:c>
      <x:c r="C279" s="219" t="str">
        <x:v>CORRECTED NATIVE I20</x:v>
      </x:c>
      <x:c r="D279" s="219" t="str">
        <x:v>Track has unconnected end</x:v>
      </x:c>
      <x:c r="E279" s="219" t="str">
        <x:v>Resolved through the subsequent coordinated native candidate and recorded source changes.</x:v>
      </x:c>
      <x:c r="F279" s="219" t="str">
        <x:v>iterations/I08_native_corrections/REDLINE_FREEZE.json
iterations/I20_controlled_handoff/NATIVE_BINDING.json
current/I21_SOURCE_VERIFICATION.json
current/SOURCE_EFFECTIVITY.json</x:v>
      </x:c>
    </x:row>
    <x:row r="280" ht="62" customHeight="1">
      <x:c r="A280" s="180" t="str">
        <x:v>N08-174</x:v>
      </x:c>
      <x:c r="B280" s="180" t="str">
        <x:v>I08</x:v>
      </x:c>
      <x:c r="C280" s="180" t="str">
        <x:v>CORRECTED NATIVE I20</x:v>
      </x:c>
      <x:c r="D280" s="180" t="str">
        <x:v>Track has unconnected end</x:v>
      </x:c>
      <x:c r="E280" s="180" t="str">
        <x:v>Resolved through the subsequent coordinated native candidate and recorded source changes.</x:v>
      </x:c>
      <x:c r="F280" s="180" t="str">
        <x:v>iterations/I08_native_corrections/REDLINE_FREEZE.json
iterations/I20_controlled_handoff/NATIVE_BINDING.json
current/I21_SOURCE_VERIFICATION.json
current/SOURCE_EFFECTIVITY.json</x:v>
      </x:c>
    </x:row>
    <x:row r="281" ht="62" customHeight="1">
      <x:c r="A281" s="219" t="str">
        <x:v>N08-175</x:v>
      </x:c>
      <x:c r="B281" s="219" t="str">
        <x:v>I08</x:v>
      </x:c>
      <x:c r="C281" s="219" t="str">
        <x:v>CORRECTED NATIVE I20</x:v>
      </x:c>
      <x:c r="D281" s="219" t="str">
        <x:v>Pad missing net given by schematic (3V3_BULK_DAMPED).</x:v>
      </x:c>
      <x:c r="E281" s="219" t="str">
        <x:v>Resolved through the subsequent coordinated native candidate and recorded source changes.</x:v>
      </x:c>
      <x:c r="F281" s="219" t="str">
        <x:v>iterations/I08_native_corrections/REDLINE_FREEZE.json
iterations/I20_controlled_handoff/NATIVE_BINDING.json
current/I21_SOURCE_VERIFICATION.json
current/SOURCE_EFFECTIVITY.json</x:v>
      </x:c>
    </x:row>
    <x:row r="282" ht="62" customHeight="1">
      <x:c r="A282" s="180" t="str">
        <x:v>N08-176</x:v>
      </x:c>
      <x:c r="B282" s="180" t="str">
        <x:v>I08</x:v>
      </x:c>
      <x:c r="C282" s="180" t="str">
        <x:v>CORRECTED NATIVE I20</x:v>
      </x:c>
      <x:c r="D282" s="180" t="str">
        <x:v>Pad missing net given by schematic (3V3_FB_ADJ).</x:v>
      </x:c>
      <x:c r="E282" s="180" t="str">
        <x:v>Resolved through the subsequent coordinated native candidate and recorded source changes.</x:v>
      </x:c>
      <x:c r="F282" s="180" t="str">
        <x:v>iterations/I08_native_corrections/REDLINE_FREEZE.json
iterations/I20_controlled_handoff/NATIVE_BINDING.json
current/I21_SOURCE_VERIFICATION.json
current/SOURCE_EFFECTIVITY.json</x:v>
      </x:c>
    </x:row>
    <x:row r="283" ht="62" customHeight="1">
      <x:c r="A283" s="219" t="str">
        <x:v>N08-177</x:v>
      </x:c>
      <x:c r="B283" s="219" t="str">
        <x:v>I08</x:v>
      </x:c>
      <x:c r="C283" s="219" t="str">
        <x:v>CORRECTED NATIVE I20</x:v>
      </x:c>
      <x:c r="D283" s="219" t="str">
        <x:v>Pad missing net given by schematic (3V3_FB_ADJ).</x:v>
      </x:c>
      <x:c r="E283" s="219" t="str">
        <x:v>Resolved through the subsequent coordinated native candidate and recorded source changes.</x:v>
      </x:c>
      <x:c r="F283" s="219" t="str">
        <x:v>iterations/I08_native_corrections/REDLINE_FREEZE.json
iterations/I20_controlled_handoff/NATIVE_BINDING.json
current/I21_SOURCE_VERIFICATION.json
current/SOURCE_EFFECTIVITY.json</x:v>
      </x:c>
    </x:row>
    <x:row r="284" ht="62" customHeight="1">
      <x:c r="A284" s="180" t="str">
        <x:v>N08-178</x:v>
      </x:c>
      <x:c r="B284" s="180" t="str">
        <x:v>I08</x:v>
      </x:c>
      <x:c r="C284" s="180" t="str">
        <x:v>CORRECTED NATIVE I20</x:v>
      </x:c>
      <x:c r="D284" s="180" t="str">
        <x:v>Pad missing net given by schematic (3V3_VSEL_ADJ).</x:v>
      </x:c>
      <x:c r="E284" s="180" t="str">
        <x:v>Resolved through the subsequent coordinated native candidate and recorded source changes.</x:v>
      </x:c>
      <x:c r="F284" s="180" t="str">
        <x:v>iterations/I08_native_corrections/REDLINE_FREEZE.json
iterations/I20_controlled_handoff/NATIVE_BINDING.json
current/I21_SOURCE_VERIFICATION.json
current/SOURCE_EFFECTIVITY.json</x:v>
      </x:c>
    </x:row>
    <x:row r="285" ht="62" customHeight="1">
      <x:c r="A285" s="219" t="str">
        <x:v>N08-179</x:v>
      </x:c>
      <x:c r="B285" s="219" t="str">
        <x:v>I08</x:v>
      </x:c>
      <x:c r="C285" s="219" t="str">
        <x:v>CORRECTED NATIVE I20</x:v>
      </x:c>
      <x:c r="D285" s="219" t="str">
        <x:v>Pad missing net given by schematic (3V3_BULK_DAMPED).</x:v>
      </x:c>
      <x:c r="E285" s="219" t="str">
        <x:v>Resolved through the subsequent coordinated native candidate and recorded source changes.</x:v>
      </x:c>
      <x:c r="F285" s="219" t="str">
        <x:v>iterations/I08_native_corrections/REDLINE_FREEZE.json
iterations/I20_controlled_handoff/NATIVE_BINDING.json
current/I21_SOURCE_VERIFICATION.json
current/SOURCE_EFFECTIVITY.json</x:v>
      </x:c>
    </x:row>
    <x:row r="286" ht="62" customHeight="1">
      <x:c r="A286" s="180" t="str">
        <x:v>N08-180</x:v>
      </x:c>
      <x:c r="B286" s="180" t="str">
        <x:v>I08</x:v>
      </x:c>
      <x:c r="C286" s="180" t="str">
        <x:v>CORRECTED NATIVE I20</x:v>
      </x:c>
      <x:c r="D286" s="180" t="str">
        <x:v>Pad missing net given by schematic (3V3_VSEL_ADJ).</x:v>
      </x:c>
      <x:c r="E286" s="180" t="str">
        <x:v>Resolved through the subsequent coordinated native candidate and recorded source changes.</x:v>
      </x:c>
      <x:c r="F286" s="180" t="str">
        <x:v>iterations/I08_native_corrections/REDLINE_FREEZE.json
iterations/I20_controlled_handoff/NATIVE_BINDING.json
current/I21_SOURCE_VERIFICATION.json
current/SOURCE_EFFECTIVITY.json</x:v>
      </x:c>
    </x:row>
    <x:row r="287" ht="62" customHeight="1">
      <x:c r="A287" s="219" t="str">
        <x:v>N08-181</x:v>
      </x:c>
      <x:c r="B287" s="219" t="str">
        <x:v>I08</x:v>
      </x:c>
      <x:c r="C287" s="219" t="str">
        <x:v>CORRECTED NATIVE I20</x:v>
      </x:c>
      <x:c r="D287" s="219" t="str">
        <x:v>Pad missing net given by schematic (3V3_FB_ADJ).</x:v>
      </x:c>
      <x:c r="E287" s="219" t="str">
        <x:v>Resolved through the subsequent coordinated native candidate and recorded source changes.</x:v>
      </x:c>
      <x:c r="F287" s="219" t="str">
        <x:v>iterations/I08_native_corrections/REDLINE_FREEZE.json
iterations/I20_controlled_handoff/NATIVE_BINDING.json
current/I21_SOURCE_VERIFICATION.json
current/SOURCE_EFFECTIVITY.json</x:v>
      </x:c>
    </x:row>
    <x:row r="288" ht="62" customHeight="1">
      <x:c r="A288" s="180" t="str">
        <x:v>I09-FROZEN-001</x:v>
      </x:c>
      <x:c r="B288" s="180" t="str">
        <x:v>I09</x:v>
      </x:c>
      <x:c r="C288" s="180" t="str">
        <x:v>CORRECTED NATIVE I20</x:v>
      </x:c>
      <x:c r="D288" s="180" t="str">
        <x:v>Hole clearance violation (board setup constraints hole clearance 0.2500 mm; actual 0.0000 mm)</x:v>
      </x:c>
      <x:c r="E288" s="180" t="str">
        <x:v>Resolved through the subsequent coordinated native candidate and recorded source changes.</x:v>
      </x:c>
      <x:c r="F288" s="180" t="str">
        <x:v>iterations/I09_native_hole_and_models/REDLINE_FREEZE.json
iterations/I20_controlled_handoff/NATIVE_BINDING.json
current/I21_SOURCE_VERIFICATION.json
current/SOURCE_EFFECTIVITY.json</x:v>
      </x:c>
    </x:row>
    <x:row r="289" ht="62" customHeight="1">
      <x:c r="A289" s="219" t="str">
        <x:v>I09-FROZEN-002</x:v>
      </x:c>
      <x:c r="B289" s="219" t="str">
        <x:v>I09</x:v>
      </x:c>
      <x:c r="C289" s="219" t="str">
        <x:v>CORRECTED NATIVE I20</x:v>
      </x:c>
      <x:c r="D289" s="219" t="str">
        <x:v>Footprint 'ESP32-S3-WROOM-1' does not match copy in library 'RevB'.</x:v>
      </x:c>
      <x:c r="E289" s="219" t="str">
        <x:v>Resolved through the subsequent coordinated native candidate and recorded source changes.</x:v>
      </x:c>
      <x:c r="F289" s="219" t="str">
        <x:v>iterations/I09_native_hole_and_models/REDLINE_FREEZE.json
iterations/I20_controlled_handoff/NATIVE_BINDING.json
current/I21_SOURCE_VERIFICATION.json
current/SOURCE_EFFECTIVITY.json</x:v>
      </x:c>
    </x:row>
    <x:row r="290" ht="62" customHeight="1">
      <x:c r="A290" s="180" t="str">
        <x:v>I09-FROZEN-003</x:v>
      </x:c>
      <x:c r="B290" s="180" t="str">
        <x:v>I09</x:v>
      </x:c>
      <x:c r="C290" s="180" t="str">
        <x:v>CORRECTED NATIVE I20</x:v>
      </x:c>
      <x:c r="D290" s="180" t="str">
        <x:v>Footprint 'D_SMC' does not match copy in library 'RevB'.</x:v>
      </x:c>
      <x:c r="E290" s="180" t="str">
        <x:v>Resolved through the subsequent coordinated native candidate and recorded source changes.</x:v>
      </x:c>
      <x:c r="F290" s="180" t="str">
        <x:v>iterations/I09_native_hole_and_models/REDLINE_FREEZE.json
iterations/I20_controlled_handoff/NATIVE_BINDING.json
current/I21_SOURCE_VERIFICATION.json
current/SOURCE_EFFECTIVITY.json</x:v>
      </x:c>
    </x:row>
    <x:row r="291" ht="62" customHeight="1">
      <x:c r="A291" s="219" t="str">
        <x:v>I09-FROZEN-004</x:v>
      </x:c>
      <x:c r="B291" s="219" t="str">
        <x:v>I09</x:v>
      </x:c>
      <x:c r="C291" s="219" t="str">
        <x:v>CORRECTED NATIVE I20</x:v>
      </x:c>
      <x:c r="D291" s="219" t="str">
        <x:v>Footprint 'Coilcraft_MSS1246T_12x12' does not match copy in library 'RevB'.</x:v>
      </x:c>
      <x:c r="E291" s="219" t="str">
        <x:v>Resolved through the subsequent coordinated native candidate and recorded source changes.</x:v>
      </x:c>
      <x:c r="F291" s="219" t="str">
        <x:v>iterations/I09_native_hole_and_models/REDLINE_FREEZE.json
iterations/I20_controlled_handoff/NATIVE_BINDING.json
current/I21_SOURCE_VERIFICATION.json
current/SOURCE_EFFECTIVITY.json</x:v>
      </x:c>
    </x:row>
    <x:row r="292" ht="62" customHeight="1">
      <x:c r="A292" s="180" t="str">
        <x:v>I09-FROZEN-005</x:v>
      </x:c>
      <x:c r="B292" s="180" t="str">
        <x:v>I09</x:v>
      </x:c>
      <x:c r="C292" s="180" t="str">
        <x:v>CORRECTED NATIVE I20</x:v>
      </x:c>
      <x:c r="D292" s="180" t="str">
        <x:v>Footprint 'R_0603_1608Metric' does not match copy in library 'RevB'.</x:v>
      </x:c>
      <x:c r="E292" s="180" t="str">
        <x:v>Resolved through the subsequent coordinated native candidate and recorded source changes.</x:v>
      </x:c>
      <x:c r="F292" s="180" t="str">
        <x:v>iterations/I09_native_hole_and_models/REDLINE_FREEZE.json
iterations/I20_controlled_handoff/NATIVE_BINDING.json
current/I21_SOURCE_VERIFICATION.json
current/SOURCE_EFFECTIVITY.json</x:v>
      </x:c>
    </x:row>
    <x:row r="293" ht="62" customHeight="1">
      <x:c r="A293" s="219" t="str">
        <x:v>I09-FROZEN-006</x:v>
      </x:c>
      <x:c r="B293" s="219" t="str">
        <x:v>I09</x:v>
      </x:c>
      <x:c r="C293" s="219" t="str">
        <x:v>CORRECTED NATIVE I20</x:v>
      </x:c>
      <x:c r="D293" s="219" t="str">
        <x:v>Footprint 'Molex_Micro-Fit_3.0_43045-1200_2x06_P3.00mm_Horizontal' does not match copy in library 'RevB'.</x:v>
      </x:c>
      <x:c r="E293" s="219" t="str">
        <x:v>Resolved through the subsequent coordinated native candidate and recorded source changes.</x:v>
      </x:c>
      <x:c r="F293" s="219" t="str">
        <x:v>iterations/I09_native_hole_and_models/REDLINE_FREEZE.json
iterations/I20_controlled_handoff/NATIVE_BINDING.json
current/I21_SOURCE_VERIFICATION.json
current/SOURCE_EFFECTIVITY.json</x:v>
      </x:c>
    </x:row>
    <x:row r="294" ht="62" customHeight="1">
      <x:c r="A294" s="180" t="str">
        <x:v>I09-FROZEN-007</x:v>
      </x:c>
      <x:c r="B294" s="180" t="str">
        <x:v>I09</x:v>
      </x:c>
      <x:c r="C294" s="180" t="str">
        <x:v>CORRECTED NATIVE I20</x:v>
      </x:c>
      <x:c r="D294" s="180" t="str">
        <x:v>Footprint 'R_0603_1608Metric' does not match copy in library 'RevB'.</x:v>
      </x:c>
      <x:c r="E294" s="180" t="str">
        <x:v>Resolved through the subsequent coordinated native candidate and recorded source changes.</x:v>
      </x:c>
      <x:c r="F294" s="180" t="str">
        <x:v>iterations/I09_native_hole_and_models/REDLINE_FREEZE.json
iterations/I20_controlled_handoff/NATIVE_BINDING.json
current/I21_SOURCE_VERIFICATION.json
current/SOURCE_EFFECTIVITY.json</x:v>
      </x:c>
    </x:row>
    <x:row r="295" ht="62" customHeight="1">
      <x:c r="A295" s="219" t="str">
        <x:v>I09-FROZEN-008</x:v>
      </x:c>
      <x:c r="B295" s="219" t="str">
        <x:v>I09</x:v>
      </x:c>
      <x:c r="C295" s="219" t="str">
        <x:v>CORRECTED NATIVE I20</x:v>
      </x:c>
      <x:c r="D295" s="219" t="str">
        <x:v>Footprint 'R_0603_1608Metric' does not match copy in library 'RevB'.</x:v>
      </x:c>
      <x:c r="E295" s="219" t="str">
        <x:v>Resolved through the subsequent coordinated native candidate and recorded source changes.</x:v>
      </x:c>
      <x:c r="F295" s="219" t="str">
        <x:v>iterations/I09_native_hole_and_models/REDLINE_FREEZE.json
iterations/I20_controlled_handoff/NATIVE_BINDING.json
current/I21_SOURCE_VERIFICATION.json
current/SOURCE_EFFECTIVITY.json</x:v>
      </x:c>
    </x:row>
    <x:row r="296" ht="62" customHeight="1">
      <x:c r="A296" s="180" t="str">
        <x:v>I09-FROZEN-009</x:v>
      </x:c>
      <x:c r="B296" s="180" t="str">
        <x:v>I09</x:v>
      </x:c>
      <x:c r="C296" s="180" t="str">
        <x:v>CORRECTED NATIVE I20</x:v>
      </x:c>
      <x:c r="D296" s="180" t="str">
        <x:v>Footprint 'C_0603_1608Metric' does not match copy in library 'RevB'.</x:v>
      </x:c>
      <x:c r="E296" s="180" t="str">
        <x:v>Resolved through the subsequent coordinated native candidate and recorded source changes.</x:v>
      </x:c>
      <x:c r="F296" s="180" t="str">
        <x:v>iterations/I09_native_hole_and_models/REDLINE_FREEZE.json
iterations/I20_controlled_handoff/NATIVE_BINDING.json
current/I21_SOURCE_VERIFICATION.json
current/SOURCE_EFFECTIVITY.json</x:v>
      </x:c>
    </x:row>
    <x:row r="297" ht="62" customHeight="1">
      <x:c r="A297" s="219" t="str">
        <x:v>I09-FROZEN-010</x:v>
      </x:c>
      <x:c r="B297" s="219" t="str">
        <x:v>I09</x:v>
      </x:c>
      <x:c r="C297" s="219" t="str">
        <x:v>CORRECTED NATIVE I20</x:v>
      </x:c>
      <x:c r="D297" s="219" t="str">
        <x:v>Footprint 'C_0603_1608Metric' does not match copy in library 'RevB'.</x:v>
      </x:c>
      <x:c r="E297" s="219" t="str">
        <x:v>Resolved through the subsequent coordinated native candidate and recorded source changes.</x:v>
      </x:c>
      <x:c r="F297" s="219" t="str">
        <x:v>iterations/I09_native_hole_and_models/REDLINE_FREEZE.json
iterations/I20_controlled_handoff/NATIVE_BINDING.json
current/I21_SOURCE_VERIFICATION.json
current/SOURCE_EFFECTIVITY.json</x:v>
      </x:c>
    </x:row>
    <x:row r="298" ht="62" customHeight="1">
      <x:c r="A298" s="180" t="str">
        <x:v>I09-FROZEN-011</x:v>
      </x:c>
      <x:c r="B298" s="180" t="str">
        <x:v>I09</x:v>
      </x:c>
      <x:c r="C298" s="180" t="str">
        <x:v>CORRECTED NATIVE I20</x:v>
      </x:c>
      <x:c r="D298" s="180" t="str">
        <x:v>Footprint 'R_0603_1608Metric' does not match copy in library 'RevB'.</x:v>
      </x:c>
      <x:c r="E298" s="180" t="str">
        <x:v>Resolved through the subsequent coordinated native candidate and recorded source changes.</x:v>
      </x:c>
      <x:c r="F298" s="180" t="str">
        <x:v>iterations/I09_native_hole_and_models/REDLINE_FREEZE.json
iterations/I20_controlled_handoff/NATIVE_BINDING.json
current/I21_SOURCE_VERIFICATION.json
current/SOURCE_EFFECTIVITY.json</x:v>
      </x:c>
    </x:row>
    <x:row r="299" ht="62" customHeight="1">
      <x:c r="A299" s="219" t="str">
        <x:v>I09-FROZEN-012</x:v>
      </x:c>
      <x:c r="B299" s="219" t="str">
        <x:v>I09</x:v>
      </x:c>
      <x:c r="C299" s="219" t="str">
        <x:v>CORRECTED NATIVE I20</x:v>
      </x:c>
      <x:c r="D299" s="219" t="str">
        <x:v>Footprint 'KEMET_T598_X_7343_Median' does not match copy in library 'RevB'.</x:v>
      </x:c>
      <x:c r="E299" s="219" t="str">
        <x:v>Resolved through the subsequent coordinated native candidate and recorded source changes.</x:v>
      </x:c>
      <x:c r="F299" s="219" t="str">
        <x:v>iterations/I09_native_hole_and_models/REDLINE_FREEZE.json
iterations/I20_controlled_handoff/NATIVE_BINDING.json
current/I21_SOURCE_VERIFICATION.json
current/SOURCE_EFFECTIVITY.json</x:v>
      </x:c>
    </x:row>
    <x:row r="300" ht="62" customHeight="1">
      <x:c r="A300" s="180" t="str">
        <x:v>I09-FROZEN-013</x:v>
      </x:c>
      <x:c r="B300" s="180" t="str">
        <x:v>I09</x:v>
      </x:c>
      <x:c r="C300" s="180" t="str">
        <x:v>CORRECTED NATIVE I20</x:v>
      </x:c>
      <x:c r="D300" s="180" t="str">
        <x:v>Footprint 'HTSSOP-16-1EP_4.4x5mm_P0.65mm_EP3.4x5mm_Mask2.46x2.31mm' does not match copy in library 'RevB'.</x:v>
      </x:c>
      <x:c r="E300" s="180" t="str">
        <x:v>Resolved through the subsequent coordinated native candidate and recorded source changes.</x:v>
      </x:c>
      <x:c r="F300" s="180" t="str">
        <x:v>iterations/I09_native_hole_and_models/REDLINE_FREEZE.json
iterations/I20_controlled_handoff/NATIVE_BINDING.json
current/I21_SOURCE_VERIFICATION.json
current/SOURCE_EFFECTIVITY.json</x:v>
      </x:c>
    </x:row>
    <x:row r="301" ht="62" customHeight="1">
      <x:c r="A301" s="219" t="str">
        <x:v>I10-FROZEN-001</x:v>
      </x:c>
      <x:c r="B301" s="219" t="str">
        <x:v>I10</x:v>
      </x:c>
      <x:c r="C301" s="219" t="str">
        <x:v>CORRECTED NATIVE I20</x:v>
      </x:c>
      <x:c r="D301" s="219" t="str">
        <x:v>12 footprint-library mismatches</x:v>
      </x:c>
      <x:c r="E301" s="219" t="str">
        <x:v>Resolved through the subsequent coordinated native candidate and recorded source changes.</x:v>
      </x:c>
      <x:c r="F301" s="219" t="str">
        <x:v>iterations/I10_library_and_rail_cleanup/REDLINE_FREEZE.json
iterations/I20_controlled_handoff/NATIVE_BINDING.json
current/I21_SOURCE_VERIFICATION.json
current/SOURCE_EFFECTIVITY.json</x:v>
      </x:c>
    </x:row>
    <x:row r="302" ht="62" customHeight="1">
      <x:c r="A302" s="180" t="str">
        <x:v>I10-FROZEN-002</x:v>
      </x:c>
      <x:c r="B302" s="180" t="str">
        <x:v>I10</x:v>
      </x:c>
      <x:c r="C302" s="180" t="str">
        <x:v>CORRECTED NATIVE I20</x:v>
      </x:c>
      <x:c r="D302" s="180" t="str">
        <x:v>Duplicate/backtracking inner-rail branch causes dangling warning</x:v>
      </x:c>
      <x:c r="E302" s="180" t="str">
        <x:v>Resolved through the subsequent coordinated native candidate and recorded source changes.</x:v>
      </x:c>
      <x:c r="F302" s="180" t="str">
        <x:v>iterations/I10_library_and_rail_cleanup/REDLINE_FREEZE.json
iterations/I20_controlled_handoff/NATIVE_BINDING.json
current/I21_SOURCE_VERIFICATION.json
current/SOURCE_EFFECTIVITY.json</x:v>
      </x:c>
    </x:row>
    <x:row r="303" ht="62" customHeight="1">
      <x:c r="A303" s="219" t="str">
        <x:v>I10-FROZEN-003</x:v>
      </x:c>
      <x:c r="B303" s="219" t="str">
        <x:v>I10</x:v>
      </x:c>
      <x:c r="C303" s="219" t="str">
        <x:v>CORRECTED NATIVE I20</x:v>
      </x:c>
      <x:c r="D303" s="219" t="str">
        <x:v>Four missing referenced models and complete fitted model coverage</x:v>
      </x:c>
      <x:c r="E303" s="219" t="str">
        <x:v>Resolved through the subsequent coordinated native candidate and recorded source changes.</x:v>
      </x:c>
      <x:c r="F303" s="219" t="str">
        <x:v>iterations/I10_library_and_rail_cleanup/REDLINE_FREEZE.json
iterations/I20_controlled_handoff/NATIVE_BINDING.json
current/I21_SOURCE_VERIFICATION.json
current/SOURCE_EFFECTIVITY.json</x:v>
      </x:c>
    </x:row>
    <x:row r="304" ht="88" customHeight="1">
      <x:c r="A304" s="180" t="str">
        <x:v>I10-FROZEN-004</x:v>
      </x:c>
      <x:c r="B304" s="180" t="str">
        <x:v>I10</x:v>
      </x:c>
      <x:c r="C304" s="180" t="str">
        <x:v>CORRECTED DECLARED GEOMETRY</x:v>
      </x:c>
      <x:c r="D304" s="180" t="str">
        <x:v>T01 maximum bow produces four possible component interferences</x:v>
      </x:c>
      <x:c r="E304" s="180" t="str">
        <x:v>Resolved through the subsequent coordinated native candidate and recorded source changes.</x:v>
      </x:c>
      <x:c r="F304" s="180" t="str">
        <x:v>iterations/I10_library_and_rail_cleanup/REDLINE_FREEZE.json
iterations/I20_controlled_handoff/NATIVE_BINDING.json
current/I21_SOURCE_VERIFICATION.json
current/SOURCE_EFFECTIVITY.json
analyses/mated_i18/RESULTS.json
analyses/service_i19/RESULTS.json</x:v>
      </x:c>
    </x:row>
    <x:row r="305" ht="88" customHeight="1">
      <x:c r="A305" s="219" t="str">
        <x:v>I10-FROZEN-005</x:v>
      </x:c>
      <x:c r="B305" s="219" t="str">
        <x:v>I10</x:v>
      </x:c>
      <x:c r="C305" s="219" t="str">
        <x:v>CORRECTED DECLARED GEOMETRY</x:v>
      </x:c>
      <x:c r="D305" s="219" t="str">
        <x:v>T01 actual bend exceeds RF extent assumption</x:v>
      </x:c>
      <x:c r="E305" s="219" t="str">
        <x:v>Resolved through the subsequent coordinated native candidate and recorded source changes.</x:v>
      </x:c>
      <x:c r="F305" s="219" t="str">
        <x:v>iterations/I10_library_and_rail_cleanup/REDLINE_FREEZE.json
iterations/I20_controlled_handoff/NATIVE_BINDING.json
current/I21_SOURCE_VERIFICATION.json
current/SOURCE_EFFECTIVITY.json
analyses/mated_i18/RESULTS.json
analyses/service_i19/RESULTS.json</x:v>
      </x:c>
    </x:row>
    <x:row r="306" ht="88" customHeight="1">
      <x:c r="A306" s="180" t="str">
        <x:v>I10-FROZEN-006</x:v>
      </x:c>
      <x:c r="B306" s="180" t="str">
        <x:v>I10</x:v>
      </x:c>
      <x:c r="C306" s="180" t="str">
        <x:v>OPEN THERMAL ENGINEERING</x:v>
      </x:c>
      <x:c r="D306" s="180" t="str">
        <x:v>Native thermal mesh/package closure</x:v>
      </x:c>
      <x:c r="E306" s="180" t="str">
        <x:v>Resolved through the subsequent coordinated native candidate and recorded source changes.
Remaining: Current refinement is complete but still mesh-sensitive; package/local-ambient closure remains open.</x:v>
      </x:c>
      <x:c r="F306" s="180" t="str">
        <x:v>iterations/I10_library_and_rail_cleanup/REDLINE_FREEZE.json
iterations/I20_controlled_handoff/NATIVE_BINDING.json
current/I21_SOURCE_VERIFICATION.json
current/SOURCE_EFFECTIVITY.json
analyses/thermal_i18/face_15.0/RESULTS.json
current/THERMAL_REVIEW.md</x:v>
      </x:c>
    </x:row>
    <x:row r="307" ht="127" customHeight="1">
      <x:c r="A307" s="219" t="str">
        <x:v>I10-FROZEN-007</x:v>
      </x:c>
      <x:c r="B307" s="219" t="str">
        <x:v>I10</x:v>
      </x:c>
      <x:c r="C307" s="219" t="str">
        <x:v>OPEN THERMAL ENGINEERING</x:v>
      </x:c>
      <x:c r="D307" s="219" t="str">
        <x:v>Affected power/return/RF regression and full criteria reconciliation</x:v>
      </x:c>
      <x:c r="E307" s="219" t="str">
        <x:v>Resolved through the subsequent coordinated native candidate and recorded source changes.
Remaining: Electrical, RF, native and declared geometry regression is complete. The combined finding still includes unresolved thermal/package closure.</x:v>
      </x:c>
      <x:c r="F307" s="219" t="str">
        <x:v>iterations/I10_library_and_rail_cleanup/REDLINE_FREEZE.json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08" ht="62" customHeight="1">
      <x:c r="A308" s="180" t="str">
        <x:v>I11-FROZEN-001</x:v>
      </x:c>
      <x:c r="B308" s="180" t="str">
        <x:v>I11</x:v>
      </x:c>
      <x:c r="C308" s="180" t="str">
        <x:v>CORRECTED NATIVE I20</x:v>
      </x:c>
      <x:c r="D308" s="180" t="str">
        <x:v>Controlled footprint variant for C154</x:v>
      </x:c>
      <x:c r="E308" s="180" t="str">
        <x:v>Resolved through the subsequent coordinated native candidate and recorded source changes.</x:v>
      </x:c>
      <x:c r="F308" s="180" t="str">
        <x:v>iterations/I11_controlled_footprint_variants/REDLINE_FREEZE.json
iterations/I20_controlled_handoff/NATIVE_BINDING.json
current/I21_SOURCE_VERIFICATION.json
current/SOURCE_EFFECTIVITY.json</x:v>
      </x:c>
    </x:row>
    <x:row r="309" ht="62" customHeight="1">
      <x:c r="A309" s="219" t="str">
        <x:v>I11-FROZEN-002</x:v>
      </x:c>
      <x:c r="B309" s="219" t="str">
        <x:v>I11</x:v>
      </x:c>
      <x:c r="C309" s="219" t="str">
        <x:v>CORRECTED NATIVE I20</x:v>
      </x:c>
      <x:c r="D309" s="219" t="str">
        <x:v>Controlled footprint variant for C205</x:v>
      </x:c>
      <x:c r="E309" s="219" t="str">
        <x:v>Resolved through the subsequent coordinated native candidate and recorded source changes.</x:v>
      </x:c>
      <x:c r="F309" s="219" t="str">
        <x:v>iterations/I11_controlled_footprint_variants/REDLINE_FREEZE.json
iterations/I20_controlled_handoff/NATIVE_BINDING.json
current/I21_SOURCE_VERIFICATION.json
current/SOURCE_EFFECTIVITY.json</x:v>
      </x:c>
    </x:row>
    <x:row r="310" ht="62" customHeight="1">
      <x:c r="A310" s="180" t="str">
        <x:v>I11-FROZEN-003</x:v>
      </x:c>
      <x:c r="B310" s="180" t="str">
        <x:v>I11</x:v>
      </x:c>
      <x:c r="C310" s="180" t="str">
        <x:v>CORRECTED NATIVE I20</x:v>
      </x:c>
      <x:c r="D310" s="180" t="str">
        <x:v>Controlled footprint variant for C206</x:v>
      </x:c>
      <x:c r="E310" s="180" t="str">
        <x:v>Resolved through the subsequent coordinated native candidate and recorded source changes.</x:v>
      </x:c>
      <x:c r="F310" s="180" t="str">
        <x:v>iterations/I11_controlled_footprint_variants/REDLINE_FREEZE.json
iterations/I20_controlled_handoff/NATIVE_BINDING.json
current/I21_SOURCE_VERIFICATION.json
current/SOURCE_EFFECTIVITY.json</x:v>
      </x:c>
    </x:row>
    <x:row r="311" ht="62" customHeight="1">
      <x:c r="A311" s="219" t="str">
        <x:v>I11-FROZEN-004</x:v>
      </x:c>
      <x:c r="B311" s="219" t="str">
        <x:v>I11</x:v>
      </x:c>
      <x:c r="C311" s="219" t="str">
        <x:v>CORRECTED NATIVE I20</x:v>
      </x:c>
      <x:c r="D311" s="219" t="str">
        <x:v>Controlled footprint variant for D103</x:v>
      </x:c>
      <x:c r="E311" s="219" t="str">
        <x:v>Resolved through the subsequent coordinated native candidate and recorded source changes.</x:v>
      </x:c>
      <x:c r="F311" s="219" t="str">
        <x:v>iterations/I11_controlled_footprint_variants/REDLINE_FREEZE.json
iterations/I20_controlled_handoff/NATIVE_BINDING.json
current/I21_SOURCE_VERIFICATION.json
current/SOURCE_EFFECTIVITY.json</x:v>
      </x:c>
    </x:row>
    <x:row r="312" ht="62" customHeight="1">
      <x:c r="A312" s="180" t="str">
        <x:v>I11-FROZEN-005</x:v>
      </x:c>
      <x:c r="B312" s="180" t="str">
        <x:v>I11</x:v>
      </x:c>
      <x:c r="C312" s="180" t="str">
        <x:v>CORRECTED NATIVE I20</x:v>
      </x:c>
      <x:c r="D312" s="180" t="str">
        <x:v>Controlled footprint variant for F1</x:v>
      </x:c>
      <x:c r="E312" s="180" t="str">
        <x:v>Resolved through the subsequent coordinated native candidate and recorded source changes.</x:v>
      </x:c>
      <x:c r="F312" s="180" t="str">
        <x:v>iterations/I11_controlled_footprint_variants/REDLINE_FREEZE.json
iterations/I20_controlled_handoff/NATIVE_BINDING.json
current/I21_SOURCE_VERIFICATION.json
current/SOURCE_EFFECTIVITY.json</x:v>
      </x:c>
    </x:row>
    <x:row r="313" ht="62" customHeight="1">
      <x:c r="A313" s="219" t="str">
        <x:v>I11-FROZEN-006</x:v>
      </x:c>
      <x:c r="B313" s="219" t="str">
        <x:v>I11</x:v>
      </x:c>
      <x:c r="C313" s="219" t="str">
        <x:v>CORRECTED NATIVE I20</x:v>
      </x:c>
      <x:c r="D313" s="219" t="str">
        <x:v>Controlled footprint variant for L121</x:v>
      </x:c>
      <x:c r="E313" s="219" t="str">
        <x:v>Resolved through the subsequent coordinated native candidate and recorded source changes.</x:v>
      </x:c>
      <x:c r="F313" s="219" t="str">
        <x:v>iterations/I11_controlled_footprint_variants/REDLINE_FREEZE.json
iterations/I20_controlled_handoff/NATIVE_BINDING.json
current/I21_SOURCE_VERIFICATION.json
current/SOURCE_EFFECTIVITY.json</x:v>
      </x:c>
    </x:row>
    <x:row r="314" ht="62" customHeight="1">
      <x:c r="A314" s="180" t="str">
        <x:v>I11-FROZEN-007</x:v>
      </x:c>
      <x:c r="B314" s="180" t="str">
        <x:v>I11</x:v>
      </x:c>
      <x:c r="C314" s="180" t="str">
        <x:v>CORRECTED NATIVE I20</x:v>
      </x:c>
      <x:c r="D314" s="180" t="str">
        <x:v>Controlled footprint variant for R155</x:v>
      </x:c>
      <x:c r="E314" s="180" t="str">
        <x:v>Resolved through the subsequent coordinated native candidate and recorded source changes.</x:v>
      </x:c>
      <x:c r="F314" s="180" t="str">
        <x:v>iterations/I11_controlled_footprint_variants/REDLINE_FREEZE.json
iterations/I20_controlled_handoff/NATIVE_BINDING.json
current/I21_SOURCE_VERIFICATION.json
current/SOURCE_EFFECTIVITY.json</x:v>
      </x:c>
    </x:row>
    <x:row r="315" ht="62" customHeight="1">
      <x:c r="A315" s="219" t="str">
        <x:v>I11-FROZEN-008</x:v>
      </x:c>
      <x:c r="B315" s="219" t="str">
        <x:v>I11</x:v>
      </x:c>
      <x:c r="C315" s="219" t="str">
        <x:v>CORRECTED NATIVE I20</x:v>
      </x:c>
      <x:c r="D315" s="219" t="str">
        <x:v>Controlled footprint variant for R156</x:v>
      </x:c>
      <x:c r="E315" s="219" t="str">
        <x:v>Resolved through the subsequent coordinated native candidate and recorded source changes.</x:v>
      </x:c>
      <x:c r="F315" s="219" t="str">
        <x:v>iterations/I11_controlled_footprint_variants/REDLINE_FREEZE.json
iterations/I20_controlled_handoff/NATIVE_BINDING.json
current/I21_SOURCE_VERIFICATION.json
current/SOURCE_EFFECTIVITY.json</x:v>
      </x:c>
    </x:row>
    <x:row r="316" ht="62" customHeight="1">
      <x:c r="A316" s="180" t="str">
        <x:v>I11-FROZEN-009</x:v>
      </x:c>
      <x:c r="B316" s="180" t="str">
        <x:v>I11</x:v>
      </x:c>
      <x:c r="C316" s="180" t="str">
        <x:v>CORRECTED NATIVE I20</x:v>
      </x:c>
      <x:c r="D316" s="180" t="str">
        <x:v>Controlled footprint variant for R157</x:v>
      </x:c>
      <x:c r="E316" s="180" t="str">
        <x:v>Resolved through the subsequent coordinated native candidate and recorded source changes.</x:v>
      </x:c>
      <x:c r="F316" s="180" t="str">
        <x:v>iterations/I11_controlled_footprint_variants/REDLINE_FREEZE.json
iterations/I20_controlled_handoff/NATIVE_BINDING.json
current/I21_SOURCE_VERIFICATION.json
current/SOURCE_EFFECTIVITY.json</x:v>
      </x:c>
    </x:row>
    <x:row r="317" ht="62" customHeight="1">
      <x:c r="A317" s="219" t="str">
        <x:v>I11-FROZEN-010</x:v>
      </x:c>
      <x:c r="B317" s="219" t="str">
        <x:v>I11</x:v>
      </x:c>
      <x:c r="C317" s="219" t="str">
        <x:v>CORRECTED NATIVE I20</x:v>
      </x:c>
      <x:c r="D317" s="219" t="str">
        <x:v>Controlled footprint variant for R203</x:v>
      </x:c>
      <x:c r="E317" s="219" t="str">
        <x:v>Resolved through the subsequent coordinated native candidate and recorded source changes.</x:v>
      </x:c>
      <x:c r="F317" s="219" t="str">
        <x:v>iterations/I11_controlled_footprint_variants/REDLINE_FREEZE.json
iterations/I20_controlled_handoff/NATIVE_BINDING.json
current/I21_SOURCE_VERIFICATION.json
current/SOURCE_EFFECTIVITY.json</x:v>
      </x:c>
    </x:row>
    <x:row r="318" ht="62" customHeight="1">
      <x:c r="A318" s="180" t="str">
        <x:v>I11-FROZEN-011</x:v>
      </x:c>
      <x:c r="B318" s="180" t="str">
        <x:v>I11</x:v>
      </x:c>
      <x:c r="C318" s="180" t="str">
        <x:v>CORRECTED NATIVE I20</x:v>
      </x:c>
      <x:c r="D318" s="180" t="str">
        <x:v>Controlled footprint variant for U151</x:v>
      </x:c>
      <x:c r="E318" s="180" t="str">
        <x:v>Resolved through the subsequent coordinated native candidate and recorded source changes.</x:v>
      </x:c>
      <x:c r="F318" s="180" t="str">
        <x:v>iterations/I11_controlled_footprint_variants/REDLINE_FREEZE.json
iterations/I20_controlled_handoff/NATIVE_BINDING.json
current/I21_SOURCE_VERIFICATION.json
current/SOURCE_EFFECTIVITY.json</x:v>
      </x:c>
    </x:row>
    <x:row r="319" ht="62" customHeight="1">
      <x:c r="A319" s="219" t="str">
        <x:v>I11-FROZEN-012</x:v>
      </x:c>
      <x:c r="B319" s="219" t="str">
        <x:v>I11</x:v>
      </x:c>
      <x:c r="C319" s="219" t="str">
        <x:v>CORRECTED NATIVE I20</x:v>
      </x:c>
      <x:c r="D319" s="219" t="str">
        <x:v>Controlled footprint variant for U201</x:v>
      </x:c>
      <x:c r="E319" s="219" t="str">
        <x:v>Resolved through the subsequent coordinated native candidate and recorded source changes.</x:v>
      </x:c>
      <x:c r="F319" s="219" t="str">
        <x:v>iterations/I11_controlled_footprint_variants/REDLINE_FREEZE.json
iterations/I20_controlled_handoff/NATIVE_BINDING.json
current/I21_SOURCE_VERIFICATION.json
current/SOURCE_EFFECTIVITY.json</x:v>
      </x:c>
    </x:row>
    <x:row r="320" ht="62" customHeight="1">
      <x:c r="A320" s="180" t="str">
        <x:v>I12-01</x:v>
      </x:c>
      <x:c r="B320" s="180" t="str">
        <x:v>I12</x:v>
      </x:c>
      <x:c r="C320" s="180" t="str">
        <x:v>CORRECTED NATIVE I20</x:v>
      </x:c>
      <x:c r="D320" s="180" t="str">
        <x:v>U201 library antenna keepout retains board translation</x:v>
      </x:c>
      <x:c r="E320" s="180" t="str">
        <x:v>Restore local library coordinates and prove board polygon invariance; native parity rerun</x:v>
      </x:c>
      <x:c r="F320" s="180" t="str">
        <x:v>iterations/I12_branding_models_thermal/REDLINE_FREEZE.json
iterations/I20_controlled_handoff/NATIVE_BINDING.json
current/I21_SOURCE_VERIFICATION.json
current/SOURCE_EFFECTIVITY.json</x:v>
      </x:c>
    </x:row>
    <x:row r="321" ht="62" customHeight="1">
      <x:c r="A321" s="219" t="str">
        <x:v>I12-02</x:v>
      </x:c>
      <x:c r="B321" s="219" t="str">
        <x:v>I12</x:v>
      </x:c>
      <x:c r="C321" s="219" t="str">
        <x:v>CORRECTED NATIVE I20</x:v>
      </x:c>
      <x:c r="D321" s="219" t="str">
        <x:v>Four missing referenced STEP models and eighteen fitted references without a model</x:v>
      </x:c>
      <x:c r="E321" s="219" t="str">
        <x:v>Dimensioned conservative envelopes with source-bound height and explicit XY uncertainty; populated export completeness check</x:v>
      </x:c>
      <x:c r="F321" s="219" t="str">
        <x:v>iterations/I12_branding_models_thermal/REDLINE_FREEZE.json
iterations/I20_controlled_handoff/NATIVE_BINDING.json
current/I21_SOURCE_VERIFICATION.json
current/SOURCE_EFFECTIVITY.json</x:v>
      </x:c>
    </x:row>
    <x:row r="322" ht="62" customHeight="1">
      <x:c r="A322" s="180" t="str">
        <x:v>I12-03</x:v>
      </x:c>
      <x:c r="B322" s="180" t="str">
        <x:v>I12</x:v>
      </x:c>
      <x:c r="C322" s="180" t="str">
        <x:v>CORRECTED NATIVE I20</x:v>
      </x:c>
      <x:c r="D322" s="180" t="str">
        <x:v>TranquilWorks product branding requested</x:v>
      </x:c>
      <x:c r="E322" s="180" t="str">
        <x:v>Approved compact TW artwork, one-color F.SilkS, geometric and native manufacturing checks</x:v>
      </x:c>
      <x:c r="F322" s="180" t="str">
        <x:v>iterations/I12_branding_models_thermal/REDLINE_FREEZE.json
iterations/I20_controlled_handoff/NATIVE_BINDING.json
current/I21_SOURCE_VERIFICATION.json
current/SOURCE_EFFECTIVITY.json</x:v>
      </x:c>
    </x:row>
    <x:row r="323" ht="88" customHeight="1">
      <x:c r="A323" s="219" t="str">
        <x:v>I12-04</x:v>
      </x:c>
      <x:c r="B323" s="219" t="str">
        <x:v>I12</x:v>
      </x:c>
      <x:c r="C323" s="219" t="str">
        <x:v>CORRECTED DECLARED GEOMETRY</x:v>
      </x:c>
      <x:c r="D323" s="219" t="str">
        <x:v>T01 foil can intersect four component envelopes and infringes allocated RF setback</x:v>
      </x:c>
      <x:c r="E323" s="219" t="str">
        <x:v>Coordinated foil/contact geometry and thermal correction
Remaining: Declared dimensions, materials, min plating and supplier/installed conditions remain applicable.</x:v>
      </x:c>
      <x:c r="F323" s="219" t="str">
        <x:v>iterations/I12_branding_models_thermal/REDLINE_FREEZE.json
iterations/I20_controlled_handoff/NATIVE_BINDING.json
current/I21_SOURCE_VERIFICATION.json
current/SOURCE_EFFECTIVITY.json
analyses/mated_i18/RESULTS.json
analyses/service_i19/RESULTS.json</x:v>
      </x:c>
    </x:row>
    <x:row r="324" ht="88" customHeight="1">
      <x:c r="A324" s="180" t="str">
        <x:v>I12-05</x:v>
      </x:c>
      <x:c r="B324" s="180" t="str">
        <x:v>I12</x:v>
      </x:c>
      <x:c r="C324" s="180" t="str">
        <x:v>OPEN THERMAL ENGINEERING</x:v>
      </x:c>
      <x:c r="D324" s="180" t="str">
        <x:v>Native thermal mesh dependence, package paths and hot self-heating unresolved</x:v>
      </x:c>
      <x:c r="E324" s="180" t="str">
        <x:v>Topology-sensitive thermal discretization, numerical bounds and package/installation disposition
Remaining: Current refinement is complete but still mesh-sensitive; package/local-ambient closure remains open.</x:v>
      </x:c>
      <x:c r="F324" s="180" t="str">
        <x:v>iterations/I12_branding_models_thermal/REDLINE_FREEZE.json
iterations/I20_controlled_handoff/NATIVE_BINDING.json
current/I21_SOURCE_VERIFICATION.json
current/SOURCE_EFFECTIVITY.json
analyses/thermal_i18/face_15.0/RESULTS.json
current/THERMAL_REVIEW.md</x:v>
      </x:c>
    </x:row>
    <x:row r="325" ht="88" customHeight="1">
      <x:c r="A325" s="219" t="str">
        <x:v>I12-06</x:v>
      </x:c>
      <x:c r="B325" s="219" t="str">
        <x:v>I12</x:v>
      </x:c>
      <x:c r="C325" s="219" t="str">
        <x:v>SUPPLIER MINIMUM REQUIRED</x:v>
      </x:c>
      <x:c r="D325" s="219" t="str">
        <x:v>Thermal plating allocation is not a published guaranteed JLC minimum</x:v>
      </x:c>
      <x:c r="E325" s="219" t="str">
        <x:v>Explicit supplier construction minimum and lower-plating sensitivity
Remaining: The 15 um minimum wall is documented and modeled; a published average is not a guaranteed finished minimum.</x:v>
      </x:c>
      <x:c r="F325" s="219" t="str">
        <x:v>iterations/I12_branding_models_thermal/REDLINE_FREEZE.json
iterations/I20_controlled_handoff/NATIVE_BINDING.json
current/I21_SOURCE_VERIFICATION.json
current/SOURCE_EFFECTIVITY.json
analyses/mated_i18/RESULTS.json
analyses/service_i19/RESULTS.json</x:v>
      </x:c>
    </x:row>
    <x:row r="326" ht="88" customHeight="1">
      <x:c r="A326" s="180" t="str">
        <x:v>I12-07</x:v>
      </x:c>
      <x:c r="B326" s="180" t="str">
        <x:v>I12</x:v>
      </x:c>
      <x:c r="C326" s="180" t="str">
        <x:v>CORRECTED DECLARED GEOMETRY</x:v>
      </x:c>
      <x:c r="D326" s="180" t="str">
        <x:v>Mated connector/cable/service envelopes and full manufacturer XY coverage incomplete</x:v>
      </x:c>
      <x:c r="E326" s="180" t="str">
        <x:v>Dimensioned assembly and installation envelopes; preserve actual identity conditions
Remaining: Declared dimensions, materials, min plating and supplier/installed conditions remain applicable.</x:v>
      </x:c>
      <x:c r="F326" s="180" t="str">
        <x:v>iterations/I12_branding_models_thermal/REDLINE_FREEZE.json
iterations/I20_controlled_handoff/NATIVE_BINDING.json
current/I21_SOURCE_VERIFICATION.json
current/SOURCE_EFFECTIVITY.json
analyses/mated_i18/RESULTS.json
analyses/service_i19/RESULTS.json</x:v>
      </x:c>
    </x:row>
    <x:row r="327" ht="127" customHeight="1">
      <x:c r="A327" s="219" t="str">
        <x:v>I12-08</x:v>
      </x:c>
      <x:c r="B327" s="219" t="str">
        <x:v>I12</x:v>
      </x:c>
      <x:c r="C327" s="219" t="str">
        <x:v>OPEN THERMAL ENGINEERING</x:v>
      </x:c>
      <x:c r="D327" s="219" t="str">
        <x:v>Affected RF returns, rail, thermal metal and source/export bindings need regression</x:v>
      </x:c>
      <x:c r="E327" s="219" t="str">
        <x:v>Reevaluate changed paths and regenerate native exports
Remaining: Electrical, RF, native and declared geometry regression is complete. The combined finding still includes unresolved thermal/package closure.</x:v>
      </x:c>
      <x:c r="F327" s="219" t="str">
        <x:v>iterations/I12_branding_models_thermal/REDLINE_FREEZE.json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28" ht="88" customHeight="1">
      <x:c r="A328" s="180" t="str">
        <x:v>I12-09</x:v>
      </x:c>
      <x:c r="B328" s="180" t="str">
        <x:v>I12</x:v>
      </x:c>
      <x:c r="C328" s="180" t="str">
        <x:v>CORRECTED CURRENT REVIEW</x:v>
      </x:c>
      <x:c r="D328" s="180" t="str">
        <x:v>Formal 290-criterion register is stale at I06</x:v>
      </x:c>
      <x:c r="E328" s="180" t="str">
        <x:v>Reconcile every criterion with current evidence and retain distinct as-built conditions</x:v>
      </x:c>
      <x:c r="F328" s="180" t="str">
        <x:v>iterations/I12_branding_models_thermal/REDLINE_FREEZE.json
iterations/I20_controlled_handoff/NATIVE_BINDING.json
current/I21_SOURCE_VERIFICATION.json
current/SOURCE_EFFECTIVITY.json
current/EXECUTION_PLAN.md
current/MANUFACTURING_AND_ASSEMBLY.md</x:v>
      </x:c>
    </x:row>
    <x:row r="329" ht="62" customHeight="1">
      <x:c r="A329" s="219" t="str">
        <x:v>I14-01</x:v>
      </x:c>
      <x:c r="B329" s="219" t="str">
        <x:v>I14</x:v>
      </x:c>
      <x:c r="C329" s="219" t="str">
        <x:v>CORRECTED NATIVE I20</x:v>
      </x:c>
      <x:c r="D329" s="219" t="str">
        <x:v>Tag-Connect manufacturer requires .508mm from contact pads to other traces/signals; native generic clearance did not encode this.</x:v>
      </x:c>
      <x:c r="E329" s="219" t="str">
        <x:v>Outward contact exits, remove close ground via, move pin4 via, add dedicated rule; full native refill and DRC.</x:v>
      </x:c>
      <x:c r="F329" s="219" t="str">
        <x:v>iterations/I14_service_clearance/REDLINE_FREEZE.json
iterations/I20_controlled_handoff/NATIVE_BINDING.json
current/I21_SOURCE_VERIFICATION.json
current/SOURCE_EFFECTIVITY.json</x:v>
      </x:c>
    </x:row>
    <x:row r="330" ht="88" customHeight="1">
      <x:c r="A330" s="180" t="str">
        <x:v>I14-02</x:v>
      </x:c>
      <x:c r="B330" s="180" t="str">
        <x:v>I14</x:v>
      </x:c>
      <x:c r="C330" s="180" t="str">
        <x:v>OPEN THERMAL ENGINEERING</x:v>
      </x:c>
      <x:c r="D330" s="180" t="str">
        <x:v>Full-load thermal calculation remains mesh-sensitive and package temperatures unproven; I13 via trial lowers MCU hotspot but increases local capacitor-board heating.</x:v>
      </x:c>
      <x:c r="E330" s="180" t="str">
        <x:v>Retain full4.815W corner and complete native-fill thermal comparison; no thermal approval from DRC.
Remaining: Current refinement is complete but still mesh-sensitive; package/local-ambient closure remains open.</x:v>
      </x:c>
      <x:c r="F330" s="180" t="str">
        <x:v>iterations/I14_service_clearance/REDLINE_FREEZE.json
iterations/I20_controlled_handoff/NATIVE_BINDING.json
current/I21_SOURCE_VERIFICATION.json
current/SOURCE_EFFECTIVITY.json
analyses/thermal_i18/face_15.0/RESULTS.json
current/THERMAL_REVIEW.md</x:v>
      </x:c>
    </x:row>
    <x:row r="331" ht="62" customHeight="1">
      <x:c r="A331" s="219" t="str">
        <x:v>I14-03</x:v>
      </x:c>
      <x:c r="B331" s="219" t="str">
        <x:v>I14</x:v>
      </x:c>
      <x:c r="C331" s="219" t="str">
        <x:v>ACCESSORY SPECIFICATION REQUIRED</x:v>
      </x:c>
      <x:c r="D331" s="219" t="str">
        <x:v>Inferred Adafruit851 PDF limits cable to60C and calls its interface RP-SMA while product page calls SMA. Exact purchased adapter identity was not given.</x:v>
      </x:c>
      <x:c r="E331" s="219" t="str">
        <x:v>Document incompatibility with65C design air; dimension an explicit SMA/U.FL compatible high-temperature alternative for review.
Remaining: Exact Adafruit item identity, connector polarity and hot-environment specification required.</x:v>
      </x:c>
      <x:c r="F331" s="219" t="str">
        <x:v>iterations/I14_service_clearance/REDLINE_FREEZE.json
iterations/I20_controlled_handoff/NATIVE_BINDING.json
current/I21_SOURCE_VERIFICATION.json
current/SOURCE_EFFECTIVITY.json</x:v>
      </x:c>
    </x:row>
    <x:row r="332" ht="88" customHeight="1">
      <x:c r="A332" s="180" t="str">
        <x:v>I14-04</x:v>
      </x:c>
      <x:c r="B332" s="180" t="str">
        <x:v>I14</x:v>
      </x:c>
      <x:c r="C332" s="180" t="str">
        <x:v>CORRECTED DECLARED GEOMETRY</x:v>
      </x:c>
      <x:c r="D332" s="180" t="str">
        <x:v>Mated connector/service geometry and updated 290-criterion register still incomplete.</x:v>
      </x:c>
      <x:c r="E332" s="180" t="str">
        <x:v>Complete assembly-envelope and controlled-evidence disposition.
Remaining: Declared dimensions, materials, min plating and supplier/installed conditions remain applicable.</x:v>
      </x:c>
      <x:c r="F332" s="180" t="str">
        <x:v>iterations/I14_service_clearance/REDLINE_FREEZE.json
iterations/I20_controlled_handoff/NATIVE_BINDING.json
current/I21_SOURCE_VERIFICATION.json
current/SOURCE_EFFECTIVITY.json
analyses/mated_i18/RESULTS.json
analyses/service_i19/RESULTS.json</x:v>
      </x:c>
    </x:row>
    <x:row r="333" ht="62" customHeight="1">
      <x:c r="A333" s="219" t="str">
        <x:v>I15-01</x:v>
      </x:c>
      <x:c r="B333" s="219" t="str">
        <x:v>I15</x:v>
      </x:c>
      <x:c r="C333" s="219" t="str">
        <x:v>CORRECTED NATIVE I20</x:v>
      </x:c>
      <x:c r="D333" s="219" t="str">
        <x:v>I14 native DRC has one unconnected GND pour island after close J201.3 via removal; all other native checks including0.508mm rule pass.</x:v>
      </x:c>
      <x:c r="E333" s="219" t="str">
        <x:v>Restore a GND stitching via at71/7.5mm outside the contact area; move three ESP_EN back traces clear of it.</x:v>
      </x:c>
      <x:c r="F333" s="219" t="str">
        <x:v>iterations/I15_service_mechanics/REDLINE_FREEZE.json
iterations/I20_controlled_handoff/NATIVE_BINDING.json
current/I21_SOURCE_VERIFICATION.json
current/SOURCE_EFFECTIVITY.json</x:v>
      </x:c>
    </x:row>
    <x:row r="334" ht="88" customHeight="1">
      <x:c r="A334" s="180" t="str">
        <x:v>I15-02</x:v>
      </x:c>
      <x:c r="B334" s="180" t="str">
        <x:v>I15</x:v>
      </x:c>
      <x:c r="C334" s="180" t="str">
        <x:v>CORRECTED DECLARED GEOMETRY</x:v>
      </x:c>
      <x:c r="D334" s="180" t="str">
        <x:v>Mated service envelope intersects C201 broad courtyard and J401 broad courtyard.</x:v>
      </x:c>
      <x:c r="E334" s="180" t="str">
        <x:v>Use primary body dimensions and bounded tool positioning instead of treating each courtyard as a solid; retain explicit dimensional acceptance.
Remaining: Declared dimensions, materials, min plating and supplier/installed conditions remain applicable.</x:v>
      </x:c>
      <x:c r="F334" s="180" t="str">
        <x:v>iterations/I15_service_mechanics/REDLINE_FREEZE.json
iterations/I20_controlled_handoff/NATIVE_BINDING.json
current/I21_SOURCE_VERIFICATION.json
current/SOURCE_EFFECTIVITY.json
analyses/mated_i18/RESULTS.json
analyses/service_i19/RESULTS.json</x:v>
      </x:c>
    </x:row>
    <x:row r="335" ht="88" customHeight="1">
      <x:c r="A335" s="219" t="str">
        <x:v>I15-03</x:v>
      </x:c>
      <x:c r="B335" s="219" t="str">
        <x:v>I15</x:v>
      </x:c>
      <x:c r="C335" s="219" t="str">
        <x:v>CORRECTED DECLARED GEOMETRY</x:v>
      </x:c>
      <x:c r="D335" s="219" t="str">
        <x:v>The full150mm coax route intersects the upper-right carrier support.</x:v>
      </x:c>
      <x:c r="E335" s="219" t="str">
        <x:v>C05 support relief,15mm-radius S bend and complete rerouted150mm loop; recalculate reduced ligament and confirm3D envelopes.
Remaining: Declared dimensions, materials, min plating and supplier/installed conditions remain applicable.</x:v>
      </x:c>
      <x:c r="F335" s="219" t="str">
        <x:v>iterations/I15_service_mechanics/REDLINE_FREEZE.json
iterations/I20_controlled_handoff/NATIVE_BINDING.json
current/I21_SOURCE_VERIFICATION.json
current/SOURCE_EFFECTIVITY.json
analyses/mated_i18/RESULTS.json
analyses/service_i19/RESULTS.json</x:v>
      </x:c>
    </x:row>
    <x:row r="336" ht="88" customHeight="1">
      <x:c r="A336" s="180" t="str">
        <x:v>I15-04</x:v>
      </x:c>
      <x:c r="B336" s="180" t="str">
        <x:v>I15</x:v>
      </x:c>
      <x:c r="C336" s="180" t="str">
        <x:v>OPEN THERMAL ENGINEERING</x:v>
      </x:c>
      <x:c r="D336" s="180" t="str">
        <x:v>Thermal/package margins, exact adapter identity and formal register remain unresolved.</x:v>
      </x:c>
      <x:c r="E336" s="180" t="str">
        <x:v>Carry all forward explicitly; no implication that native zero closes these.
Remaining: Current refinement is complete but still mesh-sensitive; package/local-ambient closure remains open.</x:v>
      </x:c>
      <x:c r="F336" s="180" t="str">
        <x:v>iterations/I15_service_mechanics/REDLINE_FREEZE.json
iterations/I20_controlled_handoff/NATIVE_BINDING.json
current/I21_SOURCE_VERIFICATION.json
current/SOURCE_EFFECTIVITY.json
analyses/thermal_i18/face_15.0/RESULTS.json
current/THERMAL_REVIEW.md</x:v>
      </x:c>
    </x:row>
    <x:row r="337" ht="62" customHeight="1">
      <x:c r="A337" s="219" t="str">
        <x:v>I16-RF-01</x:v>
      </x:c>
      <x:c r="B337" s="219" t="str">
        <x:v>I16</x:v>
      </x:c>
      <x:c r="C337" s="219" t="str">
        <x:v>CORRECTED NATIVE I20</x:v>
      </x:c>
      <x:c r="D337" s="219" t="str">
        <x:v>4.6791307 mm of GPS_EXT_ANT centerline above +3V3 on In2 instead of model-assumed ground.</x:v>
      </x:c>
      <x:c r="E337" s="219" t="str">
        <x:v>Reroute complete In2 power detour; reserve &gt;=1 mm of filled ground past RF edge after 0.15 mm clearance. Preserve RF launch and matching geometry.</x:v>
      </x:c>
      <x:c r="F337" s="219" t="str">
        <x:v>iterations/I16_RF_reference/REDLINE_FREEZE.json
iterations/I20_controlled_handoff/NATIVE_BINDING.json
current/I21_SOURCE_VERIFICATION.json
current/SOURCE_EFFECTIVITY.json</x:v>
      </x:c>
    </x:row>
    <x:row r="338" ht="75" customHeight="1">
      <x:c r="A338" s="180" t="str">
        <x:v>I16-SI-02</x:v>
      </x:c>
      <x:c r="B338" s="180" t="str">
        <x:v>I16</x:v>
      </x:c>
      <x:c r="C338" s="180" t="str">
        <x:v>REFERENCE CONDITION RETAINED</x:v>
      </x:c>
      <x:c r="D338" s="180" t="str">
        <x:v>Digital crossings of LED/oil/power copper require return-path bounds. Broad UART0_RX underlap present.</x:v>
      </x:c>
      <x:c r="E338" s="180" t="str">
        <x:v>Power reroute also removes UART underlap. Classify signal-via antipads and bound remaining digital crossings against both ground planes.
Remaining: UART underlap removed. All 54 remaining digital adjacent-plane gaps have alternate ground beneath them; exact digital source/return bounds remain applicable. GND-02 is still open.</x:v>
      </x:c>
      <x:c r="F338" s="180" t="str">
        <x:v>iterations/I16_RF_reference/REDLINE_FREEZE.json
iterations/I20_controlled_handoff/NATIVE_BINDING.json
current/I21_SOURCE_VERIFICATION.json
current/SOURCE_EFFECTIVITY.json
analyses/manufacturing_i20/RESULTS.json</x:v>
      </x:c>
    </x:row>
    <x:row r="339" ht="88" customHeight="1">
      <x:c r="A339" s="219" t="str">
        <x:v>I16-TH-03</x:v>
      </x:c>
      <x:c r="B339" s="219" t="str">
        <x:v>I16</x:v>
      </x:c>
      <x:c r="C339" s="219" t="str">
        <x:v>OPEN THERMAL ENGINEERING</x:v>
      </x:c>
      <x:c r="D339" s="219" t="str">
        <x:v>Full4.815W thermal .25mm estimate yields124.562659C near C206 before ripple/package margin.</x:v>
      </x:c>
      <x:c r="E339" s="219" t="str">
        <x:v>Keep full-load requirement and failed trials. Determine remaining cooling/package requirements.
Remaining: Current refinement is complete but still mesh-sensitive; package/local-ambient closure remains open.</x:v>
      </x:c>
      <x:c r="F339" s="219" t="str">
        <x:v>iterations/I16_RF_reference/REDLINE_FREEZE.json
iterations/I20_controlled_handoff/NATIVE_BINDING.json
current/I21_SOURCE_VERIFICATION.json
current/SOURCE_EFFECTIVITY.json
analyses/thermal_i18/face_15.0/RESULTS.json
current/THERMAL_REVIEW.md</x:v>
      </x:c>
    </x:row>
    <x:row r="340" ht="88" customHeight="1">
      <x:c r="A340" s="180" t="str">
        <x:v>I16-DOC-04</x:v>
      </x:c>
      <x:c r="B340" s="180" t="str">
        <x:v>I16</x:v>
      </x:c>
      <x:c r="C340" s="180" t="str">
        <x:v>CORRECTED CURRENT REVIEW</x:v>
      </x:c>
      <x:c r="D340" s="180" t="str">
        <x:v>Register and final mechanics/effectivity stale.</x:v>
      </x:c>
      <x:c r="E340" s="180" t="str">
        <x:v>Reconcile all290 criteria, C05/W02/T03,49 filled/capped vias and current native evidence.</x:v>
      </x:c>
      <x:c r="F340" s="180" t="str">
        <x:v>iterations/I16_RF_reference/REDLINE_FREEZE.json
iterations/I20_controlled_handoff/NATIVE_BINDING.json
current/I21_SOURCE_VERIFICATION.json
current/SOURCE_EFFECTIVITY.json
current/EXECUTION_PLAN.md
current/MANUFACTURING_AND_ASSEMBLY.md</x:v>
      </x:c>
    </x:row>
    <x:row r="341" ht="62" customHeight="1">
      <x:c r="A341" s="219" t="str">
        <x:v>I17-01</x:v>
      </x:c>
      <x:c r="B341" s="219" t="str">
        <x:v>I17</x:v>
      </x:c>
      <x:c r="C341" s="219" t="str">
        <x:v>CORRECTED NATIVE I20</x:v>
      </x:c>
      <x:c r="D341" s="219" t="str">
        <x:v>I16 has one native hole-clearance error: In2 +3V3 crosses J201 locating NPTH at68.46/6.</x:v>
      </x:c>
      <x:c r="E341" s="219" t="str">
        <x:v>Replace short66.5/5.1 to70.7/9 detour using all NPTH holes as physical routing obstacles; retain .25mm hole clearance and RF reference corridor. Update preflight to include NPTH.</x:v>
      </x:c>
      <x:c r="F341" s="219" t="str">
        <x:v>iterations/I17_RF_hole_clearance/REDLINE_FREEZE.json
iterations/I20_controlled_handoff/NATIVE_BINDING.json
current/I21_SOURCE_VERIFICATION.json
current/SOURCE_EFFECTIVITY.json</x:v>
      </x:c>
    </x:row>
    <x:row r="342" ht="88" customHeight="1">
      <x:c r="A342" s="180" t="str">
        <x:v>I17-02</x:v>
      </x:c>
      <x:c r="B342" s="180" t="str">
        <x:v>I17</x:v>
      </x:c>
      <x:c r="C342" s="180" t="str">
        <x:v>CORRECTED CURRENT REVIEW</x:v>
      </x:c>
      <x:c r="D342" s="180" t="str">
        <x:v>RF, digital reference, power/thermal and documentation need final effectivity after corrected routing.</x:v>
      </x:c>
      <x:c r="E342" s="180" t="str">
        <x:v>Run final native checks; recalculate all affected geometric and model bindings. Preserve unresolved thermal and supplier/physical conditions.</x:v>
      </x:c>
      <x:c r="F342" s="180" t="str">
        <x:v>iterations/I17_RF_hole_clearance/REDLINE_FREEZE.json
iterations/I20_controlled_handoff/NATIVE_BINDING.json
current/I21_SOURCE_VERIFICATION.json
current/SOURCE_EFFECTIVITY.json
current/EXECUTION_PLAN.md
current/MANUFACTURING_AND_ASSEMBLY.md</x:v>
      </x:c>
    </x:row>
    <x:row r="343" ht="88" customHeight="1">
      <x:c r="A343" s="219" t="str">
        <x:v>I18-01</x:v>
      </x:c>
      <x:c r="B343" s="219" t="str">
        <x:v>I18</x:v>
      </x:c>
      <x:c r="C343" s="219" t="str">
        <x:v>OPEN THERMAL ENGINEERING</x:v>
      </x:c>
      <x:c r="D343" s="219" t="str">
        <x:v>C206 on B.Cu next to the MCU has only0.43C modeled margin to125C at65C air/70C cold landings/full4.815W on0.25mm mesh, without convergence.</x:v>
      </x:c>
      <x:c r="E343" s="219" t="str">
        <x:v>Relocate C206 to F.Cu on added top-right FR4 tab, using same qualified part and footprint. Keep original power load, cooling boundaries and all existing TP/service locations.
Remaining: Current refinement is complete but still mesh-sensitive; package/local-ambient closure remains open.</x:v>
      </x:c>
      <x:c r="F343" s="219" t="str">
        <x:v>iterations/I18_capacitor_thermal_tab/REDLINE_FREEZE.json
iterations/I20_controlled_handoff/NATIVE_BINDING.json
current/I21_SOURCE_VERIFICATION.json
current/SOURCE_EFFECTIVITY.json
analyses/thermal_i18/face_15.0/RESULTS.json
current/THERMAL_REVIEW.md</x:v>
      </x:c>
    </x:row>
    <x:row r="344" ht="127" customHeight="1">
      <x:c r="A344" s="180" t="str">
        <x:v>I18-02</x:v>
      </x:c>
      <x:c r="B344" s="180" t="str">
        <x:v>I18</x:v>
      </x:c>
      <x:c r="C344" s="180" t="str">
        <x:v>OPEN THERMAL ENGINEERING</x:v>
      </x:c>
      <x:c r="D344" s="180" t="str">
        <x:v>Relocation affects outline, current path inductance/resistance, thermal field, fabrication and assembly.</x:v>
      </x:c>
      <x:c r="E344" s="180" t="str">
        <x:v>Recompute all affected source-bound analyses, native DRC/ERC and exports, drill/gerber continuity; verify tab mechanics, clearance and revision identity. Native pass is required before any desktop closure.
Remaining: Electrical, RF, native and declared geometry regression is complete. The combined finding still includes unresolved thermal/package closure.</x:v>
      </x:c>
      <x:c r="F344" s="180" t="str">
        <x:v>iterations/I18_capacitor_thermal_tab/REDLINE_FREEZE.json
iterations/I20_controlled_handoff/NATIVE_BINDING.json
current/I21_SOURCE_VERIFICATION.json
current/SOURCE_EFFECTIVITY.json
analyses/thermal_i18/face_15.0/RESULTS.json
analyses/power_i19/SUMMARY.json
analyses/rf_i18/EXTENDED_NETWORK_RESULTS.json
analyses/mated_i18/RESULTS.json
analyses/service_i19/RESULTS.json</x:v>
      </x:c>
    </x:row>
    <x:row r="345" ht="88" customHeight="1">
      <x:c r="A345" s="219" t="str">
        <x:v>I19-01</x:v>
      </x:c>
      <x:c r="B345" s="219" t="str">
        <x:v>I19</x:v>
      </x:c>
      <x:c r="C345" s="219" t="str">
        <x:v>CORRECTED FINITE POWER MODEL</x:v>
      </x:c>
      <x:c r="D345" s="219" t="str">
        <x:v>I18 full rail model leaves0.278mV above maximum falling reset threshold. Its zero-DC-credit release envelope exceeds3.6V, even though realizable modeled releases remain below3.6V.</x:v>
      </x:c>
      <x:c r="E345" s="219" t="str">
        <x:v>Select same0603 land-compatible TNPU060311K8HWEA00 / TNPU06034K99HWEA00:11.8k/4.99k,0.02%,2ppm/K. Include0.1% independent drift and hot copper up to150C in the revised source interval and full rail sweep.
Remaining: Finite component/controller/return box applies. No private silicon compensation or physical transient measurement is claimed.</x:v>
      </x:c>
      <x:c r="F345" s="219" t="str">
        <x:v>iterations/I19_precision_feedback/REDLINE_FREEZE.json
iterations/I20_controlled_handoff/NATIVE_BINDING.json
current/I21_SOURCE_VERIFICATION.json
current/SOURCE_EFFECTIVITY.json
analyses/power_i19/SUMMARY.json
analyses/power_i19/EXTREMA_CONFIRMATION.json</x:v>
      </x:c>
    </x:row>
    <x:row r="346" ht="88" customHeight="1">
      <x:c r="A346" s="180" t="str">
        <x:v>I19-02</x:v>
      </x:c>
      <x:c r="B346" s="180" t="str">
        <x:v>I19</x:v>
      </x:c>
      <x:c r="C346" s="180" t="str">
        <x:v>CORRECTED FINITE POWER MODEL</x:v>
      </x:c>
      <x:c r="D346" s="180" t="str">
        <x:v>Long C206 lead needs updated copper/RL source binding; component and copper temperature scopes differ.</x:v>
      </x:c>
      <x:c r="E346" s="180" t="str">
        <x:v>Retain0..25nH branch sensitivity, expand branch R excludingR158 to0..0.12ohm, extract exact changed rail geometry at150C with15um minimum plated wall, and repeat separate numerical methods at controlling extrema.
Remaining: Finite component/controller/return box applies. No private silicon compensation or physical transient measurement is claimed.</x:v>
      </x:c>
      <x:c r="F346" s="180" t="str">
        <x:v>iterations/I19_precision_feedback/REDLINE_FREEZE.json
iterations/I20_controlled_handoff/NATIVE_BINDING.json
current/I21_SOURCE_VERIFICATION.json
current/SOURCE_EFFECTIVITY.json
analyses/power_i19/SUMMARY.json
analyses/power_i19/EXTREMA_CONFIRMATION.json</x:v>
      </x:c>
    </x:row>
    <x:row r="347" ht="88" customHeight="1">
      <x:c r="A347" s="219" t="str">
        <x:v>I19-03</x:v>
      </x:c>
      <x:c r="B347" s="219" t="str">
        <x:v>I19</x:v>
      </x:c>
      <x:c r="C347" s="219" t="str">
        <x:v>OPEN THERMAL ENGINEERING</x:v>
      </x:c>
      <x:c r="D347" s="219" t="str">
        <x:v>I18 finer-mesh thermal, return-reference and mechanical closure still need final effectivity.</x:v>
      </x:c>
      <x:c r="E347" s="219" t="str">
        <x:v>Finish them against unchanged I18 copper/placement geometry, then prove I19 changes only these two resistor properties and schematic notes. Re-run native ERC/DRC/BOM/STEP exports.
Remaining: Current refinement is complete but still mesh-sensitive; package/local-ambient closure remains open.</x:v>
      </x:c>
      <x:c r="F347" s="219" t="str">
        <x:v>iterations/I19_precision_feedback/REDLINE_FREEZE.json
iterations/I20_controlled_handoff/NATIVE_BINDING.json
current/I21_SOURCE_VERIFICATION.json
current/SOURCE_EFFECTIVITY.json
analyses/thermal_i18/face_15.0/RESULTS.json
current/THERMAL_REVIEW.md</x:v>
      </x:c>
    </x:row>
    <x:row r="348" ht="62" customHeight="1">
      <x:c r="A348" s="180" t="str">
        <x:v>I20-D01</x:v>
      </x:c>
      <x:c r="B348" s="180" t="str">
        <x:v>I20</x:v>
      </x:c>
      <x:c r="C348" s="180" t="str">
        <x:v>CORRECTED NATIVE I20</x:v>
      </x:c>
      <x:c r="D348" s="180" t="str">
        <x:v>Power schematic annotations still state superseded23.7k/10k and old voltage bounds.</x:v>
      </x:c>
      <x:c r="E348" s="180" t="str">
        <x:v>Resolved through the subsequent coordinated native candidate and recorded source changes.</x:v>
      </x:c>
      <x:c r="F348" s="180" t="str">
        <x:v>iterations/I20_controlled_handoff/REDLINE_FREEZE.json
iterations/I20_controlled_handoff/NATIVE_BINDING.json
current/I21_SOURCE_VERIFICATION.json
current/SOURCE_EFFECTIVITY.json</x:v>
      </x:c>
    </x:row>
    <x:row r="349" ht="62" customHeight="1">
      <x:c r="A349" s="219" t="str">
        <x:v>I20-D02</x:v>
      </x:c>
      <x:c r="B349" s="219" t="str">
        <x:v>I20</x:v>
      </x:c>
      <x:c r="C349" s="219" t="str">
        <x:v>CORRECTED NATIVE I20</x:v>
      </x:c>
      <x:c r="D349" s="219" t="str">
        <x:v>Candidate labels still say native validation pending after the executed I19 pass.</x:v>
      </x:c>
      <x:c r="E349" s="219" t="str">
        <x:v>Resolved through the subsequent coordinated native candidate and recorded source changes.</x:v>
      </x:c>
      <x:c r="F349" s="219" t="str">
        <x:v>iterations/I20_controlled_handoff/REDLINE_FREEZE.json
iterations/I20_controlled_handoff/NATIVE_BINDING.json
current/I21_SOURCE_VERIFICATION.json
current/SOURCE_EFFECTIVITY.json</x:v>
      </x:c>
    </x:row>
    <x:row r="350" ht="88" customHeight="1">
      <x:c r="A350" s="180" t="str">
        <x:v>I20-D03</x:v>
      </x:c>
      <x:c r="B350" s="180" t="str">
        <x:v>I20</x:v>
      </x:c>
      <x:c r="C350" s="180" t="str">
        <x:v>CORRECTED CURRENT REVIEW</x:v>
      </x:c>
      <x:c r="D350" s="180" t="str">
        <x:v>Current mechanics and acceptance instructions must point to C05/W02/T03 and49 filled/capped locations; historical copies must be visibly superseded.</x:v>
      </x:c>
      <x:c r="E350" s="180" t="str">
        <x:v>Resolved through the subsequent coordinated native candidate and recorded source changes.</x:v>
      </x:c>
      <x:c r="F350" s="180" t="str">
        <x:v>iterations/I20_controlled_handoff/REDLINE_FREEZE.json
iterations/I20_controlled_handoff/NATIVE_BINDING.json
current/I21_SOURCE_VERIFICATION.json
current/SOURCE_EFFECTIVITY.json
current/EXECUTION_PLAN.md
current/MANUFACTURING_AND_ASSEMBLY.md</x:v>
      </x:c>
    </x:row>
    <x:row r="351" ht="88" customHeight="1">
      <x:c r="A351" s="219" t="str">
        <x:v>I20-D04</x:v>
      </x:c>
      <x:c r="B351" s="219" t="str">
        <x:v>I20</x:v>
      </x:c>
      <x:c r="C351" s="219" t="str">
        <x:v>CORRECTED CURRENT REVIEW</x:v>
      </x:c>
      <x:c r="D351" s="219" t="str">
        <x:v>Final review must use the user73/213/4 baseline and preserve every original criterion, with model and physical/supplier status separately recorded.</x:v>
      </x:c>
      <x:c r="E351" s="219" t="str">
        <x:v>Resolved through the subsequent coordinated native candidate and recorded source changes.</x:v>
      </x:c>
      <x:c r="F351" s="219" t="str">
        <x:v>iterations/I20_controlled_handoff/REDLINE_FREEZE.json
iterations/I20_controlled_handoff/NATIVE_BINDING.json
current/I21_SOURCE_VERIFICATION.json
current/SOURCE_EFFECTIVITY.json
current/EXECUTION_PLAN.md
current/MANUFACTURING_AND_ASSEMBLY.md</x:v>
      </x:c>
    </x:row>
    <x:row r="352" ht="62" customHeight="1">
      <x:c r="A352" s="180" t="str">
        <x:v>I21-01</x:v>
      </x:c>
      <x:c r="B352" s="180" t="str">
        <x:v>I21</x:v>
      </x:c>
      <x:c r="C352" s="180" t="str">
        <x:v>CORRECTED CURRENT REVIEW</x:v>
      </x:c>
      <x:c r="D352" s="180" t="str">
        <x:v>Current README, execution plan, PR body and formal register still identify I06/I11/I14 despite an I20 source-bound native pass.</x:v>
      </x:c>
      <x:c r="E352" s="180" t="str">
        <x:v>Replace current pointers and adjudicate all 290 unchanged original criteria against I20 evidence. Retain historical evidence as history.</x:v>
      </x:c>
      <x:c r="F352" s="180" t="str">
        <x:v>current/I21_SOURCE_VERIFICATION.json
current/EXECUTION_PLAN.md
current/MANUFACTURING_AND_ASSEMBLY.md
current/THERMAL_REVIEW.md</x:v>
      </x:c>
    </x:row>
    <x:row r="353" ht="75" customHeight="1">
      <x:c r="A353" s="219" t="str">
        <x:v>I21-02</x:v>
      </x:c>
      <x:c r="B353" s="219" t="str">
        <x:v>I21</x:v>
      </x:c>
      <x:c r="C353" s="219" t="str">
        <x:v>OPEN THERMAL ENGINEERING</x:v>
      </x:c>
      <x:c r="D353" s="219" t="str">
        <x:v>The 0.125 mm thermal refinement was interrupted. The 0.25 mm result has 135.423874 C maximum board temperature and 102.642279 C at the relocated C206 region. Package temperatures and mesh independence are not established.</x:v>
      </x:c>
      <x:c r="E353" s="219" t="str">
        <x:v>Finish the existing full-load refinement, evaluate numerical sensitivity and explicit package/installation limits, and record any required cooling correction. Preserve 4.815 W, 65 C air and 70 C landings.
Remaining: Converged package/local-air analysis and verified cooling correction remain required.</x:v>
      </x:c>
      <x:c r="F353" s="219" t="str">
        <x:v>current/I21_SOURCE_VERIFICATION.json
current/EXECUTION_PLAN.md
current/MANUFACTURING_AND_ASSEMBLY.md
current/THERMAL_REVIEW.md</x:v>
      </x:c>
    </x:row>
    <x:row r="354" ht="62" customHeight="1">
      <x:c r="A354" s="180" t="str">
        <x:v>I21-03</x:v>
      </x:c>
      <x:c r="B354" s="180" t="str">
        <x:v>I21</x:v>
      </x:c>
      <x:c r="C354" s="180" t="str">
        <x:v>CORRECTED CURRENT REVIEW</x:v>
      </x:c>
      <x:c r="D354" s="180" t="str">
        <x:v>Current fabrication, mechanical and assembly instructions are scattered across revisions, including obsolete 13-via, C206 position and feedback-divider notes.</x:v>
      </x:c>
      <x:c r="E354" s="180" t="str">
        <x:v>Publish one current assembly and fabrication specification, including C05/W02/T03, relocated C206, precision divider, 49 filled/capped vias, and matching source/export identities.</x:v>
      </x:c>
      <x:c r="F354" s="180" t="str">
        <x:v>current/I21_SOURCE_VERIFICATION.json
current/EXECUTION_PLAN.md
current/MANUFACTURING_AND_ASSEMBLY.md
current/THERMAL_REVIEW.md</x:v>
      </x:c>
    </x:row>
    <x:row r="355" ht="62" customHeight="1">
      <x:c r="A355" s="219" t="str">
        <x:v>I21-04</x:v>
      </x:c>
      <x:c r="B355" s="219" t="str">
        <x:v>I21</x:v>
      </x:c>
      <x:c r="C355" s="219" t="str">
        <x:v>CORRECTED CURRENT REVIEW</x:v>
      </x:c>
      <x:c r="D355" s="219" t="str">
        <x:v>Restored evidence must be verified against the actual remote candidate before its claims are carried forward.</x:v>
      </x:c>
      <x:c r="E355" s="219" t="str">
        <x:v>Check archive digests, native input inventory, fitted BOM/placement, independent copper/Gerber/drill reconstruction, firmware hashes and TranquilWorks artwork identity.</x:v>
      </x:c>
      <x:c r="F355" s="219" t="str">
        <x:v>current/I21_SOURCE_VERIFICATION.json
current/EXECUTION_PLAN.md
current/MANUFACTURING_AND_ASSEMBLY.md
current/THERMAL_REVIEW.md</x:v>
      </x:c>
    </x:row>
  </x:sheetData>
  <x:mergeCells>
    <x:mergeCell ref="A1:F1"/>
    <x:mergeCell ref="A2:F2"/>
  </x:mergeCells>
  <x:conditionalFormatting sqref="C5:C103">
    <x:cfRule type="containsText" dxfId="60" priority="1" operator="containsText" text="OPEN"/>
    <x:cfRule type="containsText" dxfId="61" priority="2" operator="containsText" text="BLOCKED"/>
    <x:cfRule type="containsText" dxfId="62" priority="3" operator="containsText" text="CONDITIONAL"/>
    <x:cfRule type="containsText" dxfId="63" priority="4" operator="containsText" text="CORRECTED"/>
    <x:cfRule type="containsText" dxfId="64" priority="5" operator="containsText" text="CLOSED"/>
  </x:conditionalFormatting>
  <x:conditionalFormatting sqref="C5:C355">
    <x:cfRule type="containsText" dxfId="76" priority="6" operator="containsText" text="OPEN"/>
    <x:cfRule type="containsText" dxfId="77" priority="7" operator="containsText" text="BLOCKED"/>
    <x:cfRule type="containsText" dxfId="78" priority="8" operator="containsText" text="CONDITIONAL"/>
    <x:cfRule type="containsText" dxfId="79" priority="9" operator="containsText" text="CORRECTED"/>
    <x:cfRule type="containsText" dxfId="80" priority="10" operator="containsText" text="CLOSED"/>
  </x:conditionalFormatting>
  <x:pageMargins left="0.7" right="0.7" top="0.75" bottom="0.75" header="0.3" footer="0.3"/>
  <x:tableParts count="1">
    <x:tablePart xmlns:r="http://schemas.openxmlformats.org/officeDocument/2006/relationships" r:id="R355bc31c0dda4ae9"/>
  </x:tableParts>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9" hidden="0" customWidth="1"/>
    <x:col min="2" max="2" width="90" hidden="0" customWidth="1"/>
    <x:col min="3" max="3" width="100" hidden="0" customWidth="1"/>
  </x:cols>
  <x:sheetData>
    <x:row r="1" ht="34" customHeight="1">
      <x:c r="A1" s="215" t="str">
        <x:v>RVB22 I21 inputs and operating bounds</x:v>
      </x:c>
      <x:c r="B1" s="215"/>
      <x:c r="C1" s="215"/>
    </x:row>
    <x:row r="2" ht="46" customHeight="1">
      <x:c r="A2" s="177" t="str">
        <x:v>Values and model conditions are source inputs. Edit with traceability; changing an assumption can invalidate its dependent closure.</x:v>
      </x:c>
      <x:c r="B2" s="177"/>
      <x:c r="C2" s="177"/>
    </x:row>
    <x:row r="4" ht="30" customHeight="1">
      <x:c r="A4" s="218" t="str">
        <x:v>Input / bound</x:v>
      </x:c>
      <x:c r="B4" s="218" t="str">
        <x:v>Value</x:v>
      </x:c>
      <x:c r="C4" s="218" t="str">
        <x:v>Basis / source</x:v>
      </x:c>
    </x:row>
    <x:row r="5" ht="30" customHeight="1">
      <x:c r="A5" s="219" t="str">
        <x:v>User baseline criteria closed</x:v>
      </x:c>
      <x:c r="B5" s="220" t="n">
        <x:v>73</x:v>
      </x:c>
      <x:c r="C5" s="219" t="str">
        <x:v>Original user baseline (73 closed), not the superseded I06 consolidation</x:v>
      </x:c>
    </x:row>
    <x:row r="6" ht="30" customHeight="1">
      <x:c r="A6" s="180" t="str">
        <x:v>Current checkpoint</x:v>
      </x:c>
      <x:c r="B6" s="180" t="str">
        <x:v>RVB22_I21_RECONCILIATION_I20_CAD</x:v>
      </x:c>
      <x:c r="C6" s="180" t="str">
        <x:v>control/FINAL_REVIEW_REGISTER.json / checkpoint</x:v>
      </x:c>
    </x:row>
    <x:row r="7" ht="30" customHeight="1">
      <x:c r="A7" s="219" t="str">
        <x:v>Review date</x:v>
      </x:c>
      <x:c r="B7" s="227" t="n">
        <x:v>46275</x:v>
      </x:c>
      <x:c r="C7" s="219" t="str">
        <x:v>control/FINAL_REVIEW_REGISTER.json / date</x:v>
      </x:c>
    </x:row>
    <x:row r="8" ht="30" customHeight="1">
      <x:c r="A8" s="180" t="str">
        <x:v>Current PCB SHA256</x:v>
      </x:c>
      <x:c r="B8" s="180" t="str">
        <x:v>b6c704c0c97685a68ba708d320347148e5136c182c221d86627ff5b319954b3c</x:v>
      </x:c>
      <x:c r="C8" s="180" t="str">
        <x:v>control/FINAL_REVIEW_REGISTER.json / PCB_sha256</x:v>
      </x:c>
    </x:row>
    <x:row r="9" ht="30" customHeight="1">
      <x:c r="A9" s="219" t="str">
        <x:v>Firmware manifest SHA256</x:v>
      </x:c>
      <x:c r="B9" s="219" t="str">
        <x:v>3cc361dbe9ed9dd112bf889d5a3bece277ac45287a5348ebc2ab4255bf74a90f</x:v>
      </x:c>
      <x:c r="C9" s="219" t="str">
        <x:v>control/FINAL_REVIEW_REGISTER.json / firmware_manifest_sha256</x:v>
      </x:c>
    </x:row>
    <x:row r="10" ht="49" customHeight="1">
      <x:c r="A10" s="180" t="str">
        <x:v>Meaning of zero</x:v>
      </x:c>
      <x:c r="B10" s="180" t="str">
        <x:v>Zero native findings applies to the verified I20 CAD and target build. It is not zero overall redlines: thermal mesh/package/local-air engineering remains open, and original unit/supplier/installation criteria retain their own requirements.</x:v>
      </x:c>
      <x:c r="C10" s="180" t="str">
        <x:v>control/FINAL_REVIEW_REGISTER.json / meaning_of_zero</x:v>
      </x:c>
    </x:row>
    <x:row r="11" ht="30" customHeight="1">
      <x:c r="A11" s="219" t="str">
        <x:v>Oil sensor</x:v>
      </x:c>
      <x:c r="B11" s="219" t="str">
        <x:v>Honeywell MIPAN2XX150PSAAX, 150 psi sealed gauge, 5 V ratiometric</x:v>
      </x:c>
      <x:c r="C11" s="219" t="str">
        <x:v>User-confirmed 480-MIPAN2XX150PSAAX-ND</x:v>
      </x:c>
    </x:row>
    <x:row r="12" ht="30" customHeight="1">
      <x:c r="A12" s="180" t="str">
        <x:v>Vehicle connector</x:v>
      </x:c>
      <x:c r="B12" s="180" t="str">
        <x:v>GR86 ASC connector per Timurrr; switched fused power and one full-current return</x:v>
      </x:c>
      <x:c r="C12" s="180" t="str">
        <x:v>interfaces/HARNESS_CHECKS.json</x:v>
      </x:c>
    </x:row>
    <x:row r="13" ht="30" customHeight="1">
      <x:c r="A13" s="219" t="str">
        <x:v>RF accessory</x:v>
      </x:c>
      <x:c r="B13" s="219" t="str">
        <x:v>Adafruit U.FL/SMA adapter and external GPS puck; exact PIDs not confirmed</x:v>
      </x:c>
      <x:c r="C13" s="219" t="str">
        <x:v>User product-type selection; G22-06</x:v>
      </x:c>
    </x:row>
    <x:row r="14" ht="30" customHeight="1">
      <x:c r="A14" s="180" t="str">
        <x:v>Dashboard thermal load (W)</x:v>
      </x:c>
      <x:c r="B14" s="221" t="n">
        <x:v>4.815</x:v>
      </x:c>
      <x:c r="C14" s="180" t="str">
        <x:v>analyses/thermal_i18/face_15.0/RESULTS.json</x:v>
      </x:c>
    </x:row>
    <x:row r="15" ht="30" customHeight="1">
      <x:c r="A15" s="219" t="str">
        <x:v>Bulk air (C)</x:v>
      </x:c>
      <x:c r="B15" s="220" t="n">
        <x:v>65</x:v>
      </x:c>
      <x:c r="C15" s="219" t="str">
        <x:v>analyses/thermal_i18/face_15.0/RESULTS.json</x:v>
      </x:c>
    </x:row>
    <x:row r="16" ht="30" customHeight="1">
      <x:c r="A16" s="180" t="str">
        <x:v>Cold landing (C)</x:v>
      </x:c>
      <x:c r="B16" s="222" t="n">
        <x:v>70</x:v>
      </x:c>
      <x:c r="C16" s="180" t="str">
        <x:v>analyses/thermal_i18/face_15.0/RESULTS.json</x:v>
      </x:c>
    </x:row>
    <x:row r="17" ht="30" customHeight="1">
      <x:c r="A17" s="219" t="str">
        <x:v>Atmospheric pressure (kPa)</x:v>
      </x:c>
      <x:c r="B17" s="220" t="n">
        <x:v>70</x:v>
      </x:c>
      <x:c r="C17" s="219" t="str">
        <x:v>analyses/thermal_i18/model_fast.py</x:v>
      </x:c>
    </x:row>
    <x:row r="18" ht="30" customHeight="1">
      <x:c r="A18" s="180" t="str">
        <x:v>Finished minimum via wall (um)</x:v>
      </x:c>
      <x:c r="B18" s="222" t="n">
        <x:v>15</x:v>
      </x:c>
      <x:c r="C18" s="180" t="str">
        <x:v>Explicit construction condition, not JLC average plating</x:v>
      </x:c>
    </x:row>
    <x:row r="19" ht="30" customHeight="1">
      <x:c r="A19" s="219" t="str">
        <x:v>Filled/capped/planarized vias</x:v>
      </x:c>
      <x:c r="B19" s="220" t="n">
        <x:v>49</x:v>
      </x:c>
      <x:c r="C19" s="219" t="str">
        <x:v>48 U201 pad-41 vias plus one R153 via</x:v>
      </x:c>
    </x:row>
    <x:row r="20" ht="30" customHeight="1">
      <x:c r="A20" s="180" t="str">
        <x:v>Mechanical construction</x:v>
      </x:c>
      <x:c r="B20" s="180" t="str">
        <x:v>C05 / W02 / T03; 200 unbonded 0.010–0.011 mm C110 laminae per flex member</x:v>
      </x:c>
      <x:c r="C20" s="180" t="str">
        <x:v>iterations/I15_service_mechanics/candidate_mechanics/FLEX_CONSTRUCTION_W02_T03.json</x:v>
      </x:c>
    </x:row>
    <x:row r="21" ht="36" customHeight="1">
      <x:c r="A21" s="219" t="str">
        <x:v>Current rail source</x:v>
      </x:c>
      <x:c r="B21" s="219" t="str">
        <x:v>R155 11.8 kohm / R156 4.99 kohm TNPU, 0.02%, 2 ppm/K with independent 0.1% drift bound</x:v>
      </x:c>
      <x:c r="C21" s="219" t="str">
        <x:v>analyses/power_i19/SUMMARY.json</x:v>
      </x:c>
    </x:row>
    <x:row r="22" ht="30" customHeight="1">
      <x:c r="A22" s="180" t="str">
        <x:v>Local rail minimum (V)</x:v>
      </x:c>
      <x:c r="B22" s="223" t="n">
        <x:v>3.121028568</x:v>
      </x:c>
      <x:c r="C22" s="180" t="str">
        <x:v>analyses/power_i19/SUMMARY.json</x:v>
      </x:c>
    </x:row>
    <x:row r="23" ht="30" customHeight="1">
      <x:c r="A23" s="219" t="str">
        <x:v>Zero-DC-credit release maximum (V)</x:v>
      </x:c>
      <x:c r="B23" s="224" t="n">
        <x:v>3.594820346</x:v>
      </x:c>
      <x:c r="C23" s="219" t="str">
        <x:v>analyses/power_i19/SUMMARY.json</x:v>
      </x:c>
    </x:row>
    <x:row r="24" ht="30" customHeight="1">
      <x:c r="A24" s="180" t="str">
        <x:v>Target reset maximum (V)</x:v>
      </x:c>
      <x:c r="B24" s="223" t="n">
        <x:v>3.11605</x:v>
      </x:c>
      <x:c r="C24" s="180" t="str">
        <x:v>analyses/power_i19/SUMMARY.json</x:v>
      </x:c>
    </x:row>
    <x:row r="25" ht="30" customHeight="1">
      <x:c r="A25" s="219" t="str">
        <x:v>Thermal mesh minimum (mm)</x:v>
      </x:c>
      <x:c r="B25" s="225" t="n">
        <x:v>0.125</x:v>
      </x:c>
      <x:c r="C25" s="219" t="str">
        <x:v>analyses/thermal_i18/face_15.0/RESULTS.json</x:v>
      </x:c>
    </x:row>
    <x:row r="26" ht="36" customHeight="1">
      <x:c r="A26" s="180" t="str">
        <x:v>Maximum board-region temperature (C)</x:v>
      </x:c>
      <x:c r="B26" s="226" t="n">
        <x:v>143.79976755011293</x:v>
      </x:c>
      <x:c r="C26" s="180" t="str">
        <x:v>Finite mesh estimate; not package proof</x:v>
      </x:c>
    </x:row>
    <x:row r="27" ht="30" customHeight="1">
      <x:c r="A27" s="219" t="str">
        <x:v>C206-region maximum (C)</x:v>
      </x:c>
      <x:c r="B27" s="225" t="n">
        <x:v>105.17145726815708</x:v>
      </x:c>
      <x:c r="C27" s="219" t="str">
        <x:v>Finite mesh estimate; self-heating/package margin separate</x:v>
      </x:c>
    </x:row>
    <x:row r="28" ht="30" customHeight="1">
      <x:c r="A28" s="180" t="str">
        <x:v>Native findings</x:v>
      </x:c>
      <x:c r="B28" s="222" t="n">
        <x:v>0</x:v>
      </x:c>
      <x:c r="C28" s="180" t="str">
        <x:v>iterations/I20_controlled_handoff/NATIVE_BINDING.json</x:v>
      </x:c>
    </x:row>
    <x:row r="29" ht="30" customHeight="1">
      <x:c r="A29" s="219" t="str">
        <x:v>Fitted model count</x:v>
      </x:c>
      <x:c r="B29" s="220" t="n">
        <x:v>153</x:v>
      </x:c>
      <x:c r="C29" s="219" t="str">
        <x:v>iterations/I20_controlled_handoff/NATIVE_BINDING.json</x:v>
      </x:c>
    </x:row>
    <x:row r="30" ht="30" customHeight="1">
      <x:c r="A30" s="180" t="str">
        <x:v>Brand artwork</x:v>
      </x:c>
      <x:c r="B30" s="180" t="str">
        <x:v>Compact TW, one-color F.SilkS, 8 mm; original SVG polygon identity verified</x:v>
      </x:c>
      <x:c r="C30" s="180" t="str">
        <x:v>current/SOURCE_EFFECTIVITY.json</x:v>
      </x:c>
    </x:row>
    <x:row r="31" ht="30" customHeight="1">
      <x:c r="A31" s="219" t="str">
        <x:v>Summary / criteria</x:v>
      </x:c>
      <x:c r="B31" s="220" t="n">
        <x:v>290</x:v>
      </x:c>
      <x:c r="C31" s="219" t="str">
        <x:v>control/FINAL_REVIEW_REGISTER.json / summary.criteria</x:v>
      </x:c>
    </x:row>
    <x:row r="32" ht="30" customHeight="1">
      <x:c r="A32" s="180" t="str">
        <x:v>Summary / user_baseline</x:v>
      </x:c>
      <x:c r="B32" s="180" t="str">
        <x:v>{"closed":73,"open":213,"na":4}</x:v>
      </x:c>
      <x:c r="C32" s="180" t="str">
        <x:v>control/FINAL_REVIEW_REGISTER.json / summary.user_baseline</x:v>
      </x:c>
    </x:row>
    <x:row r="33" ht="30" customHeight="1">
      <x:c r="A33" s="219" t="str">
        <x:v>Summary / prior_I06</x:v>
      </x:c>
      <x:c r="B33" s="219" t="str">
        <x:v>{"open":176,"closed":110,"na":4}</x:v>
      </x:c>
      <x:c r="C33" s="219" t="str">
        <x:v>control/FINAL_REVIEW_REGISTER.json / summary.prior_I06</x:v>
      </x:c>
    </x:row>
    <x:row r="34" ht="30" customHeight="1">
      <x:c r="A34" s="180" t="str">
        <x:v>Summary / current</x:v>
      </x:c>
      <x:c r="B34" s="180" t="str">
        <x:v>{"open":152,"closed":134,"na":4}</x:v>
      </x:c>
      <x:c r="C34" s="180" t="str">
        <x:v>control/FINAL_REVIEW_REGISTER.json / summary.current</x:v>
      </x:c>
    </x:row>
    <x:row r="35" ht="49" customHeight="1">
      <x:c r="A35" s="219" t="str">
        <x:v>Summary / newly_closed_since_I06</x:v>
      </x:c>
      <x:c r="B35" s="219" t="str">
        <x:v>["CFG-08","LIB-04","LIB-06","SEQ-09","GND-01","GND-08","VIA-02","VIA-05","VIA-10","BLE-01","BLE-02","MCU-08","FW-02","LAY-02","LAY-08","LAY-09","LAY-10","DFM-03","DFM-10","DRW-01","DRW-02","DRW-08","DRW-09","DFT-02","CCB-06"]</x:v>
      </x:c>
      <x:c r="C35" s="219" t="str">
        <x:v>control/FINAL_REVIEW_REGISTER.json / summary.newly_closed_since_I06</x:v>
      </x:c>
    </x:row>
    <x:row r="36" ht="30" customHeight="1">
      <x:c r="A36" s="180" t="str">
        <x:v>Summary / reopened_since_I06</x:v>
      </x:c>
      <x:c r="B36" s="180" t="str">
        <x:v>["REG-02"]</x:v>
      </x:c>
      <x:c r="C36" s="180" t="str">
        <x:v>control/FINAL_REVIEW_REGISTER.json / summary.reopened_since_I06</x:v>
      </x:c>
    </x:row>
    <x:row r="37" ht="101" customHeight="1">
      <x:c r="A37" s="219" t="str">
        <x:v>Summary / redline_status_counts</x:v>
      </x:c>
      <x:c r="B37" s="219" t="str">
        <x:v>{"CORRECTED_SOURCE_MODEL":59,"CONDITIONAL_BOUND":22,"CORRECTED_NATIVE_I20":225,"OPEN_ENGINEERING":1,"DOCUMENTED_SUPPLIER_CONDITIONS":1,"CORRECTED_DOCUMENT":7,"CORRECTED_IN_MODEL_AND_SOURCE_BOUND_GEOMETRY":1,"CORRECTED_WITHIN_DECLARED_CONTROLLER_FAMILY":1,"CORRECTED_BOUNDED_INPUT":1,"CORRECTED_INITIAL_CONDITION":1,"CORRECTED_DOCUMENT_AND_HOST_VECTORS":1,"CORRECTED_DECLARED_GEOMETRY":7,"OPEN_THERMAL_ENGINEERING":11,"SUPPLIER_MINIMUM_REQUIRED":1,"CORRECTED_CURRENT_REVIEW":8,"ACCESSORY_SPECIFICATION_REQUIRED":1,"REFERENCE_CONDITION_RETAINED":1,"CORRECTED_FINITE_POWER_MODEL":2}</x:v>
      </x:c>
      <x:c r="C37" s="219" t="str">
        <x:v>control/FINAL_REVIEW_REGISTER.json / summary.redline_status_counts</x:v>
      </x:c>
    </x:row>
    <x:row r="38" ht="62" customHeight="1">
      <x:c r="A38" s="180" t="str">
        <x:v>Summary / desktop_status_counts</x:v>
      </x:c>
      <x:c r="B38" s="180" t="str">
        <x:v>{"HARDWARE_OR_INSTALLATION_ACCEPTANCE":89,"CURRENT_EVIDENCE_REVIEWED":93,"COMPLETED_CURRENT_SOURCE_VERIFICATION":25,"COMPLETED_CONDITIONAL_MODEL":32,"SUPPLIER_OR_RESPONSIBLE_ACCEPTANCE":17,"CURRENT_NATIVE_COMPLETE_OTHER_EVIDENCE_REQUIRED":8,"NOT_APPLICABLE":4,"DESKTOP_WORK_REMAINING":2,"COMPLETED_SOURCE_DOCUMENTARY_SCOPE":20}</x:v>
      </x:c>
      <x:c r="C38" s="180" t="str">
        <x:v>control/FINAL_REVIEW_REGISTER.json / summary.desktop_status_counts</x:v>
      </x:c>
    </x:row>
    <x:row r="39" ht="30" customHeight="1">
      <x:c r="A39" s="219" t="str">
        <x:v>Summary / native_candidate_passes</x:v>
      </x:c>
      <x:c r="B39" s="220" t="n">
        <x:v>1</x:v>
      </x:c>
      <x:c r="C39" s="219" t="str">
        <x:v>control/FINAL_REVIEW_REGISTER.json / summary.native_candidate_passes</x:v>
      </x:c>
    </x:row>
    <x:row r="40" ht="30" customHeight="1">
      <x:c r="A40" s="180" t="str">
        <x:v>Summary / target_candidate_builds</x:v>
      </x:c>
      <x:c r="B40" s="222" t="n">
        <x:v>1</x:v>
      </x:c>
      <x:c r="C40" s="180" t="str">
        <x:v>control/FINAL_REVIEW_REGISTER.json / summary.target_candidate_builds</x:v>
      </x:c>
    </x:row>
    <x:row r="41" ht="30" customHeight="1">
      <x:c r="A41" s="219" t="str">
        <x:v>Summary / native_findings</x:v>
      </x:c>
      <x:c r="B41" s="220" t="n">
        <x:v>0</x:v>
      </x:c>
      <x:c r="C41" s="219" t="str">
        <x:v>control/FINAL_REVIEW_REGISTER.json / summary.native_findings</x:v>
      </x:c>
    </x:row>
    <x:row r="42" ht="30" customHeight="1">
      <x:c r="A42" s="180" t="str">
        <x:v>Summary / physical_tests</x:v>
      </x:c>
      <x:c r="B42" s="222" t="n">
        <x:v>0</x:v>
      </x:c>
      <x:c r="C42" s="180" t="str">
        <x:v>control/FINAL_REVIEW_REGISTER.json / summary.physical_tests</x:v>
      </x:c>
    </x:row>
    <x:row r="43" ht="36" customHeight="1">
      <x:c r="A43" s="219" t="str">
        <x:v>Summary / actual_source_thermal_engineering_complete</x:v>
      </x:c>
      <x:c r="B43" s="219" t="str">
        <x:v>false</x:v>
      </x:c>
      <x:c r="C43" s="219" t="str">
        <x:v>control/FINAL_REVIEW_REGISTER.json / summary.actual_source_thermal_engineering_complete</x:v>
      </x:c>
    </x:row>
    <x:row r="44" ht="30" customHeight="1">
      <x:c r="A44" s="180" t="str">
        <x:v>Summary / release_status</x:v>
      </x:c>
      <x:c r="B44" s="180" t="str">
        <x:v>Native checks complete; thermal engineering and qualification remain open</x:v>
      </x:c>
      <x:c r="C44" s="180" t="str">
        <x:v>control/FINAL_REVIEW_REGISTER.json / summary.release_status</x:v>
      </x:c>
    </x:row>
  </x:sheetData>
  <x:mergeCells>
    <x:mergeCell ref="A1:C1"/>
    <x:mergeCell ref="A2:C2"/>
  </x:mergeCells>
  <x:pageMargins left="0.7" right="0.7" top="0.75" bottom="0.75" header="0.3" footer="0.3"/>
  <x:tableParts count="1">
    <x:tablePart xmlns:r="http://schemas.openxmlformats.org/officeDocument/2006/relationships" r:id="Rd2efe341feef4d37"/>
  </x:tableParts>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8" hidden="0" customWidth="1"/>
    <x:col min="3" max="3" width="110" hidden="0" customWidth="1"/>
    <x:col min="4" max="4" width="98" hidden="0" customWidth="1"/>
  </x:cols>
  <x:sheetData>
    <x:row r="1" ht="34" customHeight="1">
      <x:c r="A1" s="215" t="str">
        <x:v>RVB22 revision history</x:v>
      </x:c>
      <x:c r="B1" s="215"/>
      <x:c r="C1" s="215"/>
      <x:c r="D1" s="215"/>
    </x:row>
    <x:row r="2" ht="46" customHeight="1">
      <x:c r="A2" s="177" t="str">
        <x:v>Recorded source revisions and verification checkpoints; failed trials are retained in the redline and evidence files.</x:v>
      </x:c>
      <x:c r="B2" s="177"/>
      <x:c r="C2" s="177"/>
      <x:c r="D2" s="177"/>
    </x:row>
    <x:row r="4" ht="30" customHeight="1">
      <x:c r="A4" s="218" t="str">
        <x:v>Iteration</x:v>
      </x:c>
      <x:c r="B4" s="218" t="str">
        <x:v>Effectivity</x:v>
      </x:c>
      <x:c r="C4" s="218" t="str">
        <x:v>Source / verification record</x:v>
      </x:c>
      <x:c r="D4" s="218" t="str">
        <x:v>Evidence</x:v>
      </x:c>
    </x:row>
    <x:row r="5" ht="30" customHeight="1">
      <x:c r="A5" s="219" t="str">
        <x:v>I06</x:v>
      </x:c>
      <x:c r="B5" s="219" t="str">
        <x:v>HISTORICAL</x:v>
      </x:c>
      <x:c r="C5" s="219" t="str">
        <x:v>Prior consolidated register; 110 closed, 176 open, 4 not applicable.</x:v>
      </x:c>
      <x:c r="D5" s="219" t="str"/>
    </x:row>
    <x:row r="6" ht="36" customHeight="1">
      <x:c r="A6" s="180" t="str">
        <x:v>I07–I17</x:v>
      </x:c>
      <x:c r="B6" s="180" t="str">
        <x:v>SUPERSEDED SOURCE</x:v>
      </x:c>
      <x:c r="C6" s="180" t="str">
        <x:v>Native parser, electrical clearance, footprint variants, complete models, logo, RF reference and Tag-Connect corrections.</x:v>
      </x:c>
      <x:c r="D6" s="180" t="str"/>
    </x:row>
    <x:row r="7" ht="30" customHeight="1">
      <x:c r="A7" s="219" t="str">
        <x:v>I18</x:v>
      </x:c>
      <x:c r="B7" s="219" t="str">
        <x:v>CURRENT GEOMETRY BASIS</x:v>
      </x:c>
      <x:c r="C7" s="219" t="str">
        <x:v>C206 thermal tab, copper/outline and mated/service geometry.</x:v>
      </x:c>
      <x:c r="D7" s="219" t="str"/>
    </x:row>
    <x:row r="8" ht="30" customHeight="1">
      <x:c r="A8" s="180" t="str">
        <x:v>I19</x:v>
      </x:c>
      <x:c r="B8" s="180" t="str">
        <x:v>CURRENT ELECTRICAL BASIS</x:v>
      </x:c>
      <x:c r="C8" s="180" t="str">
        <x:v>Precision feedback divider and current hot-copper power model.</x:v>
      </x:c>
      <x:c r="D8" s="180" t="str"/>
    </x:row>
    <x:row r="9" ht="36" customHeight="1">
      <x:c r="A9" s="219" t="str">
        <x:v>I20</x:v>
      </x:c>
      <x:c r="B9" s="219" t="str">
        <x:v>CURRENT CAD / TARGET IMAGE</x:v>
      </x:c>
      <x:c r="C9" s="219" t="str">
        <x:v>Controlled source notes, zero native findings, matching exports and target image.</x:v>
      </x:c>
      <x:c r="D9" s="219" t="str"/>
    </x:row>
    <x:row r="10" ht="36" customHeight="1">
      <x:c r="A10" s="180" t="str">
        <x:v>I21</x:v>
      </x:c>
      <x:c r="B10" s="180" t="str">
        <x:v>CURRENT REVIEW</x:v>
      </x:c>
      <x:c r="C10" s="180" t="str">
        <x:v>Fresh 1,042 digest checks, independent copper/export recheck, completed 0.125 mm thermal solve and original-criterion reconciliation.</x:v>
      </x:c>
      <x:c r="D10" s="180" t="str"/>
    </x:row>
  </x:sheetData>
  <x:mergeCells>
    <x:mergeCell ref="A1:D1"/>
    <x:mergeCell ref="A2:D2"/>
  </x:mergeCells>
  <x:pageMargins left="0.7" right="0.7" top="0.75" bottom="0.75" header="0.3" footer="0.3"/>
  <x:tableParts count="1">
    <x:tablePart xmlns:r="http://schemas.openxmlformats.org/officeDocument/2006/relationships" r:id="Re0e85afe961d4fb3"/>
  </x:tableParts>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30" hidden="0" customWidth="1"/>
    <x:col min="3" max="3" width="92" hidden="0" customWidth="1"/>
    <x:col min="4" max="4" width="105" hidden="0" customWidth="1"/>
  </x:cols>
  <x:sheetData>
    <x:row r="1" ht="34" customHeight="1">
      <x:c r="A1" s="215" t="str">
        <x:v>RVB22 I21 remaining gates</x:v>
      </x:c>
      <x:c r="B1" s="215"/>
      <x:c r="C1" s="215"/>
      <x:c r="D1" s="215"/>
    </x:row>
    <x:row r="2" ht="46" customHeight="1">
      <x:c r="A2" s="177" t="str">
        <x:v>Gate actions identify the remaining qualification or native evidence. They do not erase completed source corrections or model results.</x:v>
      </x:c>
      <x:c r="B2" s="177"/>
      <x:c r="C2" s="177"/>
      <x:c r="D2" s="177"/>
    </x:row>
    <x:row r="4" ht="30" customHeight="1">
      <x:c r="A4" s="218" t="str">
        <x:v>Gate</x:v>
      </x:c>
      <x:c r="B4" s="218" t="str">
        <x:v>Status</x:v>
      </x:c>
      <x:c r="C4" s="218" t="str">
        <x:v>Description</x:v>
      </x:c>
      <x:c r="D4" s="218" t="str">
        <x:v>Closure action</x:v>
      </x:c>
    </x:row>
    <x:row r="5" ht="36" customHeight="1">
      <x:c r="A5" s="219" t="str">
        <x:v>G22-01</x:v>
      </x:c>
      <x:c r="B5" s="219" t="str">
        <x:v>CLOSED NATIVE I20</x:v>
      </x:c>
      <x:c r="C5" s="219" t="str">
        <x:v>KiCad 9.0.9 native refill/ERC/DRC/parity pass with zero findings. Current Gerber, drill, netlist, BOM, placement and 153-model STEP output match.</x:v>
      </x:c>
      <x:c r="D5" s="219" t="str">
        <x:v>Complete. Rerun the pinned workflow after any CAD/firmware change.</x:v>
      </x:c>
    </x:row>
    <x:row r="6" ht="30" customHeight="1">
      <x:c r="A6" s="180" t="str">
        <x:v>G22-02</x:v>
      </x:c>
      <x:c r="B6" s="180" t="str">
        <x:v>CLOSED TARGET BUILD I20</x:v>
      </x:c>
      <x:c r="C6" s="180" t="str">
        <x:v>Pinned Arduino/core/NimBLE build produced verified target ELF/BIN outputs.</x:v>
      </x:c>
      <x:c r="D6" s="180" t="str">
        <x:v>Build scope complete. Flash/readback and actual unit behavior remain under physical acceptance.</x:v>
      </x:c>
    </x:row>
    <x:row r="7" ht="49" customHeight="1">
      <x:c r="A7" s="219" t="str">
        <x:v>G22-03</x:v>
      </x:c>
      <x:c r="B7" s="219" t="str">
        <x:v>OPEN THERMAL ENGINEERING</x:v>
      </x:c>
      <x:c r="C7" s="219" t="str">
        <x:v>The completed 0.125 mm actual-copper solve gives 143.800 C maximum board region and 105.171 C near C206 at 4.815 W, 65 C bulk air and 70 C landings. Refinement changes the hotspot by 8.376 C. Local ambient and package paths remain unresolved.</x:v>
      </x:c>
      <x:c r="D7" s="219" t="str">
        <x:v>Establish a converged actual-source thermal bound and package/local-ambient margins. Evaluate cooling geometry before changing source. Retain the full 4.815 W, 65 C air and 70 C landing requirements unless a documented enforceable alternative is adopted.</x:v>
      </x:c>
    </x:row>
    <x:row r="8" ht="36" customHeight="1">
      <x:c r="A8" s="180" t="str">
        <x:v>G22-04</x:v>
      </x:c>
      <x:c r="B8" s="180" t="str">
        <x:v>CONDITIONAL CIRCUIT MODEL</x:v>
      </x:c>
      <x:c r="C8" s="180" t="str">
        <x:v>Finite regulator, rail and oil models are source-bound estimates with explicit component and private-die assumptions.</x:v>
      </x:c>
      <x:c r="D8" s="180" t="str">
        <x:v>Correlate unpublished regulator control/delay, private return and transient pin behavior with the declared bounds. R158 startup-pulse energy needs supplier or thermal-model correlation.</x:v>
      </x:c>
    </x:row>
    <x:row r="9" ht="62" customHeight="1">
      <x:c r="A9" s="219" t="str">
        <x:v>G22-05</x:v>
      </x:c>
      <x:c r="B9" s="219" t="str">
        <x:v>INSTALLED INTERFACE CONDITION</x:v>
      </x:c>
      <x:c r="C9" s="219" t="str">
        <x:v>ASC mapping is documented; actual switched fused power, return endpoints, unintended bonds and vehicle traffic remain unobserved. The updated CAN branch model retains sub-6 ns threshold recrossings in 196 deliberately fast-edge cases; receiver filtering and actual source edges are not established.</x:v>
      </x:c>
      <x:c r="D9" s="219" t="str">
        <x:v>Confirm the fused switched accessory feed and the single full-current F1.1 return; leave F1.2 unpopulated in the harness. Apply the controlled relaxed exit, bonding and profile conditions; compare actual vehicle frames with the controlled ASC profile. Bound the actual CAN edge and receiver response against the retained fast-edge finding, or revise the branch.</x:v>
      </x:c>
    </x:row>
    <x:row r="10" ht="49" customHeight="1">
      <x:c r="A10" s="180" t="str">
        <x:v>G22-06</x:v>
      </x:c>
      <x:c r="B10" s="180" t="str">
        <x:v>ACCESSORY SPECIFICATION REQUIRED</x:v>
      </x:c>
      <x:c r="C10" s="180" t="str">
        <x:v>Adafruit U.FL-to-SMA adapter and external GPS puck are selected by product type. Exact product IDs and hot specification remain unbound. Inferred PID 851 documentation has temperature and connector-polarity conflicts.</x:v>
      </x:c>
      <x:c r="D10" s="180" t="str">
        <x:v>Use actual labels/order records and an exact supplier drawing/specification to settle adapter/puck identity, SMA/RP-SMA polarity, bias current, temperature and mating dimensions.</x:v>
      </x:c>
    </x:row>
    <x:row r="11" ht="49" customHeight="1">
      <x:c r="A11" s="219" t="str">
        <x:v>G22-07</x:v>
      </x:c>
      <x:c r="B11" s="219" t="str">
        <x:v>SUPPLIER PROCESS ACCEPTANCE</x:v>
      </x:c>
      <x:c r="C11" s="219" t="str">
        <x:v>Current construction has 49 filled/capped/planarized vias: 48 under U201 pad 41 and one at R153. Minimum finished plated wall is a 15 um engineering condition. F101 needs a separate local solder process.</x:v>
      </x:c>
      <x:c r="D11" s="219" t="str">
        <x:v>Confirm these exact conditions with JLC for the current fabrication files, plus stackup, copper/mask bounds and lot/process handling. Do not use the historical 13-via list.</x:v>
      </x:c>
    </x:row>
    <x:row r="12" ht="36" customHeight="1">
      <x:c r="A12" s="180" t="str">
        <x:v>G22-08</x:v>
      </x:c>
      <x:c r="B12" s="180" t="str">
        <x:v>AS BUILT ACCEPTANCE</x:v>
      </x:c>
      <x:c r="C12" s="180" t="str">
        <x:v>CAD continuity and isolation screens describe the intended copper. Physical plating, solder, crimps, contacts and population remain unmeasured.</x:v>
      </x:c>
      <x:c r="D12" s="180" t="str">
        <x:v>Perform continuity and isolation against the current netlist, terminal crimp and pull checks, first-article population review and unit identity checks.</x:v>
      </x:c>
    </x:row>
    <x:row r="13" ht="36" customHeight="1">
      <x:c r="A13" s="219" t="str">
        <x:v>G22-09</x:v>
      </x:c>
      <x:c r="B13" s="219" t="str">
        <x:v>CONDITIONAL RF EMC ESD</x:v>
      </x:c>
      <x:c r="C13" s="219" t="str">
        <x:v>RF and field/port models provide bounded estimates. Fast ESD return and trigger bounds remain material and installed performance is unobserved.</x:v>
      </x:c>
      <x:c r="D13" s="219" t="str">
        <x:v>Satisfy the calculated parasitic and source-current bounds or revise protection; correlate installed RF noise, C/N0, radio and ADC coupling, and accessible-port behavior.</x:v>
      </x:c>
    </x:row>
    <x:row r="14" ht="62" customHeight="1">
      <x:c r="A14" s="180" t="str">
        <x:v>G22-10</x:v>
      </x:c>
      <x:c r="B14" s="180" t="str">
        <x:v>DECLARED GEOMETRY COMPLETE MATERIAL CONDITIONS OPEN</x:v>
      </x:c>
      <x:c r="C14" s="180" t="str">
        <x:v>All 153 component models, 776 mated geometry checks and 37 probe approaches pass declared envelopes. C05/W02/T03 has complete coax routing and foil construction. Actual hot material strength, creep/fatigue, retention and landing temperature are not established.</x:v>
      </x:c>
      <x:c r="D14" s="180" t="str">
        <x:v>Accept exact materials, cold-terminal support, retained tensions, installed geometry and temperature conditions. Recheck any changed cable or bracket against the same solids and structural load cases.</x:v>
      </x:c>
    </x:row>
    <x:row r="15" ht="36" customHeight="1">
      <x:c r="A15" s="219" t="str">
        <x:v>G22-11</x:v>
      </x:c>
      <x:c r="B15" s="219" t="str">
        <x:v>PHYSICAL VALIDATION</x:v>
      </x:c>
      <x:c r="C15" s="219" t="str">
        <x:v>Actual oil response, GPS availability, phone/OS behavior, sustained operation and environmental acceptance remain unobserved.</x:v>
      </x:c>
      <x:c r="D15" s="219" t="str">
        <x:v>Apply the source-bound acceptance plan to an actual unit. Simulation does not establish lifetime or detection of every in-range stuck sensor.</x:v>
      </x:c>
    </x:row>
  </x:sheetData>
  <x:mergeCells>
    <x:mergeCell ref="A1:D1"/>
    <x:mergeCell ref="A2:D2"/>
  </x:mergeCells>
  <x:conditionalFormatting sqref="B5:B15">
    <x:cfRule type="containsText" dxfId="65" priority="1" operator="containsText" text="OPEN"/>
    <x:cfRule type="containsText" dxfId="66" priority="2" operator="containsText" text="BLOCKED"/>
    <x:cfRule type="containsText" dxfId="67" priority="3" operator="containsText" text="CONDITIONAL"/>
    <x:cfRule type="containsText" dxfId="68" priority="4" operator="containsText" text="CORRECTED"/>
    <x:cfRule type="containsText" dxfId="69" priority="5" operator="containsText" text="CLOSED"/>
    <x:cfRule type="containsText" dxfId="81" priority="6" operator="containsText" text="OPEN"/>
    <x:cfRule type="containsText" dxfId="82" priority="7" operator="containsText" text="BLOCKED"/>
    <x:cfRule type="containsText" dxfId="83" priority="8" operator="containsText" text="CONDITIONAL"/>
    <x:cfRule type="containsText" dxfId="84" priority="9" operator="containsText" text="CORRECTED"/>
    <x:cfRule type="containsText" dxfId="85" priority="10" operator="containsText" text="CLOSED"/>
  </x:conditionalFormatting>
  <x:pageMargins left="0.7" right="0.7" top="0.75" bottom="0.75" header="0.3" footer="0.3"/>
  <x:tableParts count="1">
    <x:tablePart xmlns:r="http://schemas.openxmlformats.org/officeDocument/2006/relationships" r:id="Rf8a7ef4575fd4ab6"/>
  </x:tableParts>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102" hidden="0" customWidth="1"/>
    <x:col min="3" max="3" width="75" hidden="0" customWidth="1"/>
  </x:cols>
  <x:sheetData>
    <x:row r="1" ht="34" customHeight="1">
      <x:c r="A1" s="215" t="str">
        <x:v>RVB22 I21 evidence hashes</x:v>
      </x:c>
      <x:c r="B1" s="215"/>
      <x:c r="C1" s="215"/>
    </x:row>
    <x:row r="2" ht="46" customHeight="1">
      <x:c r="A2" s="177" t="str">
        <x:v>One source reference per criterion. SHA256 values are supplied by the controlled consolidation; an absent hash is shown explicitly.</x:v>
      </x:c>
      <x:c r="B2" s="177"/>
      <x:c r="C2" s="177"/>
    </x:row>
    <x:row r="4" ht="30" customHeight="1">
      <x:c r="A4" s="218" t="str">
        <x:v>Criterion</x:v>
      </x:c>
      <x:c r="B4" s="218" t="str">
        <x:v>Evidence path</x:v>
      </x:c>
      <x:c r="C4" s="218" t="str">
        <x:v>SHA256</x:v>
      </x:c>
    </x:row>
    <x:row r="5" ht="30" customHeight="1">
      <x:c r="A5" s="219" t="str">
        <x:v>CFG-01</x:v>
      </x:c>
      <x:c r="B5" s="219" t="str">
        <x:v>control/EXECUTION_PLAN_CURRENT.md</x:v>
      </x:c>
      <x:c r="C5" s="219" t="str">
        <x:v>edc0e7ee94cff207a335a60e17313a1a0cea587253a54240e59425a2e7095856</x:v>
      </x:c>
    </x:row>
    <x:row r="6" ht="30" customHeight="1">
      <x:c r="A6" s="180" t="str">
        <x:v>CFG-01</x:v>
      </x:c>
      <x:c r="B6" s="180" t="str">
        <x:v>control/CLOSED_CRITERIA_ADJUDICATION.json</x:v>
      </x:c>
      <x:c r="C6" s="180" t="str">
        <x:v>b9950c04e85097fdcc50e938002d8a00f283ab148a84f080d2e1569ff715837b</x:v>
      </x:c>
    </x:row>
    <x:row r="7" ht="30" customHeight="1">
      <x:c r="A7" s="219" t="str">
        <x:v>CFG-01</x:v>
      </x:c>
      <x:c r="B7" s="219" t="str">
        <x:v>current/I21_SOURCE_VERIFICATION.json</x:v>
      </x:c>
      <x:c r="C7" s="219" t="str">
        <x:v>938ba171be55b8b6213eb00bc73cd52e90973449a35deda4dcf4c730e5b97993</x:v>
      </x:c>
    </x:row>
    <x:row r="8" ht="30" customHeight="1">
      <x:c r="A8" s="180" t="str">
        <x:v>CFG-01</x:v>
      </x:c>
      <x:c r="B8" s="180" t="str">
        <x:v>iterations/I20_controlled_handoff/NATIVE_BINDING.json</x:v>
      </x:c>
      <x:c r="C8" s="180" t="str">
        <x:v>6f36235aab2349569f2cacf485912921762bc718e2a5fd5c4c72c2808ca2312b</x:v>
      </x:c>
    </x:row>
    <x:row r="9" ht="30" customHeight="1">
      <x:c r="A9" s="219" t="str">
        <x:v>CFG-01</x:v>
      </x:c>
      <x:c r="B9" s="219" t="str">
        <x:v>current/SOURCE_EFFECTIVITY.json</x:v>
      </x:c>
      <x:c r="C9" s="219" t="str">
        <x:v>832fcdcc8cd7ebb9df2e169c8b9194011c37d138484da13fd5de05bd2657170d</x:v>
      </x:c>
    </x:row>
    <x:row r="10" ht="30" customHeight="1">
      <x:c r="A10" s="180" t="str">
        <x:v>CFG-02</x:v>
      </x:c>
      <x:c r="B10" s="180" t="str">
        <x:v>interfaces/HARNESS_INTERFACE_CONTRACT.json</x:v>
      </x:c>
      <x:c r="C10" s="180" t="str">
        <x:v>8de240d9bfbc5862fae2984984929e0c086bc37a255289129d312548cac3576a</x:v>
      </x:c>
    </x:row>
    <x:row r="11" ht="30" customHeight="1">
      <x:c r="A11" s="219" t="str">
        <x:v>CFG-02</x:v>
      </x:c>
      <x:c r="B11" s="219" t="str">
        <x:v>interfaces/HARNESS_CHECKS.json</x:v>
      </x:c>
      <x:c r="C11" s="219" t="str">
        <x:v>c45fcc060f1cc5d87d9056329c8eac1e7a893cbae583086c5f0d3f5b43a29c9d</x:v>
      </x:c>
    </x:row>
    <x:row r="12" ht="30" customHeight="1">
      <x:c r="A12" s="180" t="str">
        <x:v>CFG-02</x:v>
      </x:c>
      <x:c r="B12" s="180" t="str">
        <x:v>analyses/harness_wire/HARNESS_WIRE_DELTA.json</x:v>
      </x:c>
      <x:c r="C12" s="180" t="str">
        <x:v>709bdb5ea3ca0ba32fc78b0da3a1845b1d597fa82b4b3ce17c9ef2774798babe</x:v>
      </x:c>
    </x:row>
    <x:row r="13" ht="30" customHeight="1">
      <x:c r="A13" s="219" t="str">
        <x:v>CFG-02</x:v>
      </x:c>
      <x:c r="B13" s="219" t="str">
        <x:v>current/I21_SOURCE_VERIFICATION.json</x:v>
      </x:c>
      <x:c r="C13" s="219" t="str">
        <x:v>938ba171be55b8b6213eb00bc73cd52e90973449a35deda4dcf4c730e5b97993</x:v>
      </x:c>
    </x:row>
    <x:row r="14" ht="30" customHeight="1">
      <x:c r="A14" s="180" t="str">
        <x:v>CFG-02</x:v>
      </x:c>
      <x:c r="B14" s="180" t="str">
        <x:v>iterations/I20_controlled_handoff/NATIVE_BINDING.json</x:v>
      </x:c>
      <x:c r="C14" s="180" t="str">
        <x:v>6f36235aab2349569f2cacf485912921762bc718e2a5fd5c4c72c2808ca2312b</x:v>
      </x:c>
    </x:row>
    <x:row r="15" ht="30" customHeight="1">
      <x:c r="A15" s="219" t="str">
        <x:v>CFG-02</x:v>
      </x:c>
      <x:c r="B15" s="219" t="str">
        <x:v>current/SOURCE_EFFECTIVITY.json</x:v>
      </x:c>
      <x:c r="C15" s="219" t="str">
        <x:v>832fcdcc8cd7ebb9df2e169c8b9194011c37d138484da13fd5de05bd2657170d</x:v>
      </x:c>
    </x:row>
    <x:row r="16" ht="30" customHeight="1">
      <x:c r="A16" s="180" t="str">
        <x:v>CFG-03</x:v>
      </x:c>
      <x:c r="B16" s="180" t="str">
        <x:v>control/EXECUTION_PLAN_CURRENT.md</x:v>
      </x:c>
      <x:c r="C16" s="180" t="str">
        <x:v>edc0e7ee94cff207a335a60e17313a1a0cea587253a54240e59425a2e7095856</x:v>
      </x:c>
    </x:row>
    <x:row r="17" ht="30" customHeight="1">
      <x:c r="A17" s="219" t="str">
        <x:v>CFG-03</x:v>
      </x:c>
      <x:c r="B17" s="219" t="str">
        <x:v>control/RECOVERY_LEDGER.md</x:v>
      </x:c>
      <x:c r="C17" s="219" t="str">
        <x:v>8ebd3401682084e4888c14457ab57035a64bf11b7bbf378d7c1549510a25f102</x:v>
      </x:c>
    </x:row>
    <x:row r="18" ht="30" customHeight="1">
      <x:c r="A18" s="180" t="str">
        <x:v>CFG-03</x:v>
      </x:c>
      <x:c r="B18" s="180" t="str">
        <x:v>control/DESKTOP_ACTION_DISPOSITIONS_CURRENT.json</x:v>
      </x:c>
      <x:c r="C18" s="180" t="str">
        <x:v>48ee6985a9aae811c11a83179a8aa3393aee2286b4bb066e40ce5cdde693c982</x:v>
      </x:c>
    </x:row>
    <x:row r="19" ht="30" customHeight="1">
      <x:c r="A19" s="219" t="str">
        <x:v>CFG-03</x:v>
      </x:c>
      <x:c r="B19" s="219" t="str">
        <x:v>iterations/I06_harness_handoff/CANDIDATE_MANIFEST.json</x:v>
      </x:c>
      <x:c r="C19" s="219" t="str">
        <x:v>017aa6938b0cea4fcf5d02a0e28ba556e4a0c0485495f171a7d5aba15a703fc0</x:v>
      </x:c>
    </x:row>
    <x:row r="20" ht="30" customHeight="1">
      <x:c r="A20" s="180" t="str">
        <x:v>CFG-03</x:v>
      </x:c>
      <x:c r="B20" s="180" t="str">
        <x:v>control/FINAL_GATES.json</x:v>
      </x:c>
      <x:c r="C20" s="180" t="str">
        <x:v>b04e670a88f36a01c1c0182933555cfc2fba151953cd6020cd6ec4a8204d6f79</x:v>
      </x:c>
    </x:row>
    <x:row r="21" ht="30" customHeight="1">
      <x:c r="A21" s="219" t="str">
        <x:v>CFG-03</x:v>
      </x:c>
      <x:c r="B21" s="219" t="str">
        <x:v>current/I21_SOURCE_VERIFICATION.json</x:v>
      </x:c>
      <x:c r="C21" s="219" t="str">
        <x:v>938ba171be55b8b6213eb00bc73cd52e90973449a35deda4dcf4c730e5b97993</x:v>
      </x:c>
    </x:row>
    <x:row r="22" ht="30" customHeight="1">
      <x:c r="A22" s="180" t="str">
        <x:v>CFG-03</x:v>
      </x:c>
      <x:c r="B22" s="180" t="str">
        <x:v>iterations/I20_controlled_handoff/NATIVE_BINDING.json</x:v>
      </x:c>
      <x:c r="C22" s="180" t="str">
        <x:v>6f36235aab2349569f2cacf485912921762bc718e2a5fd5c4c72c2808ca2312b</x:v>
      </x:c>
    </x:row>
    <x:row r="23" ht="30" customHeight="1">
      <x:c r="A23" s="219" t="str">
        <x:v>CFG-03</x:v>
      </x:c>
      <x:c r="B23" s="219" t="str">
        <x:v>current/SOURCE_EFFECTIVITY.json</x:v>
      </x:c>
      <x:c r="C23" s="219" t="str">
        <x:v>832fcdcc8cd7ebb9df2e169c8b9194011c37d138484da13fd5de05bd2657170d</x:v>
      </x:c>
    </x:row>
    <x:row r="24" ht="30" customHeight="1">
      <x:c r="A24" s="180" t="str">
        <x:v>CFG-04</x:v>
      </x:c>
      <x:c r="B24" s="180" t="str">
        <x:v>control/EXECUTION_PLAN_CURRENT.md</x:v>
      </x:c>
      <x:c r="C24" s="180" t="str">
        <x:v>edc0e7ee94cff207a335a60e17313a1a0cea587253a54240e59425a2e7095856</x:v>
      </x:c>
    </x:row>
    <x:row r="25" ht="30" customHeight="1">
      <x:c r="A25" s="219" t="str">
        <x:v>CFG-04</x:v>
      </x:c>
      <x:c r="B25" s="219" t="str">
        <x:v>control/RECOVERY_LEDGER.md</x:v>
      </x:c>
      <x:c r="C25" s="219" t="str">
        <x:v>8ebd3401682084e4888c14457ab57035a64bf11b7bbf378d7c1549510a25f102</x:v>
      </x:c>
    </x:row>
    <x:row r="26" ht="30" customHeight="1">
      <x:c r="A26" s="180" t="str">
        <x:v>CFG-04</x:v>
      </x:c>
      <x:c r="B26" s="180" t="str">
        <x:v>control/DESKTOP_ACTION_DISPOSITIONS_CURRENT.json</x:v>
      </x:c>
      <x:c r="C26" s="180" t="str">
        <x:v>48ee6985a9aae811c11a83179a8aa3393aee2286b4bb066e40ce5cdde693c982</x:v>
      </x:c>
    </x:row>
    <x:row r="27" ht="30" customHeight="1">
      <x:c r="A27" s="219" t="str">
        <x:v>CFG-04</x:v>
      </x:c>
      <x:c r="B27" s="219" t="str">
        <x:v>iterations/I06_harness_handoff/CANDIDATE_MANIFEST.json</x:v>
      </x:c>
      <x:c r="C27" s="219" t="str">
        <x:v>017aa6938b0cea4fcf5d02a0e28ba556e4a0c0485495f171a7d5aba15a703fc0</x:v>
      </x:c>
    </x:row>
    <x:row r="28" ht="30" customHeight="1">
      <x:c r="A28" s="180" t="str">
        <x:v>CFG-04</x:v>
      </x:c>
      <x:c r="B28" s="180" t="str">
        <x:v>control/FINAL_GATES.json</x:v>
      </x:c>
      <x:c r="C28" s="180" t="str">
        <x:v>b04e670a88f36a01c1c0182933555cfc2fba151953cd6020cd6ec4a8204d6f79</x:v>
      </x:c>
    </x:row>
    <x:row r="29" ht="30" customHeight="1">
      <x:c r="A29" s="219" t="str">
        <x:v>CFG-04</x:v>
      </x:c>
      <x:c r="B29" s="219" t="str">
        <x:v>current/I21_SOURCE_VERIFICATION.json</x:v>
      </x:c>
      <x:c r="C29" s="219" t="str">
        <x:v>938ba171be55b8b6213eb00bc73cd52e90973449a35deda4dcf4c730e5b97993</x:v>
      </x:c>
    </x:row>
    <x:row r="30" ht="30" customHeight="1">
      <x:c r="A30" s="180" t="str">
        <x:v>CFG-04</x:v>
      </x:c>
      <x:c r="B30" s="180" t="str">
        <x:v>iterations/I20_controlled_handoff/NATIVE_BINDING.json</x:v>
      </x:c>
      <x:c r="C30" s="180" t="str">
        <x:v>6f36235aab2349569f2cacf485912921762bc718e2a5fd5c4c72c2808ca2312b</x:v>
      </x:c>
    </x:row>
    <x:row r="31" ht="30" customHeight="1">
      <x:c r="A31" s="219" t="str">
        <x:v>CFG-04</x:v>
      </x:c>
      <x:c r="B31" s="219" t="str">
        <x:v>current/SOURCE_EFFECTIVITY.json</x:v>
      </x:c>
      <x:c r="C31" s="219" t="str">
        <x:v>832fcdcc8cd7ebb9df2e169c8b9194011c37d138484da13fd5de05bd2657170d</x:v>
      </x:c>
    </x:row>
    <x:row r="32" ht="30" customHeight="1">
      <x:c r="A32" s="180" t="str">
        <x:v>CFG-05</x:v>
      </x:c>
      <x:c r="B32" s="180" t="str">
        <x:v>control/EXECUTION_PLAN_CURRENT.md</x:v>
      </x:c>
      <x:c r="C32" s="180" t="str">
        <x:v>edc0e7ee94cff207a335a60e17313a1a0cea587253a54240e59425a2e7095856</x:v>
      </x:c>
    </x:row>
    <x:row r="33" ht="30" customHeight="1">
      <x:c r="A33" s="219" t="str">
        <x:v>CFG-05</x:v>
      </x:c>
      <x:c r="B33" s="219" t="str">
        <x:v>control/RECOVERY_LEDGER.md</x:v>
      </x:c>
      <x:c r="C33" s="219" t="str">
        <x:v>8ebd3401682084e4888c14457ab57035a64bf11b7bbf378d7c1549510a25f102</x:v>
      </x:c>
    </x:row>
    <x:row r="34" ht="30" customHeight="1">
      <x:c r="A34" s="180" t="str">
        <x:v>CFG-05</x:v>
      </x:c>
      <x:c r="B34" s="180" t="str">
        <x:v>control/DESKTOP_ACTION_DISPOSITIONS_CURRENT.json</x:v>
      </x:c>
      <x:c r="C34" s="180" t="str">
        <x:v>48ee6985a9aae811c11a83179a8aa3393aee2286b4bb066e40ce5cdde693c982</x:v>
      </x:c>
    </x:row>
    <x:row r="35" ht="30" customHeight="1">
      <x:c r="A35" s="219" t="str">
        <x:v>CFG-05</x:v>
      </x:c>
      <x:c r="B35" s="219" t="str">
        <x:v>iterations/I06_harness_handoff/CANDIDATE_MANIFEST.json</x:v>
      </x:c>
      <x:c r="C35" s="219" t="str">
        <x:v>017aa6938b0cea4fcf5d02a0e28ba556e4a0c0485495f171a7d5aba15a703fc0</x:v>
      </x:c>
    </x:row>
    <x:row r="36" ht="30" customHeight="1">
      <x:c r="A36" s="180" t="str">
        <x:v>CFG-05</x:v>
      </x:c>
      <x:c r="B36" s="180" t="str">
        <x:v>control/FINAL_GATES.json</x:v>
      </x:c>
      <x:c r="C36" s="180" t="str">
        <x:v>b04e670a88f36a01c1c0182933555cfc2fba151953cd6020cd6ec4a8204d6f79</x:v>
      </x:c>
    </x:row>
    <x:row r="37" ht="30" customHeight="1">
      <x:c r="A37" s="219" t="str">
        <x:v>CFG-05</x:v>
      </x:c>
      <x:c r="B37" s="219" t="str">
        <x:v>current/I21_SOURCE_VERIFICATION.json</x:v>
      </x:c>
      <x:c r="C37" s="219" t="str">
        <x:v>938ba171be55b8b6213eb00bc73cd52e90973449a35deda4dcf4c730e5b97993</x:v>
      </x:c>
    </x:row>
    <x:row r="38" ht="30" customHeight="1">
      <x:c r="A38" s="180" t="str">
        <x:v>CFG-05</x:v>
      </x:c>
      <x:c r="B38" s="180" t="str">
        <x:v>iterations/I20_controlled_handoff/NATIVE_BINDING.json</x:v>
      </x:c>
      <x:c r="C38" s="180" t="str">
        <x:v>6f36235aab2349569f2cacf485912921762bc718e2a5fd5c4c72c2808ca2312b</x:v>
      </x:c>
    </x:row>
    <x:row r="39" ht="30" customHeight="1">
      <x:c r="A39" s="219" t="str">
        <x:v>CFG-05</x:v>
      </x:c>
      <x:c r="B39" s="219" t="str">
        <x:v>current/SOURCE_EFFECTIVITY.json</x:v>
      </x:c>
      <x:c r="C39" s="219" t="str">
        <x:v>832fcdcc8cd7ebb9df2e169c8b9194011c37d138484da13fd5de05bd2657170d</x:v>
      </x:c>
    </x:row>
    <x:row r="40" ht="30" customHeight="1">
      <x:c r="A40" s="180" t="str">
        <x:v>CFG-06</x:v>
      </x:c>
      <x:c r="B40" s="180" t="str">
        <x:v>interfaces/HARNESS_INTERFACE_CONTRACT.json</x:v>
      </x:c>
      <x:c r="C40" s="180" t="str">
        <x:v>8de240d9bfbc5862fae2984984929e0c086bc37a255289129d312548cac3576a</x:v>
      </x:c>
    </x:row>
    <x:row r="41" ht="30" customHeight="1">
      <x:c r="A41" s="219" t="str">
        <x:v>CFG-06</x:v>
      </x:c>
      <x:c r="B41" s="219" t="str">
        <x:v>interfaces/HARNESS_CHECKS.json</x:v>
      </x:c>
      <x:c r="C41" s="219" t="str">
        <x:v>c45fcc060f1cc5d87d9056329c8eac1e7a893cbae583086c5f0d3f5b43a29c9d</x:v>
      </x:c>
    </x:row>
    <x:row r="42" ht="30" customHeight="1">
      <x:c r="A42" s="180" t="str">
        <x:v>CFG-06</x:v>
      </x:c>
      <x:c r="B42" s="180" t="str">
        <x:v>analyses/harness_wire/HARNESS_WIRE_DELTA.json</x:v>
      </x:c>
      <x:c r="C42" s="180" t="str">
        <x:v>709bdb5ea3ca0ba32fc78b0da3a1845b1d597fa82b4b3ce17c9ef2774798babe</x:v>
      </x:c>
    </x:row>
    <x:row r="43" ht="30" customHeight="1">
      <x:c r="A43" s="219" t="str">
        <x:v>CFG-06</x:v>
      </x:c>
      <x:c r="B43" s="219" t="str">
        <x:v>interfaces/MOLEX_A1_HARNESS_REDLINE.json</x:v>
      </x:c>
      <x:c r="C43" s="219" t="str">
        <x:v>f7e6567d47cb426e6a19a6356f6dd1feda53c481c27e1631f39d4fe28174f28e</x:v>
      </x:c>
    </x:row>
    <x:row r="44" ht="30" customHeight="1">
      <x:c r="A44" s="180" t="str">
        <x:v>CFG-06</x:v>
      </x:c>
      <x:c r="B44" s="180" t="str">
        <x:v>interfaces/SINGLE_RETURN_EFFECTIVITY.json</x:v>
      </x:c>
      <x:c r="C44" s="180" t="str">
        <x:v>6c7af28cea00c2a54f0765cf157f3b8630e9799cf9ee615f2210552134ffe640</x:v>
      </x:c>
    </x:row>
    <x:row r="45" ht="30" customHeight="1">
      <x:c r="A45" s="219" t="str">
        <x:v>CFG-06</x:v>
      </x:c>
      <x:c r="B45" s="219" t="str">
        <x:v>interfaces/FINAL_I06_HARNESS_BINDING.json</x:v>
      </x:c>
      <x:c r="C45" s="219" t="str">
        <x:v>ea1271a3927330045a38668bb5208bd4aace21b828afc3f535bb34593ec04458</x:v>
      </x:c>
    </x:row>
    <x:row r="46" ht="30" customHeight="1">
      <x:c r="A46" s="180" t="str">
        <x:v>CFG-06</x:v>
      </x:c>
      <x:c r="B46" s="180" t="str">
        <x:v>iterations/I06_harness_handoff/CANDIDATE_MANIFEST.json</x:v>
      </x:c>
      <x:c r="C46" s="180" t="str">
        <x:v>017aa6938b0cea4fcf5d02a0e28ba556e4a0c0485495f171a7d5aba15a703fc0</x:v>
      </x:c>
    </x:row>
    <x:row r="47" ht="30" customHeight="1">
      <x:c r="A47" s="219" t="str">
        <x:v>CFG-06</x:v>
      </x:c>
      <x:c r="B47" s="219" t="str">
        <x:v>current/I21_SOURCE_VERIFICATION.json</x:v>
      </x:c>
      <x:c r="C47" s="219" t="str">
        <x:v>938ba171be55b8b6213eb00bc73cd52e90973449a35deda4dcf4c730e5b97993</x:v>
      </x:c>
    </x:row>
    <x:row r="48" ht="30" customHeight="1">
      <x:c r="A48" s="180" t="str">
        <x:v>CFG-06</x:v>
      </x:c>
      <x:c r="B48" s="180" t="str">
        <x:v>iterations/I20_controlled_handoff/NATIVE_BINDING.json</x:v>
      </x:c>
      <x:c r="C48" s="180" t="str">
        <x:v>6f36235aab2349569f2cacf485912921762bc718e2a5fd5c4c72c2808ca2312b</x:v>
      </x:c>
    </x:row>
    <x:row r="49" ht="30" customHeight="1">
      <x:c r="A49" s="219" t="str">
        <x:v>CFG-06</x:v>
      </x:c>
      <x:c r="B49" s="219" t="str">
        <x:v>current/SOURCE_EFFECTIVITY.json</x:v>
      </x:c>
      <x:c r="C49" s="219" t="str">
        <x:v>832fcdcc8cd7ebb9df2e169c8b9194011c37d138484da13fd5de05bd2657170d</x:v>
      </x:c>
    </x:row>
    <x:row r="50" ht="30" customHeight="1">
      <x:c r="A50" s="180" t="str">
        <x:v>CFG-07</x:v>
      </x:c>
      <x:c r="B50" s="180" t="str">
        <x:v>control/EXECUTION_PLAN_CURRENT.md</x:v>
      </x:c>
      <x:c r="C50" s="180" t="str">
        <x:v>edc0e7ee94cff207a335a60e17313a1a0cea587253a54240e59425a2e7095856</x:v>
      </x:c>
    </x:row>
    <x:row r="51" ht="30" customHeight="1">
      <x:c r="A51" s="219" t="str">
        <x:v>CFG-07</x:v>
      </x:c>
      <x:c r="B51" s="219" t="str">
        <x:v>control/RECOVERY_LEDGER.md</x:v>
      </x:c>
      <x:c r="C51" s="219" t="str">
        <x:v>8ebd3401682084e4888c14457ab57035a64bf11b7bbf378d7c1549510a25f102</x:v>
      </x:c>
    </x:row>
    <x:row r="52" ht="30" customHeight="1">
      <x:c r="A52" s="180" t="str">
        <x:v>CFG-07</x:v>
      </x:c>
      <x:c r="B52" s="180" t="str">
        <x:v>control/DESKTOP_ACTION_DISPOSITIONS_CURRENT.json</x:v>
      </x:c>
      <x:c r="C52" s="180" t="str">
        <x:v>48ee6985a9aae811c11a83179a8aa3393aee2286b4bb066e40ce5cdde693c982</x:v>
      </x:c>
    </x:row>
    <x:row r="53" ht="30" customHeight="1">
      <x:c r="A53" s="219" t="str">
        <x:v>CFG-07</x:v>
      </x:c>
      <x:c r="B53" s="219" t="str">
        <x:v>iterations/I06_harness_handoff/CANDIDATE_MANIFEST.json</x:v>
      </x:c>
      <x:c r="C53" s="219" t="str">
        <x:v>017aa6938b0cea4fcf5d02a0e28ba556e4a0c0485495f171a7d5aba15a703fc0</x:v>
      </x:c>
    </x:row>
    <x:row r="54" ht="30" customHeight="1">
      <x:c r="A54" s="180" t="str">
        <x:v>CFG-07</x:v>
      </x:c>
      <x:c r="B54" s="180" t="str">
        <x:v>control/FINAL_GATES.json</x:v>
      </x:c>
      <x:c r="C54" s="180" t="str">
        <x:v>b04e670a88f36a01c1c0182933555cfc2fba151953cd6020cd6ec4a8204d6f79</x:v>
      </x:c>
    </x:row>
    <x:row r="55" ht="30" customHeight="1">
      <x:c r="A55" s="219" t="str">
        <x:v>CFG-07</x:v>
      </x:c>
      <x:c r="B55" s="219" t="str">
        <x:v>current/I21_SOURCE_VERIFICATION.json</x:v>
      </x:c>
      <x:c r="C55" s="219" t="str">
        <x:v>938ba171be55b8b6213eb00bc73cd52e90973449a35deda4dcf4c730e5b97993</x:v>
      </x:c>
    </x:row>
    <x:row r="56" ht="30" customHeight="1">
      <x:c r="A56" s="180" t="str">
        <x:v>CFG-07</x:v>
      </x:c>
      <x:c r="B56" s="180" t="str">
        <x:v>iterations/I20_controlled_handoff/NATIVE_BINDING.json</x:v>
      </x:c>
      <x:c r="C56" s="180" t="str">
        <x:v>6f36235aab2349569f2cacf485912921762bc718e2a5fd5c4c72c2808ca2312b</x:v>
      </x:c>
    </x:row>
    <x:row r="57" ht="30" customHeight="1">
      <x:c r="A57" s="219" t="str">
        <x:v>CFG-07</x:v>
      </x:c>
      <x:c r="B57" s="219" t="str">
        <x:v>current/SOURCE_EFFECTIVITY.json</x:v>
      </x:c>
      <x:c r="C57" s="219" t="str">
        <x:v>832fcdcc8cd7ebb9df2e169c8b9194011c37d138484da13fd5de05bd2657170d</x:v>
      </x:c>
    </x:row>
    <x:row r="58" ht="30" customHeight="1">
      <x:c r="A58" s="180" t="str">
        <x:v>CFG-08</x:v>
      </x:c>
      <x:c r="B58" s="180" t="str">
        <x:v>iterations/I20_controlled_handoff/NATIVE_BINDING.json</x:v>
      </x:c>
      <x:c r="C58" s="180" t="str">
        <x:v>6f36235aab2349569f2cacf485912921762bc718e2a5fd5c4c72c2808ca2312b</x:v>
      </x:c>
    </x:row>
    <x:row r="59" ht="30" customHeight="1">
      <x:c r="A59" s="219" t="str">
        <x:v>CFG-08</x:v>
      </x:c>
      <x:c r="B59" s="219" t="str">
        <x:v>current/I21_SOURCE_VERIFICATION.json</x:v>
      </x:c>
      <x:c r="C59" s="219" t="str">
        <x:v>938ba171be55b8b6213eb00bc73cd52e90973449a35deda4dcf4c730e5b97993</x:v>
      </x:c>
    </x:row>
    <x:row r="60" ht="30" customHeight="1">
      <x:c r="A60" s="180" t="str">
        <x:v>CFG-08</x:v>
      </x:c>
      <x:c r="B60" s="180" t="str">
        <x:v>current/SOURCE_EFFECTIVITY.json</x:v>
      </x:c>
      <x:c r="C60" s="180" t="str">
        <x:v>832fcdcc8cd7ebb9df2e169c8b9194011c37d138484da13fd5de05bd2657170d</x:v>
      </x:c>
    </x:row>
    <x:row r="61" ht="30" customHeight="1">
      <x:c r="A61" s="219" t="str">
        <x:v>CFG-09</x:v>
      </x:c>
      <x:c r="B61" s="219" t="str">
        <x:v>analyses/installation/DASHBOARD_EXPOSURE_AND_SERVICE.md</x:v>
      </x:c>
      <x:c r="C61" s="219" t="str">
        <x:v>9875d08e5f9c94bc8a752d9f7372da234a2311a0a80bf4d7aa8ed15e9dbefd48</x:v>
      </x:c>
    </x:row>
    <x:row r="62" ht="30" customHeight="1">
      <x:c r="A62" s="180" t="str">
        <x:v>CFG-09</x:v>
      </x:c>
      <x:c r="B62" s="180" t="str">
        <x:v>lanes/mechanics/MECHANICAL_INSTALLATION_RVB22.md</x:v>
      </x:c>
      <x:c r="C62" s="180" t="str">
        <x:v>c537001620be1f1ddbec9d8ea77b9dc84cb5461fb1ffca843c448cf71d2b31d8</x:v>
      </x:c>
    </x:row>
    <x:row r="63" ht="30" customHeight="1">
      <x:c r="A63" s="219" t="str">
        <x:v>CFG-09</x:v>
      </x:c>
      <x:c r="B63" s="219" t="str">
        <x:v>current/I21_SOURCE_VERIFICATION.json</x:v>
      </x:c>
      <x:c r="C63" s="219" t="str">
        <x:v>938ba171be55b8b6213eb00bc73cd52e90973449a35deda4dcf4c730e5b97993</x:v>
      </x:c>
    </x:row>
    <x:row r="64" ht="30" customHeight="1">
      <x:c r="A64" s="180" t="str">
        <x:v>CFG-09</x:v>
      </x:c>
      <x:c r="B64" s="180" t="str">
        <x:v>iterations/I20_controlled_handoff/NATIVE_BINDING.json</x:v>
      </x:c>
      <x:c r="C64" s="180" t="str">
        <x:v>6f36235aab2349569f2cacf485912921762bc718e2a5fd5c4c72c2808ca2312b</x:v>
      </x:c>
    </x:row>
    <x:row r="65" ht="30" customHeight="1">
      <x:c r="A65" s="219" t="str">
        <x:v>CFG-09</x:v>
      </x:c>
      <x:c r="B65" s="219" t="str">
        <x:v>current/SOURCE_EFFECTIVITY.json</x:v>
      </x:c>
      <x:c r="C65" s="219" t="str">
        <x:v>832fcdcc8cd7ebb9df2e169c8b9194011c37d138484da13fd5de05bd2657170d</x:v>
      </x:c>
    </x:row>
    <x:row r="66" ht="30" customHeight="1">
      <x:c r="A66" s="180" t="str">
        <x:v>CFG-10</x:v>
      </x:c>
      <x:c r="B66" s="180" t="str">
        <x:v>iterations/I06_harness_handoff/CANDIDATE_MANIFEST.json</x:v>
      </x:c>
      <x:c r="C66" s="180" t="str">
        <x:v>017aa6938b0cea4fcf5d02a0e28ba556e4a0c0485495f171a7d5aba15a703fc0</x:v>
      </x:c>
    </x:row>
    <x:row r="67" ht="30" customHeight="1">
      <x:c r="A67" s="219" t="str">
        <x:v>CFG-10</x:v>
      </x:c>
      <x:c r="B67" s="219" t="str">
        <x:v>current/I21_SOURCE_VERIFICATION.json</x:v>
      </x:c>
      <x:c r="C67" s="219" t="str">
        <x:v>938ba171be55b8b6213eb00bc73cd52e90973449a35deda4dcf4c730e5b97993</x:v>
      </x:c>
    </x:row>
    <x:row r="68" ht="30" customHeight="1">
      <x:c r="A68" s="180" t="str">
        <x:v>CFG-10</x:v>
      </x:c>
      <x:c r="B68" s="180" t="str">
        <x:v>iterations/I20_controlled_handoff/NATIVE_BINDING.json</x:v>
      </x:c>
      <x:c r="C68" s="180" t="str">
        <x:v>6f36235aab2349569f2cacf485912921762bc718e2a5fd5c4c72c2808ca2312b</x:v>
      </x:c>
    </x:row>
    <x:row r="69" ht="30" customHeight="1">
      <x:c r="A69" s="219" t="str">
        <x:v>CFG-10</x:v>
      </x:c>
      <x:c r="B69" s="219" t="str">
        <x:v>current/SOURCE_EFFECTIVITY.json</x:v>
      </x:c>
      <x:c r="C69" s="219" t="str">
        <x:v>832fcdcc8cd7ebb9df2e169c8b9194011c37d138484da13fd5de05bd2657170d</x:v>
      </x:c>
    </x:row>
    <x:row r="70" ht="30" customHeight="1">
      <x:c r="A70" s="180" t="str">
        <x:v>REQ-01</x:v>
      </x:c>
      <x:c r="B70" s="180" t="str">
        <x:v>lanes/firmware_oil/RECOVERED_RELEASE_CHECKS.json</x:v>
      </x:c>
      <x:c r="C70" s="180" t="str">
        <x:v>9d36ebab30769a0293ff2fcbd194a54f113e5444f8680565da51558ccce9cdf8</x:v>
      </x:c>
    </x:row>
    <x:row r="71" ht="30" customHeight="1">
      <x:c r="A71" s="219" t="str">
        <x:v>REQ-01</x:v>
      </x:c>
      <x:c r="B71" s="219" t="str">
        <x:v>lanes/firmware_oil/RECOVERED_FIRMWARE_TEST_RESULTS.json</x:v>
      </x:c>
      <x:c r="C71" s="219" t="str">
        <x:v>c4c5df66ff54cba721fe8808062019f824df6e0b0c4869e78fd30626121dc725</x:v>
      </x:c>
    </x:row>
    <x:row r="72" ht="30" customHeight="1">
      <x:c r="A72" s="180" t="str">
        <x:v>REQ-01</x:v>
      </x:c>
      <x:c r="B72" s="180" t="str">
        <x:v>lanes/firmware_oil/FINAL_I04_OIL_FIRMWARE_EFFECTIVITY.json</x:v>
      </x:c>
      <x:c r="C72" s="180" t="str">
        <x:v>17c9b0178b833a546a4f14b2f287574b8545d7a56e68db66a8a94f02634b394f</x:v>
      </x:c>
    </x:row>
    <x:row r="73" ht="30" customHeight="1">
      <x:c r="A73" s="219" t="str">
        <x:v>REQ-01</x:v>
      </x:c>
      <x:c r="B73" s="219" t="str">
        <x:v>current/EXECUTION_PLAN.md</x:v>
      </x:c>
      <x:c r="C73" s="219" t="str">
        <x:v>edc0e7ee94cff207a335a60e17313a1a0cea587253a54240e59425a2e7095856</x:v>
      </x:c>
    </x:row>
    <x:row r="74" ht="30" customHeight="1">
      <x:c r="A74" s="180" t="str">
        <x:v>REQ-02</x:v>
      </x:c>
      <x:c r="B74" s="180" t="str">
        <x:v>interfaces/asc_profile/ASC_PROFILE_REVIEW.json</x:v>
      </x:c>
      <x:c r="C74" s="180" t="str">
        <x:v>a779bfe927e5e5d9387131a9cc297e5af79f25f217557178da1a7ee76e7f7ab4</x:v>
      </x:c>
    </x:row>
    <x:row r="75" ht="30" customHeight="1">
      <x:c r="A75" s="219" t="str">
        <x:v>REQ-02</x:v>
      </x:c>
      <x:c r="B75" s="219" t="str">
        <x:v>interfaces/asc_profile/PRIMARY_SOURCE_MANIFEST.json</x:v>
      </x:c>
      <x:c r="C75" s="219" t="str">
        <x:v>5503b65e3db2c7de2e865692595d95e414d6e18d3c4ec2411970546c703b823d</x:v>
      </x:c>
    </x:row>
    <x:row r="76" ht="30" customHeight="1">
      <x:c r="A76" s="180" t="str">
        <x:v>REQ-02</x:v>
      </x:c>
      <x:c r="B76" s="180" t="str">
        <x:v>current/EXECUTION_PLAN.md</x:v>
      </x:c>
      <x:c r="C76" s="180" t="str">
        <x:v>edc0e7ee94cff207a335a60e17313a1a0cea587253a54240e59425a2e7095856</x:v>
      </x:c>
    </x:row>
    <x:row r="77" ht="30" customHeight="1">
      <x:c r="A77" s="219" t="str">
        <x:v>REQ-03</x:v>
      </x:c>
      <x:c r="B77" s="219" t="str">
        <x:v>lanes/firmware_oil/RECOVERED_RELEASE_CHECKS.json</x:v>
      </x:c>
      <x:c r="C77" s="219" t="str">
        <x:v>9d36ebab30769a0293ff2fcbd194a54f113e5444f8680565da51558ccce9cdf8</x:v>
      </x:c>
    </x:row>
    <x:row r="78" ht="30" customHeight="1">
      <x:c r="A78" s="180" t="str">
        <x:v>REQ-03</x:v>
      </x:c>
      <x:c r="B78" s="180" t="str">
        <x:v>lanes/firmware_oil/RECOVERED_FIRMWARE_TEST_RESULTS.json</x:v>
      </x:c>
      <x:c r="C78" s="180" t="str">
        <x:v>c4c5df66ff54cba721fe8808062019f824df6e0b0c4869e78fd30626121dc725</x:v>
      </x:c>
    </x:row>
    <x:row r="79" ht="30" customHeight="1">
      <x:c r="A79" s="219" t="str">
        <x:v>REQ-03</x:v>
      </x:c>
      <x:c r="B79" s="219" t="str">
        <x:v>lanes/firmware_oil/FINAL_I04_OIL_FIRMWARE_EFFECTIVITY.json</x:v>
      </x:c>
      <x:c r="C79" s="219" t="str">
        <x:v>17c9b0178b833a546a4f14b2f287574b8545d7a56e68db66a8a94f02634b394f</x:v>
      </x:c>
    </x:row>
    <x:row r="80" ht="30" customHeight="1">
      <x:c r="A80" s="180" t="str">
        <x:v>REQ-03</x:v>
      </x:c>
      <x:c r="B80" s="180" t="str">
        <x:v>current/EXECUTION_PLAN.md</x:v>
      </x:c>
      <x:c r="C80" s="180" t="str">
        <x:v>edc0e7ee94cff207a335a60e17313a1a0cea587253a54240e59425a2e7095856</x:v>
      </x:c>
    </x:row>
    <x:row r="81" ht="30" customHeight="1">
      <x:c r="A81" s="219" t="str">
        <x:v>REQ-04</x:v>
      </x:c>
      <x:c r="B81" s="219" t="str">
        <x:v>lanes/firmware_oil/RECOVERY_CALIBRATION_GAIN_REDLINE.json</x:v>
      </x:c>
      <x:c r="C81" s="219" t="str">
        <x:v>4156482b336bece382dae6dcf618b2f7a5c26456dc57aaa1b574e169bd04cd9c</x:v>
      </x:c>
    </x:row>
    <x:row r="82" ht="30" customHeight="1">
      <x:c r="A82" s="180" t="str">
        <x:v>REQ-04</x:v>
      </x:c>
      <x:c r="B82" s="180" t="str">
        <x:v>lanes/firmware_oil/RECOVERED_FIRMWARE_TEST_RESULTS.json</x:v>
      </x:c>
      <x:c r="C82" s="180" t="str">
        <x:v>c4c5df66ff54cba721fe8808062019f824df6e0b0c4869e78fd30626121dc725</x:v>
      </x:c>
    </x:row>
    <x:row r="83" ht="30" customHeight="1">
      <x:c r="A83" s="219" t="str">
        <x:v>REQ-04</x:v>
      </x:c>
      <x:c r="B83" s="219" t="str">
        <x:v>interfaces/OIL_HARNESS_ERROR_SWEEP.json</x:v>
      </x:c>
      <x:c r="C83" s="219" t="str">
        <x:v>1a0e3bbbfeb53fae48b38ab52575d6644f48d7ef4b534dd262f89c9cde0aa6a1</x:v>
      </x:c>
    </x:row>
    <x:row r="84" ht="30" customHeight="1">
      <x:c r="A84" s="180" t="str">
        <x:v>REQ-04</x:v>
      </x:c>
      <x:c r="B84" s="180" t="str">
        <x:v>lanes/firmware_oil/FINAL_I04_OIL_FIRMWARE_EFFECTIVITY.json</x:v>
      </x:c>
      <x:c r="C84" s="180" t="str">
        <x:v>17c9b0178b833a546a4f14b2f287574b8545d7a56e68db66a8a94f02634b394f</x:v>
      </x:c>
    </x:row>
    <x:row r="85" ht="30" customHeight="1">
      <x:c r="A85" s="219" t="str">
        <x:v>REQ-04</x:v>
      </x:c>
      <x:c r="B85" s="219" t="str">
        <x:v>lanes/oil_cap/FINAL_C532_SUBGRAPH_BINDING.json</x:v>
      </x:c>
      <x:c r="C85" s="219" t="str">
        <x:v>28967e7b5768764cc5528550516b41c0b77bee732da05d6a03bbde0e3ef6dc94</x:v>
      </x:c>
    </x:row>
    <x:row r="86" ht="30" customHeight="1">
      <x:c r="A86" s="180" t="str">
        <x:v>REQ-04</x:v>
      </x:c>
      <x:c r="B86" s="180" t="str">
        <x:v>current/EXECUTION_PLAN.md</x:v>
      </x:c>
      <x:c r="C86" s="180" t="str">
        <x:v>edc0e7ee94cff207a335a60e17313a1a0cea587253a54240e59425a2e7095856</x:v>
      </x:c>
    </x:row>
    <x:row r="87" ht="30" customHeight="1">
      <x:c r="A87" s="219" t="str">
        <x:v>REQ-05</x:v>
      </x:c>
      <x:c r="B87" s="219" t="str">
        <x:v>lanes/rf/RF_FINAL_REPORT.md</x:v>
      </x:c>
      <x:c r="C87" s="219" t="str">
        <x:v>3fdd717e298f9671baa0d0bd7e612e526623cf035b1ff575a9a5dc8ba1536ce1</x:v>
      </x:c>
    </x:row>
    <x:row r="88" ht="30" customHeight="1">
      <x:c r="A88" s="180" t="str">
        <x:v>REQ-05</x:v>
      </x:c>
      <x:c r="B88" s="180" t="str">
        <x:v>lanes/rf/RF_FINAL_SUMMARY.json</x:v>
      </x:c>
      <x:c r="C88" s="180" t="str">
        <x:v>2bc67f3c75f646a9f78d6da59e201a8ce2bb511d46ca790af21525498545cd76</x:v>
      </x:c>
    </x:row>
    <x:row r="89" ht="30" customHeight="1">
      <x:c r="A89" s="219" t="str">
        <x:v>REQ-05</x:v>
      </x:c>
      <x:c r="B89" s="219" t="str">
        <x:v>lanes/rf/RF_I04_ADDENDUM.md</x:v>
      </x:c>
      <x:c r="C89" s="219" t="str">
        <x:v>a10485f6d1e16e37566e6ab1b7d8b6dc6b55d8e632ec8c2939f3a60188741b51</x:v>
      </x:c>
    </x:row>
    <x:row r="90" ht="30" customHeight="1">
      <x:c r="A90" s="180" t="str">
        <x:v>REQ-05</x:v>
      </x:c>
      <x:c r="B90" s="180" t="str">
        <x:v>lanes/rf/RF_I04_SUMMARY.json</x:v>
      </x:c>
      <x:c r="C90" s="180" t="str">
        <x:v>acfa57ec9f135bae0fc67b784b6851dfbb05847f7e383abf948d1c8d4d82f1ce</x:v>
      </x:c>
    </x:row>
    <x:row r="91" ht="30" customHeight="1">
      <x:c r="A91" s="219" t="str">
        <x:v>REQ-05</x:v>
      </x:c>
      <x:c r="B91" s="219" t="str">
        <x:v>lanes/rf/FINAL_I04_SOURCE_BINDING.json</x:v>
      </x:c>
      <x:c r="C91" s="219" t="str">
        <x:v>377d251ef846085d22e6ed6d8c955760b55da0e985fa2aa1b3e0bb4c0d5f6c63</x:v>
      </x:c>
    </x:row>
    <x:row r="92" ht="30" customHeight="1">
      <x:c r="A92" s="180" t="str">
        <x:v>REQ-05</x:v>
      </x:c>
      <x:c r="B92" s="180" t="str">
        <x:v>lanes/emc/EMC_SUMMARY.json</x:v>
      </x:c>
      <x:c r="C92" s="180" t="str">
        <x:v>07646b33a327ac54aec8026ed70ae457146b5918221fabc9022dee1f950b226d</x:v>
      </x:c>
    </x:row>
    <x:row r="93" ht="30" customHeight="1">
      <x:c r="A93" s="219" t="str">
        <x:v>REQ-05</x:v>
      </x:c>
      <x:c r="B93" s="219" t="str">
        <x:v>current/EXECUTION_PLAN.md</x:v>
      </x:c>
      <x:c r="C93" s="219" t="str">
        <x:v>edc0e7ee94cff207a335a60e17313a1a0cea587253a54240e59425a2e7095856</x:v>
      </x:c>
    </x:row>
    <x:row r="94" ht="30" customHeight="1">
      <x:c r="A94" s="180" t="str">
        <x:v>REQ-06</x:v>
      </x:c>
      <x:c r="B94" s="180" t="str">
        <x:v>lanes/firmware_oil/RECOVERED_RELEASE_CHECKS.json</x:v>
      </x:c>
      <x:c r="C94" s="180" t="str">
        <x:v>9d36ebab30769a0293ff2fcbd194a54f113e5444f8680565da51558ccce9cdf8</x:v>
      </x:c>
    </x:row>
    <x:row r="95" ht="30" customHeight="1">
      <x:c r="A95" s="219" t="str">
        <x:v>REQ-06</x:v>
      </x:c>
      <x:c r="B95" s="219" t="str">
        <x:v>lanes/firmware_oil/RECOVERED_FIRMWARE_TEST_RESULTS.json</x:v>
      </x:c>
      <x:c r="C95" s="219" t="str">
        <x:v>c4c5df66ff54cba721fe8808062019f824df6e0b0c4869e78fd30626121dc725</x:v>
      </x:c>
    </x:row>
    <x:row r="96" ht="30" customHeight="1">
      <x:c r="A96" s="180" t="str">
        <x:v>REQ-06</x:v>
      </x:c>
      <x:c r="B96" s="180" t="str">
        <x:v>current/EXECUTION_PLAN.md</x:v>
      </x:c>
      <x:c r="C96" s="180" t="str">
        <x:v>edc0e7ee94cff207a335a60e17313a1a0cea587253a54240e59425a2e7095856</x:v>
      </x:c>
    </x:row>
    <x:row r="97" ht="30" customHeight="1">
      <x:c r="A97" s="219" t="str">
        <x:v>REQ-07</x:v>
      </x:c>
      <x:c r="B97" s="219" t="str">
        <x:v>control/RVB22_BRING_UP_AND_MEASUREMENT_CONTRACT.md</x:v>
      </x:c>
      <x:c r="C97" s="219" t="str">
        <x:v>449d38b93d0d99ec35d3545af7b198e3430a19aa20cbf59b6de2b60b0215331f</x:v>
      </x:c>
    </x:row>
    <x:row r="98" ht="30" customHeight="1">
      <x:c r="A98" s="180" t="str">
        <x:v>REQ-07</x:v>
      </x:c>
      <x:c r="B98" s="180" t="str">
        <x:v>control/BRINGUP_SCHEMATIC_TEXT_DELTA.json</x:v>
      </x:c>
      <x:c r="C98" s="180" t="str">
        <x:v>b375d56d6cc12ce36313d7ee538c3bc384127c76eb41fea363ce7911556415ee</x:v>
      </x:c>
    </x:row>
    <x:row r="99" ht="30" customHeight="1">
      <x:c r="A99" s="219" t="str">
        <x:v>REQ-07</x:v>
      </x:c>
      <x:c r="B99" s="219" t="str">
        <x:v>control/BRINGUP_ACTUAL_NODE_INDEX.json</x:v>
      </x:c>
      <x:c r="C99" s="219" t="str">
        <x:v>a63b8b544d5707e4ec2c6dcced8a01f7b216c553052681a5fa9f46bc3d7af6f8</x:v>
      </x:c>
    </x:row>
    <x:row r="100" ht="30" customHeight="1">
      <x:c r="A100" s="180" t="str">
        <x:v>REQ-07</x:v>
      </x:c>
      <x:c r="B100" s="180" t="str">
        <x:v>control/FINAL_I04_BRINGUP_BINDING.json</x:v>
      </x:c>
      <x:c r="C100" s="180" t="str">
        <x:v>0a51eb793074e6b5eafbf20002325289bdd1e1b3a5174ae63fd79b937a76fd3f</x:v>
      </x:c>
    </x:row>
    <x:row r="101" ht="30" customHeight="1">
      <x:c r="A101" s="219" t="str">
        <x:v>REQ-07</x:v>
      </x:c>
      <x:c r="B101" s="219" t="str">
        <x:v>current/EXECUTION_PLAN.md</x:v>
      </x:c>
      <x:c r="C101" s="219" t="str">
        <x:v>edc0e7ee94cff207a335a60e17313a1a0cea587253a54240e59425a2e7095856</x:v>
      </x:c>
    </x:row>
    <x:row r="102" ht="30" customHeight="1">
      <x:c r="A102" s="180" t="str">
        <x:v>REQ-08</x:v>
      </x:c>
      <x:c r="B102" s="180" t="str">
        <x:v>lanes/firmware_oil/RECOVERED_RELEASE_CHECKS.json</x:v>
      </x:c>
      <x:c r="C102" s="180" t="str">
        <x:v>9d36ebab30769a0293ff2fcbd194a54f113e5444f8680565da51558ccce9cdf8</x:v>
      </x:c>
    </x:row>
    <x:row r="103" ht="30" customHeight="1">
      <x:c r="A103" s="219" t="str">
        <x:v>REQ-08</x:v>
      </x:c>
      <x:c r="B103" s="219" t="str">
        <x:v>lanes/firmware_oil/RECOVERED_FIRMWARE_TEST_RESULTS.json</x:v>
      </x:c>
      <x:c r="C103" s="219" t="str">
        <x:v>c4c5df66ff54cba721fe8808062019f824df6e0b0c4869e78fd30626121dc725</x:v>
      </x:c>
    </x:row>
    <x:row r="104" ht="30" customHeight="1">
      <x:c r="A104" s="180" t="str">
        <x:v>REQ-08</x:v>
      </x:c>
      <x:c r="B104" s="180" t="str">
        <x:v>lanes/firmware_oil/FINAL_I04_OIL_FIRMWARE_EFFECTIVITY.json</x:v>
      </x:c>
      <x:c r="C104" s="180" t="str">
        <x:v>17c9b0178b833a546a4f14b2f287574b8545d7a56e68db66a8a94f02634b394f</x:v>
      </x:c>
    </x:row>
    <x:row r="105" ht="30" customHeight="1">
      <x:c r="A105" s="219" t="str">
        <x:v>REQ-08</x:v>
      </x:c>
      <x:c r="B105" s="219" t="str">
        <x:v>current/EXECUTION_PLAN.md</x:v>
      </x:c>
      <x:c r="C105" s="219" t="str">
        <x:v>edc0e7ee94cff207a335a60e17313a1a0cea587253a54240e59425a2e7095856</x:v>
      </x:c>
    </x:row>
    <x:row r="106" ht="30" customHeight="1">
      <x:c r="A106" s="180" t="str">
        <x:v>REQ-09</x:v>
      </x:c>
      <x:c r="B106" s="180" t="str">
        <x:v>interfaces/HARNESS_INTERFACE_CONTRACT.json</x:v>
      </x:c>
      <x:c r="C106" s="180" t="str">
        <x:v>8de240d9bfbc5862fae2984984929e0c086bc37a255289129d312548cac3576a</x:v>
      </x:c>
    </x:row>
    <x:row r="107" ht="30" customHeight="1">
      <x:c r="A107" s="219" t="str">
        <x:v>REQ-09</x:v>
      </x:c>
      <x:c r="B107" s="219" t="str">
        <x:v>interfaces/HARNESS_CHECKS.json</x:v>
      </x:c>
      <x:c r="C107" s="219" t="str">
        <x:v>c45fcc060f1cc5d87d9056329c8eac1e7a893cbae583086c5f0d3f5b43a29c9d</x:v>
      </x:c>
    </x:row>
    <x:row r="108" ht="30" customHeight="1">
      <x:c r="A108" s="180" t="str">
        <x:v>REQ-09</x:v>
      </x:c>
      <x:c r="B108" s="180" t="str">
        <x:v>analyses/harness_wire/HARNESS_WIRE_DELTA.json</x:v>
      </x:c>
      <x:c r="C108" s="180" t="str">
        <x:v>709bdb5ea3ca0ba32fc78b0da3a1845b1d597fa82b4b3ce17c9ef2774798babe</x:v>
      </x:c>
    </x:row>
    <x:row r="109" ht="30" customHeight="1">
      <x:c r="A109" s="219" t="str">
        <x:v>REQ-09</x:v>
      </x:c>
      <x:c r="B109" s="219" t="str">
        <x:v>interfaces/MOLEX_A1_HARNESS_REDLINE.json</x:v>
      </x:c>
      <x:c r="C109" s="219" t="str">
        <x:v>f7e6567d47cb426e6a19a6356f6dd1feda53c481c27e1631f39d4fe28174f28e</x:v>
      </x:c>
    </x:row>
    <x:row r="110" ht="30" customHeight="1">
      <x:c r="A110" s="180" t="str">
        <x:v>REQ-09</x:v>
      </x:c>
      <x:c r="B110" s="180" t="str">
        <x:v>interfaces/SINGLE_RETURN_EFFECTIVITY.json</x:v>
      </x:c>
      <x:c r="C110" s="180" t="str">
        <x:v>6c7af28cea00c2a54f0765cf157f3b8630e9799cf9ee615f2210552134ffe640</x:v>
      </x:c>
    </x:row>
    <x:row r="111" ht="30" customHeight="1">
      <x:c r="A111" s="219" t="str">
        <x:v>REQ-09</x:v>
      </x:c>
      <x:c r="B111" s="219" t="str">
        <x:v>interfaces/FINAL_I06_HARNESS_BINDING.json</x:v>
      </x:c>
      <x:c r="C111" s="219" t="str">
        <x:v>ea1271a3927330045a38668bb5208bd4aace21b828afc3f535bb34593ec04458</x:v>
      </x:c>
    </x:row>
    <x:row r="112" ht="30" customHeight="1">
      <x:c r="A112" s="180" t="str">
        <x:v>REQ-09</x:v>
      </x:c>
      <x:c r="B112" s="180" t="str">
        <x:v>iterations/I06_harness_handoff/CANDIDATE_MANIFEST.json</x:v>
      </x:c>
      <x:c r="C112" s="180" t="str">
        <x:v>017aa6938b0cea4fcf5d02a0e28ba556e4a0c0485495f171a7d5aba15a703fc0</x:v>
      </x:c>
    </x:row>
    <x:row r="113" ht="30" customHeight="1">
      <x:c r="A113" s="219" t="str">
        <x:v>REQ-09</x:v>
      </x:c>
      <x:c r="B113" s="219" t="str">
        <x:v>current/EXECUTION_PLAN.md</x:v>
      </x:c>
      <x:c r="C113" s="219" t="str">
        <x:v>edc0e7ee94cff207a335a60e17313a1a0cea587253a54240e59425a2e7095856</x:v>
      </x:c>
    </x:row>
    <x:row r="114" ht="30" customHeight="1">
      <x:c r="A114" s="180" t="str">
        <x:v>REQ-10</x:v>
      </x:c>
      <x:c r="B114" s="180" t="str">
        <x:v>control/EXECUTION_PLAN_CURRENT.md</x:v>
      </x:c>
      <x:c r="C114" s="180" t="str">
        <x:v>edc0e7ee94cff207a335a60e17313a1a0cea587253a54240e59425a2e7095856</x:v>
      </x:c>
    </x:row>
    <x:row r="115" ht="30" customHeight="1">
      <x:c r="A115" s="219" t="str">
        <x:v>REQ-10</x:v>
      </x:c>
      <x:c r="B115" s="219" t="str">
        <x:v>control/RECOVERY_LEDGER.md</x:v>
      </x:c>
      <x:c r="C115" s="219" t="str">
        <x:v>8ebd3401682084e4888c14457ab57035a64bf11b7bbf378d7c1549510a25f102</x:v>
      </x:c>
    </x:row>
    <x:row r="116" ht="30" customHeight="1">
      <x:c r="A116" s="180" t="str">
        <x:v>REQ-10</x:v>
      </x:c>
      <x:c r="B116" s="180" t="str">
        <x:v>control/DESKTOP_ACTION_DISPOSITIONS_CURRENT.json</x:v>
      </x:c>
      <x:c r="C116" s="180" t="str">
        <x:v>48ee6985a9aae811c11a83179a8aa3393aee2286b4bb066e40ce5cdde693c982</x:v>
      </x:c>
    </x:row>
    <x:row r="117" ht="30" customHeight="1">
      <x:c r="A117" s="219" t="str">
        <x:v>REQ-10</x:v>
      </x:c>
      <x:c r="B117" s="219" t="str">
        <x:v>iterations/I06_harness_handoff/CANDIDATE_MANIFEST.json</x:v>
      </x:c>
      <x:c r="C117" s="219" t="str">
        <x:v>017aa6938b0cea4fcf5d02a0e28ba556e4a0c0485495f171a7d5aba15a703fc0</x:v>
      </x:c>
    </x:row>
    <x:row r="118" ht="30" customHeight="1">
      <x:c r="A118" s="180" t="str">
        <x:v>REQ-10</x:v>
      </x:c>
      <x:c r="B118" s="180" t="str">
        <x:v>control/FINAL_GATES.json</x:v>
      </x:c>
      <x:c r="C118" s="180" t="str">
        <x:v>b04e670a88f36a01c1c0182933555cfc2fba151953cd6020cd6ec4a8204d6f79</x:v>
      </x:c>
    </x:row>
    <x:row r="119" ht="30" customHeight="1">
      <x:c r="A119" s="219" t="str">
        <x:v>REQ-10</x:v>
      </x:c>
      <x:c r="B119" s="219" t="str">
        <x:v>current/EXECUTION_PLAN.md</x:v>
      </x:c>
      <x:c r="C119" s="219" t="str">
        <x:v>edc0e7ee94cff207a335a60e17313a1a0cea587253a54240e59425a2e7095856</x:v>
      </x:c>
    </x:row>
    <x:row r="120" ht="30" customHeight="1">
      <x:c r="A120" s="180" t="str">
        <x:v>LIB-01</x:v>
      </x:c>
      <x:c r="B120" s="180" t="str">
        <x:v>lanes/oil_cap/OIL_CAP_GEOMETRY_REPORT.json</x:v>
      </x:c>
      <x:c r="C120" s="180" t="str">
        <x:v>d4166613bd2279bb696cb5c6adb26256ae80e679d66d7e6009df7ae60b9428bd</x:v>
      </x:c>
    </x:row>
    <x:row r="121" ht="30" customHeight="1">
      <x:c r="A121" s="219" t="str">
        <x:v>LIB-01</x:v>
      </x:c>
      <x:c r="B121" s="219" t="str">
        <x:v>lanes/oil_cap/OIL_CAP_SAME_NET_CONTACTS.json</x:v>
      </x:c>
      <x:c r="C121" s="219" t="str">
        <x:v>2f5dee7d7f4155806d436db4b7091bf62f5f674cf59479508a2880e9a32e28ec</x:v>
      </x:c>
    </x:row>
    <x:row r="122" ht="30" customHeight="1">
      <x:c r="A122" s="180" t="str">
        <x:v>LIB-01</x:v>
      </x:c>
      <x:c r="B122" s="180" t="str">
        <x:v>control/check_combined_copper.py</x:v>
      </x:c>
      <x:c r="C122" s="180" t="str">
        <x:v>5f0e5cb0ceffd8ea3a07fca51209f90225f7b708d666ca33bb5df175fe936c2a</x:v>
      </x:c>
    </x:row>
    <x:row r="123" ht="30" customHeight="1">
      <x:c r="A123" s="219" t="str">
        <x:v>LIB-01</x:v>
      </x:c>
      <x:c r="B123" s="219" t="str">
        <x:v>lanes/oil_cap/FINAL_C532_SUBGRAPH_BINDING.json</x:v>
      </x:c>
      <x:c r="C123" s="219" t="str">
        <x:v>28967e7b5768764cc5528550516b41c0b77bee732da05d6a03bbde0e3ef6dc94</x:v>
      </x:c>
    </x:row>
    <x:row r="124" ht="30" customHeight="1">
      <x:c r="A124" s="180" t="str">
        <x:v>LIB-01</x:v>
      </x:c>
      <x:c r="B124" s="180" t="str">
        <x:v>iterations/I04_compact_shunt/COMBINED_COPPER_CHECK.json</x:v>
      </x:c>
      <x:c r="C124" s="180" t="str">
        <x:v>dbe14bde92d2e9445f4765e4ff8ac028412039b5e90b4b3a42870684391933e5</x:v>
      </x:c>
    </x:row>
    <x:row r="125" ht="30" customHeight="1">
      <x:c r="A125" s="219" t="str">
        <x:v>LIB-01</x:v>
      </x:c>
      <x:c r="B125" s="219" t="str">
        <x:v>iterations/I04_compact_shunt/COURTYARD_CHECK.json</x:v>
      </x:c>
      <x:c r="C125" s="219" t="str">
        <x:v>6e080d8a723d8a3c7ae1665078acf472b0a39e433bc64fe21516790ff5541ab2</x:v>
      </x:c>
    </x:row>
    <x:row r="126" ht="30" customHeight="1">
      <x:c r="A126" s="180" t="str">
        <x:v>LIB-01</x:v>
      </x:c>
      <x:c r="B126" s="180" t="str">
        <x:v>verification/independent/I04_SOURCE_AND_GATE_AUDIT.json</x:v>
      </x:c>
      <x:c r="C126" s="180" t="str">
        <x:v>18fceb8cec99fceb6476a5439d12fc57798a8b226e25607bf54b179f0f063d75</x:v>
      </x:c>
    </x:row>
    <x:row r="127" ht="30" customHeight="1">
      <x:c r="A127" s="219" t="str">
        <x:v>LIB-01</x:v>
      </x:c>
      <x:c r="B127" s="219" t="str">
        <x:v>iterations/I20_controlled_handoff/NATIVE_BINDING.json</x:v>
      </x:c>
      <x:c r="C127" s="219" t="str">
        <x:v>6f36235aab2349569f2cacf485912921762bc718e2a5fd5c4c72c2808ca2312b</x:v>
      </x:c>
    </x:row>
    <x:row r="128" ht="30" customHeight="1">
      <x:c r="A128" s="180" t="str">
        <x:v>LIB-01</x:v>
      </x:c>
      <x:c r="B128" s="180" t="str">
        <x:v>current/SOURCE_EFFECTIVITY.json</x:v>
      </x:c>
      <x:c r="C128" s="180" t="str">
        <x:v>832fcdcc8cd7ebb9df2e169c8b9194011c37d138484da13fd5de05bd2657170d</x:v>
      </x:c>
    </x:row>
    <x:row r="129" ht="30" customHeight="1">
      <x:c r="A129" s="219" t="str">
        <x:v>LIB-01</x:v>
      </x:c>
      <x:c r="B129" s="219" t="str">
        <x:v>analyses/mated_i18/RESULTS.json</x:v>
      </x:c>
      <x:c r="C129" s="219" t="str">
        <x:v>7466a6278a904f43d085330b5b6057d7fa92c8d24156eb7ea875f35bc42044d2</x:v>
      </x:c>
    </x:row>
    <x:row r="130" ht="30" customHeight="1">
      <x:c r="A130" s="180" t="str">
        <x:v>LIB-02</x:v>
      </x:c>
      <x:c r="B130" s="180" t="str">
        <x:v>runtime/run_native_candidate.py</x:v>
      </x:c>
      <x:c r="C130" s="180" t="str">
        <x:v>187d303cb103cef92143d53c099615a435ceef29c0458d7ac9521205d451f315</x:v>
      </x:c>
    </x:row>
    <x:row r="131" ht="30" customHeight="1">
      <x:c r="A131" s="219" t="str">
        <x:v>LIB-02</x:v>
      </x:c>
      <x:c r="B131" s="219" t="str">
        <x:v>runtime/final_I06_actual_preflight/RESULT.json</x:v>
      </x:c>
      <x:c r="C131" s="219" t="str">
        <x:v>47d1ac4057b92a6752abacf976768596bf4fa311d08c9fc08df2d276e8e1200f</x:v>
      </x:c>
    </x:row>
    <x:row r="132" ht="30" customHeight="1">
      <x:c r="A132" s="180" t="str">
        <x:v>LIB-02</x:v>
      </x:c>
      <x:c r="B132" s="180" t="str">
        <x:v>runtime/NATIVE_NEGATIVE_CONTROL_RECHECK.json</x:v>
      </x:c>
      <x:c r="C132" s="180" t="str">
        <x:v>c4c3531bdbbc221139a01a09a581b260ee9b9c28f55002b23dfac566a3b53e79</x:v>
      </x:c>
    </x:row>
    <x:row r="133" ht="30" customHeight="1">
      <x:c r="A133" s="219" t="str">
        <x:v>LIB-02</x:v>
      </x:c>
      <x:c r="B133" s="219" t="str">
        <x:v>iterations/I06_harness_handoff/CANDIDATE_MANIFEST.json</x:v>
      </x:c>
      <x:c r="C133" s="219" t="str">
        <x:v>017aa6938b0cea4fcf5d02a0e28ba556e4a0c0485495f171a7d5aba15a703fc0</x:v>
      </x:c>
    </x:row>
    <x:row r="134" ht="30" customHeight="1">
      <x:c r="A134" s="180" t="str">
        <x:v>LIB-02</x:v>
      </x:c>
      <x:c r="B134" s="180" t="str">
        <x:v>iterations/I20_controlled_handoff/NATIVE_BINDING.json</x:v>
      </x:c>
      <x:c r="C134" s="180" t="str">
        <x:v>6f36235aab2349569f2cacf485912921762bc718e2a5fd5c4c72c2808ca2312b</x:v>
      </x:c>
    </x:row>
    <x:row r="135" ht="30" customHeight="1">
      <x:c r="A135" s="219" t="str">
        <x:v>LIB-02</x:v>
      </x:c>
      <x:c r="B135" s="219" t="str">
        <x:v>current/SOURCE_EFFECTIVITY.json</x:v>
      </x:c>
      <x:c r="C135" s="219" t="str">
        <x:v>832fcdcc8cd7ebb9df2e169c8b9194011c37d138484da13fd5de05bd2657170d</x:v>
      </x:c>
    </x:row>
    <x:row r="136" ht="30" customHeight="1">
      <x:c r="A136" s="180" t="str">
        <x:v>LIB-02</x:v>
      </x:c>
      <x:c r="B136" s="180" t="str">
        <x:v>analyses/mated_i18/RESULTS.json</x:v>
      </x:c>
      <x:c r="C136" s="180" t="str">
        <x:v>7466a6278a904f43d085330b5b6057d7fa92c8d24156eb7ea875f35bc42044d2</x:v>
      </x:c>
    </x:row>
    <x:row r="137" ht="30" customHeight="1">
      <x:c r="A137" s="219" t="str">
        <x:v>LIB-03</x:v>
      </x:c>
      <x:c r="B137" s="219" t="str">
        <x:v>iterations/I06_harness_handoff/CANDIDATE_MANIFEST.json</x:v>
      </x:c>
      <x:c r="C137" s="219" t="str">
        <x:v>017aa6938b0cea4fcf5d02a0e28ba556e4a0c0485495f171a7d5aba15a703fc0</x:v>
      </x:c>
    </x:row>
    <x:row r="138" ht="30" customHeight="1">
      <x:c r="A138" s="180" t="str">
        <x:v>LIB-03</x:v>
      </x:c>
      <x:c r="B138" s="180" t="str">
        <x:v>iterations/I20_controlled_handoff/NATIVE_BINDING.json</x:v>
      </x:c>
      <x:c r="C138" s="180" t="str">
        <x:v>6f36235aab2349569f2cacf485912921762bc718e2a5fd5c4c72c2808ca2312b</x:v>
      </x:c>
    </x:row>
    <x:row r="139" ht="30" customHeight="1">
      <x:c r="A139" s="219" t="str">
        <x:v>LIB-03</x:v>
      </x:c>
      <x:c r="B139" s="219" t="str">
        <x:v>current/SOURCE_EFFECTIVITY.json</x:v>
      </x:c>
      <x:c r="C139" s="219" t="str">
        <x:v>832fcdcc8cd7ebb9df2e169c8b9194011c37d138484da13fd5de05bd2657170d</x:v>
      </x:c>
    </x:row>
    <x:row r="140" ht="30" customHeight="1">
      <x:c r="A140" s="180" t="str">
        <x:v>LIB-03</x:v>
      </x:c>
      <x:c r="B140" s="180" t="str">
        <x:v>analyses/mated_i18/RESULTS.json</x:v>
      </x:c>
      <x:c r="C140" s="180" t="str">
        <x:v>7466a6278a904f43d085330b5b6057d7fa92c8d24156eb7ea875f35bc42044d2</x:v>
      </x:c>
    </x:row>
    <x:row r="141" ht="30" customHeight="1">
      <x:c r="A141" s="219" t="str">
        <x:v>LIB-04</x:v>
      </x:c>
      <x:c r="B141" s="219" t="str">
        <x:v>analyses/manufacturing_i20/RESULTS.json</x:v>
      </x:c>
      <x:c r="C141" s="219" t="str">
        <x:v>daa279f665dd6cad14f4ff36043abbce38c6ee51598e9ae7236d9974563476ac</x:v>
      </x:c>
    </x:row>
    <x:row r="142" ht="30" customHeight="1">
      <x:c r="A142" s="180" t="str">
        <x:v>LIB-04</x:v>
      </x:c>
      <x:c r="B142" s="180" t="str">
        <x:v>iterations/I20_controlled_handoff/NATIVE_BINDING.json</x:v>
      </x:c>
      <x:c r="C142" s="180" t="str">
        <x:v>6f36235aab2349569f2cacf485912921762bc718e2a5fd5c4c72c2808ca2312b</x:v>
      </x:c>
    </x:row>
    <x:row r="143" ht="30" customHeight="1">
      <x:c r="A143" s="219" t="str">
        <x:v>LIB-04</x:v>
      </x:c>
      <x:c r="B143" s="219" t="str">
        <x:v>current/SOURCE_EFFECTIVITY.json</x:v>
      </x:c>
      <x:c r="C143" s="219" t="str">
        <x:v>832fcdcc8cd7ebb9df2e169c8b9194011c37d138484da13fd5de05bd2657170d</x:v>
      </x:c>
    </x:row>
    <x:row r="144" ht="30" customHeight="1">
      <x:c r="A144" s="180" t="str">
        <x:v>LIB-05</x:v>
      </x:c>
      <x:c r="B144" s="180" t="str">
        <x:v>lanes/oil_cap/OIL_CAP_GEOMETRY_REPORT.json</x:v>
      </x:c>
      <x:c r="C144" s="180" t="str">
        <x:v>d4166613bd2279bb696cb5c6adb26256ae80e679d66d7e6009df7ae60b9428bd</x:v>
      </x:c>
    </x:row>
    <x:row r="145" ht="30" customHeight="1">
      <x:c r="A145" s="219" t="str">
        <x:v>LIB-05</x:v>
      </x:c>
      <x:c r="B145" s="219" t="str">
        <x:v>lanes/oil_cap/OIL_CAP_SAME_NET_CONTACTS.json</x:v>
      </x:c>
      <x:c r="C145" s="219" t="str">
        <x:v>2f5dee7d7f4155806d436db4b7091bf62f5f674cf59479508a2880e9a32e28ec</x:v>
      </x:c>
    </x:row>
    <x:row r="146" ht="30" customHeight="1">
      <x:c r="A146" s="180" t="str">
        <x:v>LIB-05</x:v>
      </x:c>
      <x:c r="B146" s="180" t="str">
        <x:v>control/check_combined_copper.py</x:v>
      </x:c>
      <x:c r="C146" s="180" t="str">
        <x:v>5f0e5cb0ceffd8ea3a07fca51209f90225f7b708d666ca33bb5df175fe936c2a</x:v>
      </x:c>
    </x:row>
    <x:row r="147" ht="30" customHeight="1">
      <x:c r="A147" s="219" t="str">
        <x:v>LIB-05</x:v>
      </x:c>
      <x:c r="B147" s="219" t="str">
        <x:v>lanes/oil_cap/FINAL_C532_SUBGRAPH_BINDING.json</x:v>
      </x:c>
      <x:c r="C147" s="219" t="str">
        <x:v>28967e7b5768764cc5528550516b41c0b77bee732da05d6a03bbde0e3ef6dc94</x:v>
      </x:c>
    </x:row>
    <x:row r="148" ht="30" customHeight="1">
      <x:c r="A148" s="180" t="str">
        <x:v>LIB-05</x:v>
      </x:c>
      <x:c r="B148" s="180" t="str">
        <x:v>iterations/I04_compact_shunt/COMBINED_COPPER_CHECK.json</x:v>
      </x:c>
      <x:c r="C148" s="180" t="str">
        <x:v>dbe14bde92d2e9445f4765e4ff8ac028412039b5e90b4b3a42870684391933e5</x:v>
      </x:c>
    </x:row>
    <x:row r="149" ht="30" customHeight="1">
      <x:c r="A149" s="219" t="str">
        <x:v>LIB-05</x:v>
      </x:c>
      <x:c r="B149" s="219" t="str">
        <x:v>iterations/I04_compact_shunt/COURTYARD_CHECK.json</x:v>
      </x:c>
      <x:c r="C149" s="219" t="str">
        <x:v>6e080d8a723d8a3c7ae1665078acf472b0a39e433bc64fe21516790ff5541ab2</x:v>
      </x:c>
    </x:row>
    <x:row r="150" ht="30" customHeight="1">
      <x:c r="A150" s="180" t="str">
        <x:v>LIB-05</x:v>
      </x:c>
      <x:c r="B150" s="180" t="str">
        <x:v>verification/independent/I04_SOURCE_AND_GATE_AUDIT.json</x:v>
      </x:c>
      <x:c r="C150" s="180" t="str">
        <x:v>18fceb8cec99fceb6476a5439d12fc57798a8b226e25607bf54b179f0f063d75</x:v>
      </x:c>
    </x:row>
    <x:row r="151" ht="30" customHeight="1">
      <x:c r="A151" s="219" t="str">
        <x:v>LIB-05</x:v>
      </x:c>
      <x:c r="B151" s="219" t="str">
        <x:v>iterations/I20_controlled_handoff/NATIVE_BINDING.json</x:v>
      </x:c>
      <x:c r="C151" s="219" t="str">
        <x:v>6f36235aab2349569f2cacf485912921762bc718e2a5fd5c4c72c2808ca2312b</x:v>
      </x:c>
    </x:row>
    <x:row r="152" ht="30" customHeight="1">
      <x:c r="A152" s="180" t="str">
        <x:v>LIB-05</x:v>
      </x:c>
      <x:c r="B152" s="180" t="str">
        <x:v>current/SOURCE_EFFECTIVITY.json</x:v>
      </x:c>
      <x:c r="C152" s="180" t="str">
        <x:v>832fcdcc8cd7ebb9df2e169c8b9194011c37d138484da13fd5de05bd2657170d</x:v>
      </x:c>
    </x:row>
    <x:row r="153" ht="30" customHeight="1">
      <x:c r="A153" s="219" t="str">
        <x:v>LIB-05</x:v>
      </x:c>
      <x:c r="B153" s="219" t="str">
        <x:v>analyses/mated_i18/RESULTS.json</x:v>
      </x:c>
      <x:c r="C153" s="219" t="str">
        <x:v>7466a6278a904f43d085330b5b6057d7fa92c8d24156eb7ea875f35bc42044d2</x:v>
      </x:c>
    </x:row>
    <x:row r="154" ht="30" customHeight="1">
      <x:c r="A154" s="180" t="str">
        <x:v>LIB-06</x:v>
      </x:c>
      <x:c r="B154" s="180" t="str">
        <x:v>analyses/manufacturing_i20/RESULTS.json</x:v>
      </x:c>
      <x:c r="C154" s="180" t="str">
        <x:v>daa279f665dd6cad14f4ff36043abbce38c6ee51598e9ae7236d9974563476ac</x:v>
      </x:c>
    </x:row>
    <x:row r="155" ht="30" customHeight="1">
      <x:c r="A155" s="219" t="str">
        <x:v>LIB-06</x:v>
      </x:c>
      <x:c r="B155" s="219" t="str">
        <x:v>iterations/I20_controlled_handoff/NATIVE_BINDING.json</x:v>
      </x:c>
      <x:c r="C155" s="219" t="str">
        <x:v>6f36235aab2349569f2cacf485912921762bc718e2a5fd5c4c72c2808ca2312b</x:v>
      </x:c>
    </x:row>
    <x:row r="156" ht="30" customHeight="1">
      <x:c r="A156" s="180" t="str">
        <x:v>LIB-06</x:v>
      </x:c>
      <x:c r="B156" s="180" t="str">
        <x:v>current/SOURCE_EFFECTIVITY.json</x:v>
      </x:c>
      <x:c r="C156" s="180" t="str">
        <x:v>832fcdcc8cd7ebb9df2e169c8b9194011c37d138484da13fd5de05bd2657170d</x:v>
      </x:c>
    </x:row>
    <x:row r="157" ht="30" customHeight="1">
      <x:c r="A157" s="219" t="str">
        <x:v>LIB-07</x:v>
      </x:c>
      <x:c r="B157" s="219" t="str">
        <x:v>lanes/firmware_oil/RECOVERED_RELEASE_CHECKS.json</x:v>
      </x:c>
      <x:c r="C157" s="219" t="str">
        <x:v>9d36ebab30769a0293ff2fcbd194a54f113e5444f8680565da51558ccce9cdf8</x:v>
      </x:c>
    </x:row>
    <x:row r="158" ht="30" customHeight="1">
      <x:c r="A158" s="180" t="str">
        <x:v>LIB-07</x:v>
      </x:c>
      <x:c r="B158" s="180" t="str">
        <x:v>lanes/firmware_oil/RECOVERED_FIRMWARE_TEST_RESULTS.json</x:v>
      </x:c>
      <x:c r="C158" s="180" t="str">
        <x:v>c4c5df66ff54cba721fe8808062019f824df6e0b0c4869e78fd30626121dc725</x:v>
      </x:c>
    </x:row>
    <x:row r="159" ht="30" customHeight="1">
      <x:c r="A159" s="219" t="str">
        <x:v>LIB-07</x:v>
      </x:c>
      <x:c r="B159" s="219" t="str">
        <x:v>lanes/firmware_oil/FINAL_I04_OIL_FIRMWARE_EFFECTIVITY.json</x:v>
      </x:c>
      <x:c r="C159" s="219" t="str">
        <x:v>17c9b0178b833a546a4f14b2f287574b8545d7a56e68db66a8a94f02634b394f</x:v>
      </x:c>
    </x:row>
    <x:row r="160" ht="30" customHeight="1">
      <x:c r="A160" s="180" t="str">
        <x:v>LIB-07</x:v>
      </x:c>
      <x:c r="B160" s="180" t="str">
        <x:v>iterations/I20_controlled_handoff/NATIVE_BINDING.json</x:v>
      </x:c>
      <x:c r="C160" s="180" t="str">
        <x:v>6f36235aab2349569f2cacf485912921762bc718e2a5fd5c4c72c2808ca2312b</x:v>
      </x:c>
    </x:row>
    <x:row r="161" ht="30" customHeight="1">
      <x:c r="A161" s="219" t="str">
        <x:v>LIB-07</x:v>
      </x:c>
      <x:c r="B161" s="219" t="str">
        <x:v>current/SOURCE_EFFECTIVITY.json</x:v>
      </x:c>
      <x:c r="C161" s="219" t="str">
        <x:v>832fcdcc8cd7ebb9df2e169c8b9194011c37d138484da13fd5de05bd2657170d</x:v>
      </x:c>
    </x:row>
    <x:row r="162" ht="30" customHeight="1">
      <x:c r="A162" s="180" t="str">
        <x:v>LIB-07</x:v>
      </x:c>
      <x:c r="B162" s="180" t="str">
        <x:v>analyses/mated_i18/RESULTS.json</x:v>
      </x:c>
      <x:c r="C162" s="180" t="str">
        <x:v>7466a6278a904f43d085330b5b6057d7fa92c8d24156eb7ea875f35bc42044d2</x:v>
      </x:c>
    </x:row>
    <x:row r="163" ht="30" customHeight="1">
      <x:c r="A163" s="219" t="str">
        <x:v>LIB-08</x:v>
      </x:c>
      <x:c r="B163" s="219" t="str">
        <x:v>lanes/oil_cap/OIL_CAP_GEOMETRY_REPORT.json</x:v>
      </x:c>
      <x:c r="C163" s="219" t="str">
        <x:v>d4166613bd2279bb696cb5c6adb26256ae80e679d66d7e6009df7ae60b9428bd</x:v>
      </x:c>
    </x:row>
    <x:row r="164" ht="30" customHeight="1">
      <x:c r="A164" s="180" t="str">
        <x:v>LIB-08</x:v>
      </x:c>
      <x:c r="B164" s="180" t="str">
        <x:v>lanes/oil_cap/OIL_CAP_SAME_NET_CONTACTS.json</x:v>
      </x:c>
      <x:c r="C164" s="180" t="str">
        <x:v>2f5dee7d7f4155806d436db4b7091bf62f5f674cf59479508a2880e9a32e28ec</x:v>
      </x:c>
    </x:row>
    <x:row r="165" ht="30" customHeight="1">
      <x:c r="A165" s="219" t="str">
        <x:v>LIB-08</x:v>
      </x:c>
      <x:c r="B165" s="219" t="str">
        <x:v>control/check_combined_copper.py</x:v>
      </x:c>
      <x:c r="C165" s="219" t="str">
        <x:v>5f0e5cb0ceffd8ea3a07fca51209f90225f7b708d666ca33bb5df175fe936c2a</x:v>
      </x:c>
    </x:row>
    <x:row r="166" ht="30" customHeight="1">
      <x:c r="A166" s="180" t="str">
        <x:v>LIB-08</x:v>
      </x:c>
      <x:c r="B166" s="180" t="str">
        <x:v>lanes/oil_cap/FINAL_C532_SUBGRAPH_BINDING.json</x:v>
      </x:c>
      <x:c r="C166" s="180" t="str">
        <x:v>28967e7b5768764cc5528550516b41c0b77bee732da05d6a03bbde0e3ef6dc94</x:v>
      </x:c>
    </x:row>
    <x:row r="167" ht="30" customHeight="1">
      <x:c r="A167" s="219" t="str">
        <x:v>LIB-08</x:v>
      </x:c>
      <x:c r="B167" s="219" t="str">
        <x:v>iterations/I04_compact_shunt/COMBINED_COPPER_CHECK.json</x:v>
      </x:c>
      <x:c r="C167" s="219" t="str">
        <x:v>dbe14bde92d2e9445f4765e4ff8ac028412039b5e90b4b3a42870684391933e5</x:v>
      </x:c>
    </x:row>
    <x:row r="168" ht="30" customHeight="1">
      <x:c r="A168" s="180" t="str">
        <x:v>LIB-08</x:v>
      </x:c>
      <x:c r="B168" s="180" t="str">
        <x:v>iterations/I04_compact_shunt/COURTYARD_CHECK.json</x:v>
      </x:c>
      <x:c r="C168" s="180" t="str">
        <x:v>6e080d8a723d8a3c7ae1665078acf472b0a39e433bc64fe21516790ff5541ab2</x:v>
      </x:c>
    </x:row>
    <x:row r="169" ht="30" customHeight="1">
      <x:c r="A169" s="219" t="str">
        <x:v>LIB-08</x:v>
      </x:c>
      <x:c r="B169" s="219" t="str">
        <x:v>verification/independent/I04_SOURCE_AND_GATE_AUDIT.json</x:v>
      </x:c>
      <x:c r="C169" s="219" t="str">
        <x:v>18fceb8cec99fceb6476a5439d12fc57798a8b226e25607bf54b179f0f063d75</x:v>
      </x:c>
    </x:row>
    <x:row r="170" ht="30" customHeight="1">
      <x:c r="A170" s="180" t="str">
        <x:v>LIB-08</x:v>
      </x:c>
      <x:c r="B170" s="180" t="str">
        <x:v>iterations/I20_controlled_handoff/NATIVE_BINDING.json</x:v>
      </x:c>
      <x:c r="C170" s="180" t="str">
        <x:v>6f36235aab2349569f2cacf485912921762bc718e2a5fd5c4c72c2808ca2312b</x:v>
      </x:c>
    </x:row>
    <x:row r="171" ht="30" customHeight="1">
      <x:c r="A171" s="219" t="str">
        <x:v>LIB-08</x:v>
      </x:c>
      <x:c r="B171" s="219" t="str">
        <x:v>current/SOURCE_EFFECTIVITY.json</x:v>
      </x:c>
      <x:c r="C171" s="219" t="str">
        <x:v>832fcdcc8cd7ebb9df2e169c8b9194011c37d138484da13fd5de05bd2657170d</x:v>
      </x:c>
    </x:row>
    <x:row r="172" ht="30" customHeight="1">
      <x:c r="A172" s="180" t="str">
        <x:v>LIB-08</x:v>
      </x:c>
      <x:c r="B172" s="180" t="str">
        <x:v>analyses/mated_i18/RESULTS.json</x:v>
      </x:c>
      <x:c r="C172" s="180" t="str">
        <x:v>7466a6278a904f43d085330b5b6057d7fa92c8d24156eb7ea875f35bc42044d2</x:v>
      </x:c>
    </x:row>
    <x:row r="173" ht="30" customHeight="1">
      <x:c r="A173" s="219" t="str">
        <x:v>LIB-09</x:v>
      </x:c>
      <x:c r="B173" s="219" t="str">
        <x:v>lanes/oil_cap/OIL_CAP_GEOMETRY_REPORT.json</x:v>
      </x:c>
      <x:c r="C173" s="219" t="str">
        <x:v>d4166613bd2279bb696cb5c6adb26256ae80e679d66d7e6009df7ae60b9428bd</x:v>
      </x:c>
    </x:row>
    <x:row r="174" ht="30" customHeight="1">
      <x:c r="A174" s="180" t="str">
        <x:v>LIB-09</x:v>
      </x:c>
      <x:c r="B174" s="180" t="str">
        <x:v>lanes/oil_cap/OIL_CAP_SAME_NET_CONTACTS.json</x:v>
      </x:c>
      <x:c r="C174" s="180" t="str">
        <x:v>2f5dee7d7f4155806d436db4b7091bf62f5f674cf59479508a2880e9a32e28ec</x:v>
      </x:c>
    </x:row>
    <x:row r="175" ht="30" customHeight="1">
      <x:c r="A175" s="219" t="str">
        <x:v>LIB-09</x:v>
      </x:c>
      <x:c r="B175" s="219" t="str">
        <x:v>control/check_combined_copper.py</x:v>
      </x:c>
      <x:c r="C175" s="219" t="str">
        <x:v>5f0e5cb0ceffd8ea3a07fca51209f90225f7b708d666ca33bb5df175fe936c2a</x:v>
      </x:c>
    </x:row>
    <x:row r="176" ht="30" customHeight="1">
      <x:c r="A176" s="180" t="str">
        <x:v>LIB-09</x:v>
      </x:c>
      <x:c r="B176" s="180" t="str">
        <x:v>lanes/oil_cap/FINAL_C532_SUBGRAPH_BINDING.json</x:v>
      </x:c>
      <x:c r="C176" s="180" t="str">
        <x:v>28967e7b5768764cc5528550516b41c0b77bee732da05d6a03bbde0e3ef6dc94</x:v>
      </x:c>
    </x:row>
    <x:row r="177" ht="30" customHeight="1">
      <x:c r="A177" s="219" t="str">
        <x:v>LIB-09</x:v>
      </x:c>
      <x:c r="B177" s="219" t="str">
        <x:v>iterations/I04_compact_shunt/COMBINED_COPPER_CHECK.json</x:v>
      </x:c>
      <x:c r="C177" s="219" t="str">
        <x:v>dbe14bde92d2e9445f4765e4ff8ac028412039b5e90b4b3a42870684391933e5</x:v>
      </x:c>
    </x:row>
    <x:row r="178" ht="30" customHeight="1">
      <x:c r="A178" s="180" t="str">
        <x:v>LIB-09</x:v>
      </x:c>
      <x:c r="B178" s="180" t="str">
        <x:v>iterations/I04_compact_shunt/COURTYARD_CHECK.json</x:v>
      </x:c>
      <x:c r="C178" s="180" t="str">
        <x:v>6e080d8a723d8a3c7ae1665078acf472b0a39e433bc64fe21516790ff5541ab2</x:v>
      </x:c>
    </x:row>
    <x:row r="179" ht="30" customHeight="1">
      <x:c r="A179" s="219" t="str">
        <x:v>LIB-09</x:v>
      </x:c>
      <x:c r="B179" s="219" t="str">
        <x:v>verification/independent/I04_SOURCE_AND_GATE_AUDIT.json</x:v>
      </x:c>
      <x:c r="C179" s="219" t="str">
        <x:v>18fceb8cec99fceb6476a5439d12fc57798a8b226e25607bf54b179f0f063d75</x:v>
      </x:c>
    </x:row>
    <x:row r="180" ht="30" customHeight="1">
      <x:c r="A180" s="180" t="str">
        <x:v>LIB-09</x:v>
      </x:c>
      <x:c r="B180" s="180" t="str">
        <x:v>iterations/I20_controlled_handoff/NATIVE_BINDING.json</x:v>
      </x:c>
      <x:c r="C180" s="180" t="str">
        <x:v>6f36235aab2349569f2cacf485912921762bc718e2a5fd5c4c72c2808ca2312b</x:v>
      </x:c>
    </x:row>
    <x:row r="181" ht="30" customHeight="1">
      <x:c r="A181" s="219" t="str">
        <x:v>LIB-09</x:v>
      </x:c>
      <x:c r="B181" s="219" t="str">
        <x:v>current/SOURCE_EFFECTIVITY.json</x:v>
      </x:c>
      <x:c r="C181" s="219" t="str">
        <x:v>832fcdcc8cd7ebb9df2e169c8b9194011c37d138484da13fd5de05bd2657170d</x:v>
      </x:c>
    </x:row>
    <x:row r="182" ht="30" customHeight="1">
      <x:c r="A182" s="180" t="str">
        <x:v>LIB-09</x:v>
      </x:c>
      <x:c r="B182" s="180" t="str">
        <x:v>analyses/mated_i18/RESULTS.json</x:v>
      </x:c>
      <x:c r="C182" s="180" t="str">
        <x:v>7466a6278a904f43d085330b5b6057d7fa92c8d24156eb7ea875f35bc42044d2</x:v>
      </x:c>
    </x:row>
    <x:row r="183" ht="30" customHeight="1">
      <x:c r="A183" s="219" t="str">
        <x:v>LIB-10</x:v>
      </x:c>
      <x:c r="B183" s="219" t="str">
        <x:v>interfaces/HARNESS_INTERFACE_CONTRACT.json</x:v>
      </x:c>
      <x:c r="C183" s="219" t="str">
        <x:v>8de240d9bfbc5862fae2984984929e0c086bc37a255289129d312548cac3576a</x:v>
      </x:c>
    </x:row>
    <x:row r="184" ht="30" customHeight="1">
      <x:c r="A184" s="180" t="str">
        <x:v>LIB-10</x:v>
      </x:c>
      <x:c r="B184" s="180" t="str">
        <x:v>interfaces/HARNESS_CHECKS.json</x:v>
      </x:c>
      <x:c r="C184" s="180" t="str">
        <x:v>c45fcc060f1cc5d87d9056329c8eac1e7a893cbae583086c5f0d3f5b43a29c9d</x:v>
      </x:c>
    </x:row>
    <x:row r="185" ht="30" customHeight="1">
      <x:c r="A185" s="219" t="str">
        <x:v>LIB-10</x:v>
      </x:c>
      <x:c r="B185" s="219" t="str">
        <x:v>analyses/harness_wire/HARNESS_WIRE_DELTA.json</x:v>
      </x:c>
      <x:c r="C185" s="219" t="str">
        <x:v>709bdb5ea3ca0ba32fc78b0da3a1845b1d597fa82b4b3ce17c9ef2774798babe</x:v>
      </x:c>
    </x:row>
    <x:row r="186" ht="30" customHeight="1">
      <x:c r="A186" s="180" t="str">
        <x:v>LIB-10</x:v>
      </x:c>
      <x:c r="B186" s="180" t="str">
        <x:v>interfaces/MOLEX_A1_HARNESS_REDLINE.json</x:v>
      </x:c>
      <x:c r="C186" s="180" t="str">
        <x:v>f7e6567d47cb426e6a19a6356f6dd1feda53c481c27e1631f39d4fe28174f28e</x:v>
      </x:c>
    </x:row>
    <x:row r="187" ht="30" customHeight="1">
      <x:c r="A187" s="219" t="str">
        <x:v>LIB-10</x:v>
      </x:c>
      <x:c r="B187" s="219" t="str">
        <x:v>interfaces/SINGLE_RETURN_EFFECTIVITY.json</x:v>
      </x:c>
      <x:c r="C187" s="219" t="str">
        <x:v>6c7af28cea00c2a54f0765cf157f3b8630e9799cf9ee615f2210552134ffe640</x:v>
      </x:c>
    </x:row>
    <x:row r="188" ht="30" customHeight="1">
      <x:c r="A188" s="180" t="str">
        <x:v>LIB-10</x:v>
      </x:c>
      <x:c r="B188" s="180" t="str">
        <x:v>interfaces/FINAL_I06_HARNESS_BINDING.json</x:v>
      </x:c>
      <x:c r="C188" s="180" t="str">
        <x:v>ea1271a3927330045a38668bb5208bd4aace21b828afc3f535bb34593ec04458</x:v>
      </x:c>
    </x:row>
    <x:row r="189" ht="30" customHeight="1">
      <x:c r="A189" s="219" t="str">
        <x:v>LIB-10</x:v>
      </x:c>
      <x:c r="B189" s="219" t="str">
        <x:v>iterations/I06_harness_handoff/CANDIDATE_MANIFEST.json</x:v>
      </x:c>
      <x:c r="C189" s="219" t="str">
        <x:v>017aa6938b0cea4fcf5d02a0e28ba556e4a0c0485495f171a7d5aba15a703fc0</x:v>
      </x:c>
    </x:row>
    <x:row r="190" ht="30" customHeight="1">
      <x:c r="A190" s="180" t="str">
        <x:v>LIB-10</x:v>
      </x:c>
      <x:c r="B190" s="180" t="str">
        <x:v>iterations/I20_controlled_handoff/NATIVE_BINDING.json</x:v>
      </x:c>
      <x:c r="C190" s="180" t="str">
        <x:v>6f36235aab2349569f2cacf485912921762bc718e2a5fd5c4c72c2808ca2312b</x:v>
      </x:c>
    </x:row>
    <x:row r="191" ht="30" customHeight="1">
      <x:c r="A191" s="219" t="str">
        <x:v>LIB-10</x:v>
      </x:c>
      <x:c r="B191" s="219" t="str">
        <x:v>current/SOURCE_EFFECTIVITY.json</x:v>
      </x:c>
      <x:c r="C191" s="219" t="str">
        <x:v>832fcdcc8cd7ebb9df2e169c8b9194011c37d138484da13fd5de05bd2657170d</x:v>
      </x:c>
    </x:row>
    <x:row r="192" ht="30" customHeight="1">
      <x:c r="A192" s="180" t="str">
        <x:v>LIB-10</x:v>
      </x:c>
      <x:c r="B192" s="180" t="str">
        <x:v>analyses/mated_i18/RESULTS.json</x:v>
      </x:c>
      <x:c r="C192" s="180" t="str">
        <x:v>7466a6278a904f43d085330b5b6057d7fa92c8d24156eb7ea875f35bc42044d2</x:v>
      </x:c>
    </x:row>
    <x:row r="193" ht="30" customHeight="1">
      <x:c r="A193" s="219" t="str">
        <x:v>WCA-01</x:v>
      </x:c>
      <x:c r="B193" s="219" t="str">
        <x:v>lanes/power/FINAL_I04_POWER_EFFECTIVITY.json</x:v>
      </x:c>
      <x:c r="C193" s="219" t="str">
        <x:v>7614948f0477b3872c1893f2c8071300dad9a76bed2163a98c302fc2b08f0b26</x:v>
      </x:c>
    </x:row>
    <x:row r="194" ht="30" customHeight="1">
      <x:c r="A194" s="180" t="str">
        <x:v>WCA-01</x:v>
      </x:c>
      <x:c r="B194" s="180" t="str">
        <x:v>lanes/power/COUPLED_STARTUP_ENVELOPE.json</x:v>
      </x:c>
      <x:c r="C194" s="180" t="str">
        <x:v>61403b7c7bb855edead8e74923d7d7aa3520f67e6ed50fb9e00818ee7fad28b5</x:v>
      </x:c>
    </x:row>
    <x:row r="195" ht="30" customHeight="1">
      <x:c r="A195" s="219" t="str">
        <x:v>WCA-01</x:v>
      </x:c>
      <x:c r="B195" s="219" t="str">
        <x:v>lanes/power_limits/POWER_LIMITS_SUMMARY.json</x:v>
      </x:c>
      <x:c r="C195" s="219" t="str">
        <x:v>7dff1f6f253807926f9a5bfb7717bc18ea30e47607cb990bcc9025f7fd9007ef</x:v>
      </x:c>
    </x:row>
    <x:row r="196" ht="30" customHeight="1">
      <x:c r="A196" s="180" t="str">
        <x:v>WCA-01</x:v>
      </x:c>
      <x:c r="B196" s="180" t="str">
        <x:v>analyses/power_i19/SUMMARY.json</x:v>
      </x:c>
      <x:c r="C196" s="180" t="str">
        <x:v>7813e47c086c71862b56668128876a8d550e91d265f5250e1e6fea4ffc0f53c4</x:v>
      </x:c>
    </x:row>
    <x:row r="197" ht="30" customHeight="1">
      <x:c r="A197" s="219" t="str">
        <x:v>WCA-01</x:v>
      </x:c>
      <x:c r="B197" s="219" t="str">
        <x:v>analyses/power_i19/EXTREMA_CONFIRMATION.json</x:v>
      </x:c>
      <x:c r="C197" s="219" t="str">
        <x:v>258dd2055e22d55504b3eb86ea383e9b197d9a0e8ebe4cffcadde3f186c969f4</x:v>
      </x:c>
    </x:row>
    <x:row r="198" ht="30" customHeight="1">
      <x:c r="A198" s="180" t="str">
        <x:v>WCA-01</x:v>
      </x:c>
      <x:c r="B198" s="180" t="str">
        <x:v>analyses/thermal_i18/face_15.0/RESULTS.json</x:v>
      </x:c>
      <x:c r="C198" s="180" t="str">
        <x:v>16fdd49fe0c3a49d56b3db6a056d6bb87f7696816f4a0db9facd60c1f48fb141</x:v>
      </x:c>
    </x:row>
    <x:row r="199" ht="30" customHeight="1">
      <x:c r="A199" s="219" t="str">
        <x:v>WCA-02</x:v>
      </x:c>
      <x:c r="B199" s="219" t="str">
        <x:v>lanes/power/FINAL_I04_POWER_EFFECTIVITY.json</x:v>
      </x:c>
      <x:c r="C199" s="219" t="str">
        <x:v>7614948f0477b3872c1893f2c8071300dad9a76bed2163a98c302fc2b08f0b26</x:v>
      </x:c>
    </x:row>
    <x:row r="200" ht="30" customHeight="1">
      <x:c r="A200" s="180" t="str">
        <x:v>WCA-02</x:v>
      </x:c>
      <x:c r="B200" s="180" t="str">
        <x:v>lanes/power/COUPLED_STARTUP_ENVELOPE.json</x:v>
      </x:c>
      <x:c r="C200" s="180" t="str">
        <x:v>61403b7c7bb855edead8e74923d7d7aa3520f67e6ed50fb9e00818ee7fad28b5</x:v>
      </x:c>
    </x:row>
    <x:row r="201" ht="30" customHeight="1">
      <x:c r="A201" s="219" t="str">
        <x:v>WCA-02</x:v>
      </x:c>
      <x:c r="B201" s="219" t="str">
        <x:v>lanes/power_limits/POWER_LIMITS_SUMMARY.json</x:v>
      </x:c>
      <x:c r="C201" s="219" t="str">
        <x:v>7dff1f6f253807926f9a5bfb7717bc18ea30e47607cb990bcc9025f7fd9007ef</x:v>
      </x:c>
    </x:row>
    <x:row r="202" ht="30" customHeight="1">
      <x:c r="A202" s="180" t="str">
        <x:v>WCA-02</x:v>
      </x:c>
      <x:c r="B202" s="180" t="str">
        <x:v>analyses/power_i19/SUMMARY.json</x:v>
      </x:c>
      <x:c r="C202" s="180" t="str">
        <x:v>7813e47c086c71862b56668128876a8d550e91d265f5250e1e6fea4ffc0f53c4</x:v>
      </x:c>
    </x:row>
    <x:row r="203" ht="30" customHeight="1">
      <x:c r="A203" s="219" t="str">
        <x:v>WCA-02</x:v>
      </x:c>
      <x:c r="B203" s="219" t="str">
        <x:v>analyses/power_i19/EXTREMA_CONFIRMATION.json</x:v>
      </x:c>
      <x:c r="C203" s="219" t="str">
        <x:v>258dd2055e22d55504b3eb86ea383e9b197d9a0e8ebe4cffcadde3f186c969f4</x:v>
      </x:c>
    </x:row>
    <x:row r="204" ht="30" customHeight="1">
      <x:c r="A204" s="180" t="str">
        <x:v>WCA-02</x:v>
      </x:c>
      <x:c r="B204" s="180" t="str">
        <x:v>analyses/thermal_i18/face_15.0/RESULTS.json</x:v>
      </x:c>
      <x:c r="C204" s="180" t="str">
        <x:v>16fdd49fe0c3a49d56b3db6a056d6bb87f7696816f4a0db9facd60c1f48fb141</x:v>
      </x:c>
    </x:row>
    <x:row r="205" ht="30" customHeight="1">
      <x:c r="A205" s="219" t="str">
        <x:v>WCA-03</x:v>
      </x:c>
      <x:c r="B205" s="219" t="str">
        <x:v>lanes/power/FINAL_I04_POWER_EFFECTIVITY.json</x:v>
      </x:c>
      <x:c r="C205" s="219" t="str">
        <x:v>7614948f0477b3872c1893f2c8071300dad9a76bed2163a98c302fc2b08f0b26</x:v>
      </x:c>
    </x:row>
    <x:row r="206" ht="30" customHeight="1">
      <x:c r="A206" s="180" t="str">
        <x:v>WCA-03</x:v>
      </x:c>
      <x:c r="B206" s="180" t="str">
        <x:v>lanes/power/COUPLED_STARTUP_ENVELOPE.json</x:v>
      </x:c>
      <x:c r="C206" s="180" t="str">
        <x:v>61403b7c7bb855edead8e74923d7d7aa3520f67e6ed50fb9e00818ee7fad28b5</x:v>
      </x:c>
    </x:row>
    <x:row r="207" ht="30" customHeight="1">
      <x:c r="A207" s="219" t="str">
        <x:v>WCA-03</x:v>
      </x:c>
      <x:c r="B207" s="219" t="str">
        <x:v>lanes/power_limits/POWER_LIMITS_SUMMARY.json</x:v>
      </x:c>
      <x:c r="C207" s="219" t="str">
        <x:v>7dff1f6f253807926f9a5bfb7717bc18ea30e47607cb990bcc9025f7fd9007ef</x:v>
      </x:c>
    </x:row>
    <x:row r="208" ht="30" customHeight="1">
      <x:c r="A208" s="180" t="str">
        <x:v>WCA-03</x:v>
      </x:c>
      <x:c r="B208" s="180" t="str">
        <x:v>analyses/power_i19/SUMMARY.json</x:v>
      </x:c>
      <x:c r="C208" s="180" t="str">
        <x:v>7813e47c086c71862b56668128876a8d550e91d265f5250e1e6fea4ffc0f53c4</x:v>
      </x:c>
    </x:row>
    <x:row r="209" ht="30" customHeight="1">
      <x:c r="A209" s="219" t="str">
        <x:v>WCA-03</x:v>
      </x:c>
      <x:c r="B209" s="219" t="str">
        <x:v>analyses/power_i19/EXTREMA_CONFIRMATION.json</x:v>
      </x:c>
      <x:c r="C209" s="219" t="str">
        <x:v>258dd2055e22d55504b3eb86ea383e9b197d9a0e8ebe4cffcadde3f186c969f4</x:v>
      </x:c>
    </x:row>
    <x:row r="210" ht="30" customHeight="1">
      <x:c r="A210" s="180" t="str">
        <x:v>WCA-03</x:v>
      </x:c>
      <x:c r="B210" s="180" t="str">
        <x:v>analyses/thermal_i18/face_15.0/RESULTS.json</x:v>
      </x:c>
      <x:c r="C210" s="180" t="str">
        <x:v>16fdd49fe0c3a49d56b3db6a056d6bb87f7696816f4a0db9facd60c1f48fb141</x:v>
      </x:c>
    </x:row>
    <x:row r="211" ht="30" customHeight="1">
      <x:c r="A211" s="219" t="str">
        <x:v>WCA-04</x:v>
      </x:c>
      <x:c r="B211" s="219" t="str">
        <x:v>lanes/power/FINAL_I04_POWER_EFFECTIVITY.json</x:v>
      </x:c>
      <x:c r="C211" s="219" t="str">
        <x:v>7614948f0477b3872c1893f2c8071300dad9a76bed2163a98c302fc2b08f0b26</x:v>
      </x:c>
    </x:row>
    <x:row r="212" ht="30" customHeight="1">
      <x:c r="A212" s="180" t="str">
        <x:v>WCA-04</x:v>
      </x:c>
      <x:c r="B212" s="180" t="str">
        <x:v>lanes/power/COUPLED_STARTUP_ENVELOPE.json</x:v>
      </x:c>
      <x:c r="C212" s="180" t="str">
        <x:v>61403b7c7bb855edead8e74923d7d7aa3520f67e6ed50fb9e00818ee7fad28b5</x:v>
      </x:c>
    </x:row>
    <x:row r="213" ht="30" customHeight="1">
      <x:c r="A213" s="219" t="str">
        <x:v>WCA-04</x:v>
      </x:c>
      <x:c r="B213" s="219" t="str">
        <x:v>lanes/power_limits/POWER_LIMITS_SUMMARY.json</x:v>
      </x:c>
      <x:c r="C213" s="219" t="str">
        <x:v>7dff1f6f253807926f9a5bfb7717bc18ea30e47607cb990bcc9025f7fd9007ef</x:v>
      </x:c>
    </x:row>
    <x:row r="214" ht="30" customHeight="1">
      <x:c r="A214" s="180" t="str">
        <x:v>WCA-04</x:v>
      </x:c>
      <x:c r="B214" s="180" t="str">
        <x:v>analyses/power_i19/SUMMARY.json</x:v>
      </x:c>
      <x:c r="C214" s="180" t="str">
        <x:v>7813e47c086c71862b56668128876a8d550e91d265f5250e1e6fea4ffc0f53c4</x:v>
      </x:c>
    </x:row>
    <x:row r="215" ht="30" customHeight="1">
      <x:c r="A215" s="219" t="str">
        <x:v>WCA-04</x:v>
      </x:c>
      <x:c r="B215" s="219" t="str">
        <x:v>analyses/power_i19/EXTREMA_CONFIRMATION.json</x:v>
      </x:c>
      <x:c r="C215" s="219" t="str">
        <x:v>258dd2055e22d55504b3eb86ea383e9b197d9a0e8ebe4cffcadde3f186c969f4</x:v>
      </x:c>
    </x:row>
    <x:row r="216" ht="30" customHeight="1">
      <x:c r="A216" s="180" t="str">
        <x:v>WCA-04</x:v>
      </x:c>
      <x:c r="B216" s="180" t="str">
        <x:v>analyses/thermal_i18/face_15.0/RESULTS.json</x:v>
      </x:c>
      <x:c r="C216" s="180" t="str">
        <x:v>16fdd49fe0c3a49d56b3db6a056d6bb87f7696816f4a0db9facd60c1f48fb141</x:v>
      </x:c>
    </x:row>
    <x:row r="217" ht="30" customHeight="1">
      <x:c r="A217" s="219" t="str">
        <x:v>WCA-05</x:v>
      </x:c>
      <x:c r="B217" s="219" t="str">
        <x:v>lanes/firmware_oil/RECOVERED_FIRMWARE_TEST_RESULTS.json</x:v>
      </x:c>
      <x:c r="C217" s="219" t="str">
        <x:v>c4c5df66ff54cba721fe8808062019f824df6e0b0c4869e78fd30626121dc725</x:v>
      </x:c>
    </x:row>
    <x:row r="218" ht="30" customHeight="1">
      <x:c r="A218" s="180" t="str">
        <x:v>WCA-05</x:v>
      </x:c>
      <x:c r="B218" s="180" t="str">
        <x:v>lanes/firmware_oil/RECOVERY_CALIBRATION_GAIN_REDLINE.json</x:v>
      </x:c>
      <x:c r="C218" s="180" t="str">
        <x:v>4156482b336bece382dae6dcf618b2f7a5c26456dc57aaa1b574e169bd04cd9c</x:v>
      </x:c>
    </x:row>
    <x:row r="219" ht="30" customHeight="1">
      <x:c r="A219" s="219" t="str">
        <x:v>WCA-05</x:v>
      </x:c>
      <x:c r="B219" s="219" t="str">
        <x:v>interfaces/OIL_HARNESS_ERROR_SWEEP.json</x:v>
      </x:c>
      <x:c r="C219" s="219" t="str">
        <x:v>1a0e3bbbfeb53fae48b38ab52575d6644f48d7ef4b534dd262f89c9cde0aa6a1</x:v>
      </x:c>
    </x:row>
    <x:row r="220" ht="30" customHeight="1">
      <x:c r="A220" s="180" t="str">
        <x:v>WCA-05</x:v>
      </x:c>
      <x:c r="B220" s="180" t="str">
        <x:v>analyses/power_i19/SUMMARY.json</x:v>
      </x:c>
      <x:c r="C220" s="180" t="str">
        <x:v>7813e47c086c71862b56668128876a8d550e91d265f5250e1e6fea4ffc0f53c4</x:v>
      </x:c>
    </x:row>
    <x:row r="221" ht="30" customHeight="1">
      <x:c r="A221" s="219" t="str">
        <x:v>WCA-05</x:v>
      </x:c>
      <x:c r="B221" s="219" t="str">
        <x:v>analyses/power_i19/EXTREMA_CONFIRMATION.json</x:v>
      </x:c>
      <x:c r="C221" s="219" t="str">
        <x:v>258dd2055e22d55504b3eb86ea383e9b197d9a0e8ebe4cffcadde3f186c969f4</x:v>
      </x:c>
    </x:row>
    <x:row r="222" ht="30" customHeight="1">
      <x:c r="A222" s="180" t="str">
        <x:v>WCA-05</x:v>
      </x:c>
      <x:c r="B222" s="180" t="str">
        <x:v>analyses/thermal_i18/face_15.0/RESULTS.json</x:v>
      </x:c>
      <x:c r="C222" s="180" t="str">
        <x:v>16fdd49fe0c3a49d56b3db6a056d6bb87f7696816f4a0db9facd60c1f48fb141</x:v>
      </x:c>
    </x:row>
    <x:row r="223" ht="30" customHeight="1">
      <x:c r="A223" s="219" t="str">
        <x:v>WCA-06</x:v>
      </x:c>
      <x:c r="B223" s="219" t="str">
        <x:v>lanes/firmware_oil/RECOVERED_FIRMWARE_TEST_RESULTS.json</x:v>
      </x:c>
      <x:c r="C223" s="219" t="str">
        <x:v>c4c5df66ff54cba721fe8808062019f824df6e0b0c4869e78fd30626121dc725</x:v>
      </x:c>
    </x:row>
    <x:row r="224" ht="30" customHeight="1">
      <x:c r="A224" s="180" t="str">
        <x:v>WCA-06</x:v>
      </x:c>
      <x:c r="B224" s="180" t="str">
        <x:v>lanes/firmware_oil/RECOVERY_CALIBRATION_GAIN_REDLINE.json</x:v>
      </x:c>
      <x:c r="C224" s="180" t="str">
        <x:v>4156482b336bece382dae6dcf618b2f7a5c26456dc57aaa1b574e169bd04cd9c</x:v>
      </x:c>
    </x:row>
    <x:row r="225" ht="30" customHeight="1">
      <x:c r="A225" s="219" t="str">
        <x:v>WCA-06</x:v>
      </x:c>
      <x:c r="B225" s="219" t="str">
        <x:v>interfaces/OIL_HARNESS_ERROR_SWEEP.json</x:v>
      </x:c>
      <x:c r="C225" s="219" t="str">
        <x:v>1a0e3bbbfeb53fae48b38ab52575d6644f48d7ef4b534dd262f89c9cde0aa6a1</x:v>
      </x:c>
    </x:row>
    <x:row r="226" ht="30" customHeight="1">
      <x:c r="A226" s="180" t="str">
        <x:v>WCA-06</x:v>
      </x:c>
      <x:c r="B226" s="180" t="str">
        <x:v>analyses/power_i19/SUMMARY.json</x:v>
      </x:c>
      <x:c r="C226" s="180" t="str">
        <x:v>7813e47c086c71862b56668128876a8d550e91d265f5250e1e6fea4ffc0f53c4</x:v>
      </x:c>
    </x:row>
    <x:row r="227" ht="30" customHeight="1">
      <x:c r="A227" s="219" t="str">
        <x:v>WCA-06</x:v>
      </x:c>
      <x:c r="B227" s="219" t="str">
        <x:v>analyses/power_i19/EXTREMA_CONFIRMATION.json</x:v>
      </x:c>
      <x:c r="C227" s="219" t="str">
        <x:v>258dd2055e22d55504b3eb86ea383e9b197d9a0e8ebe4cffcadde3f186c969f4</x:v>
      </x:c>
    </x:row>
    <x:row r="228" ht="30" customHeight="1">
      <x:c r="A228" s="180" t="str">
        <x:v>WCA-06</x:v>
      </x:c>
      <x:c r="B228" s="180" t="str">
        <x:v>analyses/thermal_i18/face_15.0/RESULTS.json</x:v>
      </x:c>
      <x:c r="C228" s="180" t="str">
        <x:v>16fdd49fe0c3a49d56b3db6a056d6bb87f7696816f4a0db9facd60c1f48fb141</x:v>
      </x:c>
    </x:row>
    <x:row r="229" ht="30" customHeight="1">
      <x:c r="A229" s="219" t="str">
        <x:v>WCA-07</x:v>
      </x:c>
      <x:c r="B229" s="219" t="str">
        <x:v>analyses/power_i19/SUMMARY.json</x:v>
      </x:c>
      <x:c r="C229" s="219" t="str">
        <x:v>7813e47c086c71862b56668128876a8d550e91d265f5250e1e6fea4ffc0f53c4</x:v>
      </x:c>
    </x:row>
    <x:row r="230" ht="30" customHeight="1">
      <x:c r="A230" s="180" t="str">
        <x:v>WCA-07</x:v>
      </x:c>
      <x:c r="B230" s="180" t="str">
        <x:v>analyses/power_i19/EXTREMA_CONFIRMATION.json</x:v>
      </x:c>
      <x:c r="C230" s="180" t="str">
        <x:v>258dd2055e22d55504b3eb86ea383e9b197d9a0e8ebe4cffcadde3f186c969f4</x:v>
      </x:c>
    </x:row>
    <x:row r="231" ht="30" customHeight="1">
      <x:c r="A231" s="219" t="str">
        <x:v>WCA-07</x:v>
      </x:c>
      <x:c r="B231" s="219" t="str">
        <x:v>analyses/thermal_i18/face_15.0/RESULTS.json</x:v>
      </x:c>
      <x:c r="C231" s="219" t="str">
        <x:v>16fdd49fe0c3a49d56b3db6a056d6bb87f7696816f4a0db9facd60c1f48fb141</x:v>
      </x:c>
    </x:row>
    <x:row r="232" ht="30" customHeight="1">
      <x:c r="A232" s="180" t="str">
        <x:v>WCA-08</x:v>
      </x:c>
      <x:c r="B232" s="180" t="str">
        <x:v>lanes/power/POWER_GEOMETRY_REPORT.json</x:v>
      </x:c>
      <x:c r="C232" s="180" t="str">
        <x:v>4824326717a99e771f8d8e045d4bb59d44e8be5bd0e5ae8b6d2c2d3a16e44fe8</x:v>
      </x:c>
    </x:row>
    <x:row r="233" ht="30" customHeight="1">
      <x:c r="A233" s="219" t="str">
        <x:v>WCA-08</x:v>
      </x:c>
      <x:c r="B233" s="219" t="str">
        <x:v>lanes/power/COUPLED_STARTUP_ENVELOPE.json</x:v>
      </x:c>
      <x:c r="C233" s="219" t="str">
        <x:v>61403b7c7bb855edead8e74923d7d7aa3520f67e6ed50fb9e00818ee7fad28b5</x:v>
      </x:c>
    </x:row>
    <x:row r="234" ht="30" customHeight="1">
      <x:c r="A234" s="180" t="str">
        <x:v>WCA-08</x:v>
      </x:c>
      <x:c r="B234" s="180" t="str">
        <x:v>lanes/power_limits/POWER_LIMITS_SUMMARY.json</x:v>
      </x:c>
      <x:c r="C234" s="180" t="str">
        <x:v>7dff1f6f253807926f9a5bfb7717bc18ea30e47607cb990bcc9025f7fd9007ef</x:v>
      </x:c>
    </x:row>
    <x:row r="235" ht="30" customHeight="1">
      <x:c r="A235" s="219" t="str">
        <x:v>WCA-08</x:v>
      </x:c>
      <x:c r="B235" s="219" t="str">
        <x:v>lanes/power/FINAL_I04_POWER_EFFECTIVITY.json</x:v>
      </x:c>
      <x:c r="C235" s="219" t="str">
        <x:v>7614948f0477b3872c1893f2c8071300dad9a76bed2163a98c302fc2b08f0b26</x:v>
      </x:c>
    </x:row>
    <x:row r="236" ht="30" customHeight="1">
      <x:c r="A236" s="180" t="str">
        <x:v>WCA-08</x:v>
      </x:c>
      <x:c r="B236" s="180" t="str">
        <x:v>analyses/power_i19/SUMMARY.json</x:v>
      </x:c>
      <x:c r="C236" s="180" t="str">
        <x:v>7813e47c086c71862b56668128876a8d550e91d265f5250e1e6fea4ffc0f53c4</x:v>
      </x:c>
    </x:row>
    <x:row r="237" ht="30" customHeight="1">
      <x:c r="A237" s="219" t="str">
        <x:v>WCA-08</x:v>
      </x:c>
      <x:c r="B237" s="219" t="str">
        <x:v>analyses/power_i19/EXTREMA_CONFIRMATION.json</x:v>
      </x:c>
      <x:c r="C237" s="219" t="str">
        <x:v>258dd2055e22d55504b3eb86ea383e9b197d9a0e8ebe4cffcadde3f186c969f4</x:v>
      </x:c>
    </x:row>
    <x:row r="238" ht="30" customHeight="1">
      <x:c r="A238" s="180" t="str">
        <x:v>WCA-08</x:v>
      </x:c>
      <x:c r="B238" s="180" t="str">
        <x:v>analyses/thermal_i18/face_15.0/RESULTS.json</x:v>
      </x:c>
      <x:c r="C238" s="180" t="str">
        <x:v>16fdd49fe0c3a49d56b3db6a056d6bb87f7696816f4a0db9facd60c1f48fb141</x:v>
      </x:c>
    </x:row>
    <x:row r="239" ht="30" customHeight="1">
      <x:c r="A239" s="219" t="str">
        <x:v>WCA-09</x:v>
      </x:c>
      <x:c r="B239" s="219" t="str">
        <x:v>control/EXECUTION_PLAN_CURRENT.md</x:v>
      </x:c>
      <x:c r="C239" s="219" t="str">
        <x:v>edc0e7ee94cff207a335a60e17313a1a0cea587253a54240e59425a2e7095856</x:v>
      </x:c>
    </x:row>
    <x:row r="240" ht="30" customHeight="1">
      <x:c r="A240" s="180" t="str">
        <x:v>WCA-09</x:v>
      </x:c>
      <x:c r="B240" s="180" t="str">
        <x:v>control/RECOVERY_LEDGER.md</x:v>
      </x:c>
      <x:c r="C240" s="180" t="str">
        <x:v>8ebd3401682084e4888c14457ab57035a64bf11b7bbf378d7c1549510a25f102</x:v>
      </x:c>
    </x:row>
    <x:row r="241" ht="30" customHeight="1">
      <x:c r="A241" s="219" t="str">
        <x:v>WCA-09</x:v>
      </x:c>
      <x:c r="B241" s="219" t="str">
        <x:v>control/DESKTOP_ACTION_DISPOSITIONS_CURRENT.json</x:v>
      </x:c>
      <x:c r="C241" s="219" t="str">
        <x:v>48ee6985a9aae811c11a83179a8aa3393aee2286b4bb066e40ce5cdde693c982</x:v>
      </x:c>
    </x:row>
    <x:row r="242" ht="30" customHeight="1">
      <x:c r="A242" s="180" t="str">
        <x:v>WCA-09</x:v>
      </x:c>
      <x:c r="B242" s="180" t="str">
        <x:v>iterations/I06_harness_handoff/CANDIDATE_MANIFEST.json</x:v>
      </x:c>
      <x:c r="C242" s="180" t="str">
        <x:v>017aa6938b0cea4fcf5d02a0e28ba556e4a0c0485495f171a7d5aba15a703fc0</x:v>
      </x:c>
    </x:row>
    <x:row r="243" ht="30" customHeight="1">
      <x:c r="A243" s="219" t="str">
        <x:v>WCA-09</x:v>
      </x:c>
      <x:c r="B243" s="219" t="str">
        <x:v>control/FINAL_GATES.json</x:v>
      </x:c>
      <x:c r="C243" s="219" t="str">
        <x:v>b04e670a88f36a01c1c0182933555cfc2fba151953cd6020cd6ec4a8204d6f79</x:v>
      </x:c>
    </x:row>
    <x:row r="244" ht="30" customHeight="1">
      <x:c r="A244" s="180" t="str">
        <x:v>WCA-09</x:v>
      </x:c>
      <x:c r="B244" s="180" t="str">
        <x:v>analyses/power_i19/SUMMARY.json</x:v>
      </x:c>
      <x:c r="C244" s="180" t="str">
        <x:v>7813e47c086c71862b56668128876a8d550e91d265f5250e1e6fea4ffc0f53c4</x:v>
      </x:c>
    </x:row>
    <x:row r="245" ht="30" customHeight="1">
      <x:c r="A245" s="219" t="str">
        <x:v>WCA-09</x:v>
      </x:c>
      <x:c r="B245" s="219" t="str">
        <x:v>analyses/power_i19/EXTREMA_CONFIRMATION.json</x:v>
      </x:c>
      <x:c r="C245" s="219" t="str">
        <x:v>258dd2055e22d55504b3eb86ea383e9b197d9a0e8ebe4cffcadde3f186c969f4</x:v>
      </x:c>
    </x:row>
    <x:row r="246" ht="30" customHeight="1">
      <x:c r="A246" s="180" t="str">
        <x:v>WCA-09</x:v>
      </x:c>
      <x:c r="B246" s="180" t="str">
        <x:v>analyses/thermal_i18/face_15.0/RESULTS.json</x:v>
      </x:c>
      <x:c r="C246" s="180" t="str">
        <x:v>16fdd49fe0c3a49d56b3db6a056d6bb87f7696816f4a0db9facd60c1f48fb141</x:v>
      </x:c>
    </x:row>
    <x:row r="247" ht="30" customHeight="1">
      <x:c r="A247" s="219" t="str">
        <x:v>WCA-10</x:v>
      </x:c>
      <x:c r="B247" s="219" t="str">
        <x:v>analyses/assembly_handling/EXACT_MPN_HANDLING_REGISTER.json</x:v>
      </x:c>
      <x:c r="C247" s="219" t="str">
        <x:v>8b75ad02a30de0d34ab9ac955fc38228d618ae520889c8d6955a7b978bdd9e06</x:v>
      </x:c>
    </x:row>
    <x:row r="248" ht="30" customHeight="1">
      <x:c r="A248" s="180" t="str">
        <x:v>WCA-10</x:v>
      </x:c>
      <x:c r="B248" s="180" t="str">
        <x:v>analyses/assembly_handling/PROCESS_RECONCILIATION.md</x:v>
      </x:c>
      <x:c r="C248" s="180" t="str">
        <x:v>238614f0abeea7b3234c431093d78679c59a5ae4b5b9b15c55e0d39de7561305</x:v>
      </x:c>
    </x:row>
    <x:row r="249" ht="30" customHeight="1">
      <x:c r="A249" s="219" t="str">
        <x:v>WCA-10</x:v>
      </x:c>
      <x:c r="B249" s="219" t="str">
        <x:v>lanes/mechanics/ASSEMBLY_PROCESS_RVB22.md</x:v>
      </x:c>
      <x:c r="C249" s="219" t="str">
        <x:v>e9f510a20e18d6d8a2cf6b264640d7c7aec0445b876b6c7b2a70f247197d20e7</x:v>
      </x:c>
    </x:row>
    <x:row r="250" ht="30" customHeight="1">
      <x:c r="A250" s="180" t="str">
        <x:v>WCA-10</x:v>
      </x:c>
      <x:c r="B250" s="180" t="str">
        <x:v>analyses/power_i19/SUMMARY.json</x:v>
      </x:c>
      <x:c r="C250" s="180" t="str">
        <x:v>7813e47c086c71862b56668128876a8d550e91d265f5250e1e6fea4ffc0f53c4</x:v>
      </x:c>
    </x:row>
    <x:row r="251" ht="30" customHeight="1">
      <x:c r="A251" s="219" t="str">
        <x:v>WCA-10</x:v>
      </x:c>
      <x:c r="B251" s="219" t="str">
        <x:v>analyses/power_i19/EXTREMA_CONFIRMATION.json</x:v>
      </x:c>
      <x:c r="C251" s="219" t="str">
        <x:v>258dd2055e22d55504b3eb86ea383e9b197d9a0e8ebe4cffcadde3f186c969f4</x:v>
      </x:c>
    </x:row>
    <x:row r="252" ht="30" customHeight="1">
      <x:c r="A252" s="180" t="str">
        <x:v>WCA-10</x:v>
      </x:c>
      <x:c r="B252" s="180" t="str">
        <x:v>analyses/thermal_i18/face_15.0/RESULTS.json</x:v>
      </x:c>
      <x:c r="C252" s="180" t="str">
        <x:v>16fdd49fe0c3a49d56b3db6a056d6bb87f7696816f4a0db9facd60c1f48fb141</x:v>
      </x:c>
    </x:row>
    <x:row r="253" ht="30" customHeight="1">
      <x:c r="A253" s="219" t="str">
        <x:v>PWR-01</x:v>
      </x:c>
      <x:c r="B253" s="219" t="str">
        <x:v>lanes/power/FINAL_I04_POWER_EFFECTIVITY.json</x:v>
      </x:c>
      <x:c r="C253" s="219" t="str">
        <x:v>7614948f0477b3872c1893f2c8071300dad9a76bed2163a98c302fc2b08f0b26</x:v>
      </x:c>
    </x:row>
    <x:row r="254" ht="30" customHeight="1">
      <x:c r="A254" s="180" t="str">
        <x:v>PWR-01</x:v>
      </x:c>
      <x:c r="B254" s="180" t="str">
        <x:v>lanes/power/COUPLED_STARTUP_ENVELOPE.json</x:v>
      </x:c>
      <x:c r="C254" s="180" t="str">
        <x:v>61403b7c7bb855edead8e74923d7d7aa3520f67e6ed50fb9e00818ee7fad28b5</x:v>
      </x:c>
    </x:row>
    <x:row r="255" ht="30" customHeight="1">
      <x:c r="A255" s="219" t="str">
        <x:v>PWR-01</x:v>
      </x:c>
      <x:c r="B255" s="219" t="str">
        <x:v>lanes/power_limits/POWER_LIMITS_SUMMARY.json</x:v>
      </x:c>
      <x:c r="C255" s="219" t="str">
        <x:v>7dff1f6f253807926f9a5bfb7717bc18ea30e47607cb990bcc9025f7fd9007ef</x:v>
      </x:c>
    </x:row>
    <x:row r="256" ht="30" customHeight="1">
      <x:c r="A256" s="180" t="str">
        <x:v>PWR-01</x:v>
      </x:c>
      <x:c r="B256" s="180" t="str">
        <x:v>analyses/power_i19/SUMMARY.json</x:v>
      </x:c>
      <x:c r="C256" s="180" t="str">
        <x:v>7813e47c086c71862b56668128876a8d550e91d265f5250e1e6fea4ffc0f53c4</x:v>
      </x:c>
    </x:row>
    <x:row r="257" ht="30" customHeight="1">
      <x:c r="A257" s="219" t="str">
        <x:v>PWR-01</x:v>
      </x:c>
      <x:c r="B257" s="219" t="str">
        <x:v>analyses/power_i19/EXTREMA_CONFIRMATION.json</x:v>
      </x:c>
      <x:c r="C257" s="219" t="str">
        <x:v>258dd2055e22d55504b3eb86ea383e9b197d9a0e8ebe4cffcadde3f186c969f4</x:v>
      </x:c>
    </x:row>
    <x:row r="258" ht="30" customHeight="1">
      <x:c r="A258" s="180" t="str">
        <x:v>PWR-02</x:v>
      </x:c>
      <x:c r="B258" s="180" t="str">
        <x:v>lanes/power/FINAL_I04_POWER_EFFECTIVITY.json</x:v>
      </x:c>
      <x:c r="C258" s="180" t="str">
        <x:v>7614948f0477b3872c1893f2c8071300dad9a76bed2163a98c302fc2b08f0b26</x:v>
      </x:c>
    </x:row>
    <x:row r="259" ht="30" customHeight="1">
      <x:c r="A259" s="219" t="str">
        <x:v>PWR-02</x:v>
      </x:c>
      <x:c r="B259" s="219" t="str">
        <x:v>lanes/power/COUPLED_STARTUP_ENVELOPE.json</x:v>
      </x:c>
      <x:c r="C259" s="219" t="str">
        <x:v>61403b7c7bb855edead8e74923d7d7aa3520f67e6ed50fb9e00818ee7fad28b5</x:v>
      </x:c>
    </x:row>
    <x:row r="260" ht="30" customHeight="1">
      <x:c r="A260" s="180" t="str">
        <x:v>PWR-02</x:v>
      </x:c>
      <x:c r="B260" s="180" t="str">
        <x:v>lanes/power_limits/POWER_LIMITS_SUMMARY.json</x:v>
      </x:c>
      <x:c r="C260" s="180" t="str">
        <x:v>7dff1f6f253807926f9a5bfb7717bc18ea30e47607cb990bcc9025f7fd9007ef</x:v>
      </x:c>
    </x:row>
    <x:row r="261" ht="30" customHeight="1">
      <x:c r="A261" s="219" t="str">
        <x:v>PWR-02</x:v>
      </x:c>
      <x:c r="B261" s="219" t="str">
        <x:v>analyses/power_i19/SUMMARY.json</x:v>
      </x:c>
      <x:c r="C261" s="219" t="str">
        <x:v>7813e47c086c71862b56668128876a8d550e91d265f5250e1e6fea4ffc0f53c4</x:v>
      </x:c>
    </x:row>
    <x:row r="262" ht="30" customHeight="1">
      <x:c r="A262" s="180" t="str">
        <x:v>PWR-02</x:v>
      </x:c>
      <x:c r="B262" s="180" t="str">
        <x:v>analyses/power_i19/EXTREMA_CONFIRMATION.json</x:v>
      </x:c>
      <x:c r="C262" s="180" t="str">
        <x:v>258dd2055e22d55504b3eb86ea383e9b197d9a0e8ebe4cffcadde3f186c969f4</x:v>
      </x:c>
    </x:row>
    <x:row r="263" ht="30" customHeight="1">
      <x:c r="A263" s="219" t="str">
        <x:v>PWR-03</x:v>
      </x:c>
      <x:c r="B263" s="219" t="str">
        <x:v>lanes/power/FINAL_I04_POWER_EFFECTIVITY.json</x:v>
      </x:c>
      <x:c r="C263" s="219" t="str">
        <x:v>7614948f0477b3872c1893f2c8071300dad9a76bed2163a98c302fc2b08f0b26</x:v>
      </x:c>
    </x:row>
    <x:row r="264" ht="30" customHeight="1">
      <x:c r="A264" s="180" t="str">
        <x:v>PWR-03</x:v>
      </x:c>
      <x:c r="B264" s="180" t="str">
        <x:v>lanes/power/COUPLED_STARTUP_ENVELOPE.json</x:v>
      </x:c>
      <x:c r="C264" s="180" t="str">
        <x:v>61403b7c7bb855edead8e74923d7d7aa3520f67e6ed50fb9e00818ee7fad28b5</x:v>
      </x:c>
    </x:row>
    <x:row r="265" ht="30" customHeight="1">
      <x:c r="A265" s="219" t="str">
        <x:v>PWR-03</x:v>
      </x:c>
      <x:c r="B265" s="219" t="str">
        <x:v>lanes/power_limits/POWER_LIMITS_SUMMARY.json</x:v>
      </x:c>
      <x:c r="C265" s="219" t="str">
        <x:v>7dff1f6f253807926f9a5bfb7717bc18ea30e47607cb990bcc9025f7fd9007ef</x:v>
      </x:c>
    </x:row>
    <x:row r="266" ht="30" customHeight="1">
      <x:c r="A266" s="180" t="str">
        <x:v>PWR-03</x:v>
      </x:c>
      <x:c r="B266" s="180" t="str">
        <x:v>analyses/power_i19/SUMMARY.json</x:v>
      </x:c>
      <x:c r="C266" s="180" t="str">
        <x:v>7813e47c086c71862b56668128876a8d550e91d265f5250e1e6fea4ffc0f53c4</x:v>
      </x:c>
    </x:row>
    <x:row r="267" ht="30" customHeight="1">
      <x:c r="A267" s="219" t="str">
        <x:v>PWR-03</x:v>
      </x:c>
      <x:c r="B267" s="219" t="str">
        <x:v>analyses/power_i19/EXTREMA_CONFIRMATION.json</x:v>
      </x:c>
      <x:c r="C267" s="219" t="str">
        <x:v>258dd2055e22d55504b3eb86ea383e9b197d9a0e8ebe4cffcadde3f186c969f4</x:v>
      </x:c>
    </x:row>
    <x:row r="268" ht="30" customHeight="1">
      <x:c r="A268" s="180" t="str">
        <x:v>PWR-04</x:v>
      </x:c>
      <x:c r="B268" s="180" t="str">
        <x:v>lanes/power/FINAL_I04_POWER_EFFECTIVITY.json</x:v>
      </x:c>
      <x:c r="C268" s="180" t="str">
        <x:v>7614948f0477b3872c1893f2c8071300dad9a76bed2163a98c302fc2b08f0b26</x:v>
      </x:c>
    </x:row>
    <x:row r="269" ht="30" customHeight="1">
      <x:c r="A269" s="219" t="str">
        <x:v>PWR-04</x:v>
      </x:c>
      <x:c r="B269" s="219" t="str">
        <x:v>lanes/power/COUPLED_STARTUP_ENVELOPE.json</x:v>
      </x:c>
      <x:c r="C269" s="219" t="str">
        <x:v>61403b7c7bb855edead8e74923d7d7aa3520f67e6ed50fb9e00818ee7fad28b5</x:v>
      </x:c>
    </x:row>
    <x:row r="270" ht="30" customHeight="1">
      <x:c r="A270" s="180" t="str">
        <x:v>PWR-04</x:v>
      </x:c>
      <x:c r="B270" s="180" t="str">
        <x:v>lanes/power_limits/POWER_LIMITS_SUMMARY.json</x:v>
      </x:c>
      <x:c r="C270" s="180" t="str">
        <x:v>7dff1f6f253807926f9a5bfb7717bc18ea30e47607cb990bcc9025f7fd9007ef</x:v>
      </x:c>
    </x:row>
    <x:row r="271" ht="30" customHeight="1">
      <x:c r="A271" s="219" t="str">
        <x:v>PWR-04</x:v>
      </x:c>
      <x:c r="B271" s="219" t="str">
        <x:v>analyses/power_i19/SUMMARY.json</x:v>
      </x:c>
      <x:c r="C271" s="219" t="str">
        <x:v>7813e47c086c71862b56668128876a8d550e91d265f5250e1e6fea4ffc0f53c4</x:v>
      </x:c>
    </x:row>
    <x:row r="272" ht="30" customHeight="1">
      <x:c r="A272" s="180" t="str">
        <x:v>PWR-04</x:v>
      </x:c>
      <x:c r="B272" s="180" t="str">
        <x:v>analyses/power_i19/EXTREMA_CONFIRMATION.json</x:v>
      </x:c>
      <x:c r="C272" s="180" t="str">
        <x:v>258dd2055e22d55504b3eb86ea383e9b197d9a0e8ebe4cffcadde3f186c969f4</x:v>
      </x:c>
    </x:row>
    <x:row r="273" ht="30" customHeight="1">
      <x:c r="A273" s="219" t="str">
        <x:v>PWR-05</x:v>
      </x:c>
      <x:c r="B273" s="219" t="str">
        <x:v>analyses/lost_ground/LOST_GROUND_RESULTS_RECONSTRUCTED.json</x:v>
      </x:c>
      <x:c r="C273" s="219" t="str">
        <x:v>6ec9e99b4e2287669bd61062f5f19192e51c8c3a6296adf6456426cd3586e7c8</x:v>
      </x:c>
    </x:row>
    <x:row r="274" ht="30" customHeight="1">
      <x:c r="A274" s="180" t="str">
        <x:v>PWR-05</x:v>
      </x:c>
      <x:c r="B274" s="180" t="str">
        <x:v>interfaces/LOST_GROUND_FINITE_DC_SCREEN.json</x:v>
      </x:c>
      <x:c r="C274" s="180" t="str">
        <x:v>3919193bd4f1eec855eaf45dbf6fdd55673073c59c38a3f9e77aee07dd8cd906</x:v>
      </x:c>
    </x:row>
    <x:row r="275" ht="30" customHeight="1">
      <x:c r="A275" s="219" t="str">
        <x:v>PWR-05</x:v>
      </x:c>
      <x:c r="B275" s="219" t="str">
        <x:v>interfaces/HARNESS_INTERFACE_CONTRACT.json</x:v>
      </x:c>
      <x:c r="C275" s="219" t="str">
        <x:v>8de240d9bfbc5862fae2984984929e0c086bc37a255289129d312548cac3576a</x:v>
      </x:c>
    </x:row>
    <x:row r="276" ht="30" customHeight="1">
      <x:c r="A276" s="180" t="str">
        <x:v>PWR-05</x:v>
      </x:c>
      <x:c r="B276" s="180" t="str">
        <x:v>interfaces/SINGLE_RETURN_EFFECTIVITY.json</x:v>
      </x:c>
      <x:c r="C276" s="180" t="str">
        <x:v>6c7af28cea00c2a54f0765cf157f3b8630e9799cf9ee615f2210552134ffe640</x:v>
      </x:c>
    </x:row>
    <x:row r="277" ht="30" customHeight="1">
      <x:c r="A277" s="219" t="str">
        <x:v>PWR-05</x:v>
      </x:c>
      <x:c r="B277" s="219" t="str">
        <x:v>analyses/power_i19/SUMMARY.json</x:v>
      </x:c>
      <x:c r="C277" s="219" t="str">
        <x:v>7813e47c086c71862b56668128876a8d550e91d265f5250e1e6fea4ffc0f53c4</x:v>
      </x:c>
    </x:row>
    <x:row r="278" ht="30" customHeight="1">
      <x:c r="A278" s="180" t="str">
        <x:v>PWR-05</x:v>
      </x:c>
      <x:c r="B278" s="180" t="str">
        <x:v>analyses/power_i19/EXTREMA_CONFIRMATION.json</x:v>
      </x:c>
      <x:c r="C278" s="180" t="str">
        <x:v>258dd2055e22d55504b3eb86ea383e9b197d9a0e8ebe4cffcadde3f186c969f4</x:v>
      </x:c>
    </x:row>
    <x:row r="279" ht="30" customHeight="1">
      <x:c r="A279" s="219" t="str">
        <x:v>PWR-06</x:v>
      </x:c>
      <x:c r="B279" s="219" t="str">
        <x:v>interfaces/HARNESS_INTERFACE_CONTRACT.json</x:v>
      </x:c>
      <x:c r="C279" s="219" t="str">
        <x:v>8de240d9bfbc5862fae2984984929e0c086bc37a255289129d312548cac3576a</x:v>
      </x:c>
    </x:row>
    <x:row r="280" ht="30" customHeight="1">
      <x:c r="A280" s="180" t="str">
        <x:v>PWR-06</x:v>
      </x:c>
      <x:c r="B280" s="180" t="str">
        <x:v>interfaces/HARNESS_CHECKS.json</x:v>
      </x:c>
      <x:c r="C280" s="180" t="str">
        <x:v>c45fcc060f1cc5d87d9056329c8eac1e7a893cbae583086c5f0d3f5b43a29c9d</x:v>
      </x:c>
    </x:row>
    <x:row r="281" ht="30" customHeight="1">
      <x:c r="A281" s="219" t="str">
        <x:v>PWR-06</x:v>
      </x:c>
      <x:c r="B281" s="219" t="str">
        <x:v>analyses/harness_wire/HARNESS_WIRE_DELTA.json</x:v>
      </x:c>
      <x:c r="C281" s="219" t="str">
        <x:v>709bdb5ea3ca0ba32fc78b0da3a1845b1d597fa82b4b3ce17c9ef2774798babe</x:v>
      </x:c>
    </x:row>
    <x:row r="282" ht="30" customHeight="1">
      <x:c r="A282" s="180" t="str">
        <x:v>PWR-06</x:v>
      </x:c>
      <x:c r="B282" s="180" t="str">
        <x:v>analyses/power_i19/SUMMARY.json</x:v>
      </x:c>
      <x:c r="C282" s="180" t="str">
        <x:v>7813e47c086c71862b56668128876a8d550e91d265f5250e1e6fea4ffc0f53c4</x:v>
      </x:c>
    </x:row>
    <x:row r="283" ht="30" customHeight="1">
      <x:c r="A283" s="219" t="str">
        <x:v>PWR-06</x:v>
      </x:c>
      <x:c r="B283" s="219" t="str">
        <x:v>analyses/power_i19/EXTREMA_CONFIRMATION.json</x:v>
      </x:c>
      <x:c r="C283" s="219" t="str">
        <x:v>258dd2055e22d55504b3eb86ea383e9b197d9a0e8ebe4cffcadde3f186c969f4</x:v>
      </x:c>
    </x:row>
    <x:row r="284" ht="30" customHeight="1">
      <x:c r="A284" s="180" t="str">
        <x:v>PWR-07</x:v>
      </x:c>
      <x:c r="B284" s="180" t="str">
        <x:v>runtime/final_I06_actual_preflight/RESULT.json</x:v>
      </x:c>
      <x:c r="C284" s="180" t="str">
        <x:v>47d1ac4057b92a6752abacf976768596bf4fa311d08c9fc08df2d276e8e1200f</x:v>
      </x:c>
    </x:row>
    <x:row r="285" ht="30" customHeight="1">
      <x:c r="A285" s="219" t="str">
        <x:v>PWR-07</x:v>
      </x:c>
      <x:c r="B285" s="219" t="str">
        <x:v>runtime/run_native_candidate.py</x:v>
      </x:c>
      <x:c r="C285" s="219" t="str">
        <x:v>187d303cb103cef92143d53c099615a435ceef29c0458d7ac9521205d451f315</x:v>
      </x:c>
    </x:row>
    <x:row r="286" ht="30" customHeight="1">
      <x:c r="A286" s="180" t="str">
        <x:v>PWR-07</x:v>
      </x:c>
      <x:c r="B286" s="180" t="str">
        <x:v>analyses/power_i19/SUMMARY.json</x:v>
      </x:c>
      <x:c r="C286" s="180" t="str">
        <x:v>7813e47c086c71862b56668128876a8d550e91d265f5250e1e6fea4ffc0f53c4</x:v>
      </x:c>
    </x:row>
    <x:row r="287" ht="30" customHeight="1">
      <x:c r="A287" s="219" t="str">
        <x:v>PWR-07</x:v>
      </x:c>
      <x:c r="B287" s="219" t="str">
        <x:v>analyses/power_i19/EXTREMA_CONFIRMATION.json</x:v>
      </x:c>
      <x:c r="C287" s="219" t="str">
        <x:v>258dd2055e22d55504b3eb86ea383e9b197d9a0e8ebe4cffcadde3f186c969f4</x:v>
      </x:c>
    </x:row>
    <x:row r="288" ht="30" customHeight="1">
      <x:c r="A288" s="180" t="str">
        <x:v>PWR-08</x:v>
      </x:c>
      <x:c r="B288" s="180" t="str">
        <x:v>analyses/lost_ground/LOST_GROUND_RESULTS_RECONSTRUCTED.json</x:v>
      </x:c>
      <x:c r="C288" s="180" t="str">
        <x:v>6ec9e99b4e2287669bd61062f5f19192e51c8c3a6296adf6456426cd3586e7c8</x:v>
      </x:c>
    </x:row>
    <x:row r="289" ht="30" customHeight="1">
      <x:c r="A289" s="219" t="str">
        <x:v>PWR-08</x:v>
      </x:c>
      <x:c r="B289" s="219" t="str">
        <x:v>interfaces/LOST_GROUND_FINITE_DC_SCREEN.json</x:v>
      </x:c>
      <x:c r="C289" s="219" t="str">
        <x:v>3919193bd4f1eec855eaf45dbf6fdd55673073c59c38a3f9e77aee07dd8cd906</x:v>
      </x:c>
    </x:row>
    <x:row r="290" ht="30" customHeight="1">
      <x:c r="A290" s="180" t="str">
        <x:v>PWR-08</x:v>
      </x:c>
      <x:c r="B290" s="180" t="str">
        <x:v>interfaces/HARNESS_INTERFACE_CONTRACT.json</x:v>
      </x:c>
      <x:c r="C290" s="180" t="str">
        <x:v>8de240d9bfbc5862fae2984984929e0c086bc37a255289129d312548cac3576a</x:v>
      </x:c>
    </x:row>
    <x:row r="291" ht="30" customHeight="1">
      <x:c r="A291" s="219" t="str">
        <x:v>PWR-08</x:v>
      </x:c>
      <x:c r="B291" s="219" t="str">
        <x:v>interfaces/SINGLE_RETURN_EFFECTIVITY.json</x:v>
      </x:c>
      <x:c r="C291" s="219" t="str">
        <x:v>6c7af28cea00c2a54f0765cf157f3b8630e9799cf9ee615f2210552134ffe640</x:v>
      </x:c>
    </x:row>
    <x:row r="292" ht="30" customHeight="1">
      <x:c r="A292" s="180" t="str">
        <x:v>PWR-08</x:v>
      </x:c>
      <x:c r="B292" s="180" t="str">
        <x:v>analyses/power_i19/SUMMARY.json</x:v>
      </x:c>
      <x:c r="C292" s="180" t="str">
        <x:v>7813e47c086c71862b56668128876a8d550e91d265f5250e1e6fea4ffc0f53c4</x:v>
      </x:c>
    </x:row>
    <x:row r="293" ht="30" customHeight="1">
      <x:c r="A293" s="219" t="str">
        <x:v>PWR-08</x:v>
      </x:c>
      <x:c r="B293" s="219" t="str">
        <x:v>analyses/power_i19/EXTREMA_CONFIRMATION.json</x:v>
      </x:c>
      <x:c r="C293" s="219" t="str">
        <x:v>258dd2055e22d55504b3eb86ea383e9b197d9a0e8ebe4cffcadde3f186c969f4</x:v>
      </x:c>
    </x:row>
    <x:row r="294" ht="30" customHeight="1">
      <x:c r="A294" s="180" t="str">
        <x:v>PWR-09</x:v>
      </x:c>
      <x:c r="B294" s="180" t="str">
        <x:v>lanes/power/FINAL_I04_POWER_EFFECTIVITY.json</x:v>
      </x:c>
      <x:c r="C294" s="180" t="str">
        <x:v>7614948f0477b3872c1893f2c8071300dad9a76bed2163a98c302fc2b08f0b26</x:v>
      </x:c>
    </x:row>
    <x:row r="295" ht="30" customHeight="1">
      <x:c r="A295" s="219" t="str">
        <x:v>PWR-09</x:v>
      </x:c>
      <x:c r="B295" s="219" t="str">
        <x:v>lanes/power/COUPLED_STARTUP_ENVELOPE.json</x:v>
      </x:c>
      <x:c r="C295" s="219" t="str">
        <x:v>61403b7c7bb855edead8e74923d7d7aa3520f67e6ed50fb9e00818ee7fad28b5</x:v>
      </x:c>
    </x:row>
    <x:row r="296" ht="30" customHeight="1">
      <x:c r="A296" s="180" t="str">
        <x:v>PWR-09</x:v>
      </x:c>
      <x:c r="B296" s="180" t="str">
        <x:v>lanes/power_limits/POWER_LIMITS_SUMMARY.json</x:v>
      </x:c>
      <x:c r="C296" s="180" t="str">
        <x:v>7dff1f6f253807926f9a5bfb7717bc18ea30e47607cb990bcc9025f7fd9007ef</x:v>
      </x:c>
    </x:row>
    <x:row r="297" ht="30" customHeight="1">
      <x:c r="A297" s="219" t="str">
        <x:v>PWR-09</x:v>
      </x:c>
      <x:c r="B297" s="219" t="str">
        <x:v>analyses/power_i19/SUMMARY.json</x:v>
      </x:c>
      <x:c r="C297" s="219" t="str">
        <x:v>7813e47c086c71862b56668128876a8d550e91d265f5250e1e6fea4ffc0f53c4</x:v>
      </x:c>
    </x:row>
    <x:row r="298" ht="30" customHeight="1">
      <x:c r="A298" s="180" t="str">
        <x:v>PWR-09</x:v>
      </x:c>
      <x:c r="B298" s="180" t="str">
        <x:v>analyses/power_i19/EXTREMA_CONFIRMATION.json</x:v>
      </x:c>
      <x:c r="C298" s="180" t="str">
        <x:v>258dd2055e22d55504b3eb86ea383e9b197d9a0e8ebe4cffcadde3f186c969f4</x:v>
      </x:c>
    </x:row>
    <x:row r="299" ht="30" customHeight="1">
      <x:c r="A299" s="219" t="str">
        <x:v>PWR-10</x:v>
      </x:c>
      <x:c r="B299" s="219" t="str">
        <x:v>analyses/power_i19/SUMMARY.json</x:v>
      </x:c>
      <x:c r="C299" s="219" t="str">
        <x:v>7813e47c086c71862b56668128876a8d550e91d265f5250e1e6fea4ffc0f53c4</x:v>
      </x:c>
    </x:row>
    <x:row r="300" ht="30" customHeight="1">
      <x:c r="A300" s="180" t="str">
        <x:v>PWR-10</x:v>
      </x:c>
      <x:c r="B300" s="180" t="str">
        <x:v>analyses/power_i19/EXTREMA_CONFIRMATION.json</x:v>
      </x:c>
      <x:c r="C300" s="180" t="str">
        <x:v>258dd2055e22d55504b3eb86ea383e9b197d9a0e8ebe4cffcadde3f186c969f4</x:v>
      </x:c>
    </x:row>
    <x:row r="301" ht="30" customHeight="1">
      <x:c r="A301" s="219" t="str">
        <x:v>PWR-11</x:v>
      </x:c>
      <x:c r="B301" s="219" t="str">
        <x:v>lanes/power/FINAL_I04_POWER_EFFECTIVITY.json</x:v>
      </x:c>
      <x:c r="C301" s="219" t="str">
        <x:v>7614948f0477b3872c1893f2c8071300dad9a76bed2163a98c302fc2b08f0b26</x:v>
      </x:c>
    </x:row>
    <x:row r="302" ht="30" customHeight="1">
      <x:c r="A302" s="180" t="str">
        <x:v>PWR-11</x:v>
      </x:c>
      <x:c r="B302" s="180" t="str">
        <x:v>lanes/power/COUPLED_STARTUP_ENVELOPE.json</x:v>
      </x:c>
      <x:c r="C302" s="180" t="str">
        <x:v>61403b7c7bb855edead8e74923d7d7aa3520f67e6ed50fb9e00818ee7fad28b5</x:v>
      </x:c>
    </x:row>
    <x:row r="303" ht="30" customHeight="1">
      <x:c r="A303" s="219" t="str">
        <x:v>PWR-11</x:v>
      </x:c>
      <x:c r="B303" s="219" t="str">
        <x:v>lanes/power_limits/POWER_LIMITS_SUMMARY.json</x:v>
      </x:c>
      <x:c r="C303" s="219" t="str">
        <x:v>7dff1f6f253807926f9a5bfb7717bc18ea30e47607cb990bcc9025f7fd9007ef</x:v>
      </x:c>
    </x:row>
    <x:row r="304" ht="30" customHeight="1">
      <x:c r="A304" s="180" t="str">
        <x:v>PWR-11</x:v>
      </x:c>
      <x:c r="B304" s="180" t="str">
        <x:v>analyses/power_i19/SUMMARY.json</x:v>
      </x:c>
      <x:c r="C304" s="180" t="str">
        <x:v>7813e47c086c71862b56668128876a8d550e91d265f5250e1e6fea4ffc0f53c4</x:v>
      </x:c>
    </x:row>
    <x:row r="305" ht="30" customHeight="1">
      <x:c r="A305" s="219" t="str">
        <x:v>PWR-11</x:v>
      </x:c>
      <x:c r="B305" s="219" t="str">
        <x:v>analyses/power_i19/EXTREMA_CONFIRMATION.json</x:v>
      </x:c>
      <x:c r="C305" s="219" t="str">
        <x:v>258dd2055e22d55504b3eb86ea383e9b197d9a0e8ebe4cffcadde3f186c969f4</x:v>
      </x:c>
    </x:row>
    <x:row r="306" ht="30" customHeight="1">
      <x:c r="A306" s="180" t="str">
        <x:v>PWR-12</x:v>
      </x:c>
      <x:c r="B306" s="180" t="str">
        <x:v>lanes/power/FINAL_I04_POWER_EFFECTIVITY.json</x:v>
      </x:c>
      <x:c r="C306" s="180" t="str">
        <x:v>7614948f0477b3872c1893f2c8071300dad9a76bed2163a98c302fc2b08f0b26</x:v>
      </x:c>
    </x:row>
    <x:row r="307" ht="30" customHeight="1">
      <x:c r="A307" s="219" t="str">
        <x:v>PWR-12</x:v>
      </x:c>
      <x:c r="B307" s="219" t="str">
        <x:v>lanes/power/COUPLED_STARTUP_ENVELOPE.json</x:v>
      </x:c>
      <x:c r="C307" s="219" t="str">
        <x:v>61403b7c7bb855edead8e74923d7d7aa3520f67e6ed50fb9e00818ee7fad28b5</x:v>
      </x:c>
    </x:row>
    <x:row r="308" ht="30" customHeight="1">
      <x:c r="A308" s="180" t="str">
        <x:v>PWR-12</x:v>
      </x:c>
      <x:c r="B308" s="180" t="str">
        <x:v>lanes/power_limits/POWER_LIMITS_SUMMARY.json</x:v>
      </x:c>
      <x:c r="C308" s="180" t="str">
        <x:v>7dff1f6f253807926f9a5bfb7717bc18ea30e47607cb990bcc9025f7fd9007ef</x:v>
      </x:c>
    </x:row>
    <x:row r="309" ht="30" customHeight="1">
      <x:c r="A309" s="219" t="str">
        <x:v>PWR-12</x:v>
      </x:c>
      <x:c r="B309" s="219" t="str">
        <x:v>analyses/power_i19/SUMMARY.json</x:v>
      </x:c>
      <x:c r="C309" s="219" t="str">
        <x:v>7813e47c086c71862b56668128876a8d550e91d265f5250e1e6fea4ffc0f53c4</x:v>
      </x:c>
    </x:row>
    <x:row r="310" ht="30" customHeight="1">
      <x:c r="A310" s="180" t="str">
        <x:v>PWR-12</x:v>
      </x:c>
      <x:c r="B310" s="180" t="str">
        <x:v>analyses/power_i19/EXTREMA_CONFIRMATION.json</x:v>
      </x:c>
      <x:c r="C310" s="180" t="str">
        <x:v>258dd2055e22d55504b3eb86ea383e9b197d9a0e8ebe4cffcadde3f186c969f4</x:v>
      </x:c>
    </x:row>
    <x:row r="311" ht="30" customHeight="1">
      <x:c r="A311" s="219" t="str">
        <x:v>REG-01</x:v>
      </x:c>
      <x:c r="B311" s="219" t="str">
        <x:v>lanes/power/POWER_GEOMETRY_REPORT.json</x:v>
      </x:c>
      <x:c r="C311" s="219" t="str">
        <x:v>4824326717a99e771f8d8e045d4bb59d44e8be5bd0e5ae8b6d2c2d3a16e44fe8</x:v>
      </x:c>
    </x:row>
    <x:row r="312" ht="30" customHeight="1">
      <x:c r="A312" s="180" t="str">
        <x:v>REG-01</x:v>
      </x:c>
      <x:c r="B312" s="180" t="str">
        <x:v>lanes/power/COUPLED_STARTUP_ENVELOPE.json</x:v>
      </x:c>
      <x:c r="C312" s="180" t="str">
        <x:v>61403b7c7bb855edead8e74923d7d7aa3520f67e6ed50fb9e00818ee7fad28b5</x:v>
      </x:c>
    </x:row>
    <x:row r="313" ht="30" customHeight="1">
      <x:c r="A313" s="219" t="str">
        <x:v>REG-01</x:v>
      </x:c>
      <x:c r="B313" s="219" t="str">
        <x:v>lanes/power_limits/POWER_LIMITS_SUMMARY.json</x:v>
      </x:c>
      <x:c r="C313" s="219" t="str">
        <x:v>7dff1f6f253807926f9a5bfb7717bc18ea30e47607cb990bcc9025f7fd9007ef</x:v>
      </x:c>
    </x:row>
    <x:row r="314" ht="30" customHeight="1">
      <x:c r="A314" s="180" t="str">
        <x:v>REG-01</x:v>
      </x:c>
      <x:c r="B314" s="180" t="str">
        <x:v>lanes/power/FINAL_I04_POWER_EFFECTIVITY.json</x:v>
      </x:c>
      <x:c r="C314" s="180" t="str">
        <x:v>7614948f0477b3872c1893f2c8071300dad9a76bed2163a98c302fc2b08f0b26</x:v>
      </x:c>
    </x:row>
    <x:row r="315" ht="30" customHeight="1">
      <x:c r="A315" s="219" t="str">
        <x:v>REG-01</x:v>
      </x:c>
      <x:c r="B315" s="219" t="str">
        <x:v>analyses/power_i19/SUMMARY.json</x:v>
      </x:c>
      <x:c r="C315" s="219" t="str">
        <x:v>7813e47c086c71862b56668128876a8d550e91d265f5250e1e6fea4ffc0f53c4</x:v>
      </x:c>
    </x:row>
    <x:row r="316" ht="30" customHeight="1">
      <x:c r="A316" s="180" t="str">
        <x:v>REG-01</x:v>
      </x:c>
      <x:c r="B316" s="180" t="str">
        <x:v>analyses/power_i19/EXTREMA_CONFIRMATION.json</x:v>
      </x:c>
      <x:c r="C316" s="180" t="str">
        <x:v>258dd2055e22d55504b3eb86ea383e9b197d9a0e8ebe4cffcadde3f186c969f4</x:v>
      </x:c>
    </x:row>
    <x:row r="317" ht="30" customHeight="1">
      <x:c r="A317" s="219" t="str">
        <x:v>REG-01</x:v>
      </x:c>
      <x:c r="B317" s="219" t="str">
        <x:v>analyses/thermal_i18/face_15.0/RESULTS.json</x:v>
      </x:c>
      <x:c r="C317" s="219" t="str">
        <x:v>16fdd49fe0c3a49d56b3db6a056d6bb87f7696816f4a0db9facd60c1f48fb141</x:v>
      </x:c>
    </x:row>
    <x:row r="318" ht="30" customHeight="1">
      <x:c r="A318" s="180" t="str">
        <x:v>REG-02</x:v>
      </x:c>
      <x:c r="B318" s="180" t="str">
        <x:v>control/FINAL_I04_BRINGUP_BINDING.json</x:v>
      </x:c>
      <x:c r="C318" s="180" t="str">
        <x:v>0a51eb793074e6b5eafbf20002325289bdd1e1b3a5174ae63fd79b937a76fd3f</x:v>
      </x:c>
    </x:row>
    <x:row r="319" ht="30" customHeight="1">
      <x:c r="A319" s="219" t="str">
        <x:v>REG-02</x:v>
      </x:c>
      <x:c r="B319" s="219" t="str">
        <x:v>control/RVB22_BRING_UP_AND_MEASUREMENT_CONTRACT.md</x:v>
      </x:c>
      <x:c r="C319" s="219" t="str">
        <x:v>449d38b93d0d99ec35d3545af7b198e3430a19aa20cbf59b6de2b60b0215331f</x:v>
      </x:c>
    </x:row>
    <x:row r="320" ht="30" customHeight="1">
      <x:c r="A320" s="180" t="str">
        <x:v>REG-02</x:v>
      </x:c>
      <x:c r="B320" s="180" t="str">
        <x:v>control/BRINGUP_ACTUAL_NODE_INDEX.json</x:v>
      </x:c>
      <x:c r="C320" s="180" t="str">
        <x:v>a63b8b544d5707e4ec2c6dcced8a01f7b216c553052681a5fa9f46bc3d7af6f8</x:v>
      </x:c>
    </x:row>
    <x:row r="321" ht="30" customHeight="1">
      <x:c r="A321" s="219" t="str">
        <x:v>REG-02</x:v>
      </x:c>
      <x:c r="B321" s="219" t="str">
        <x:v>analyses/power_i19/SUMMARY.json</x:v>
      </x:c>
      <x:c r="C321" s="219" t="str">
        <x:v>7813e47c086c71862b56668128876a8d550e91d265f5250e1e6fea4ffc0f53c4</x:v>
      </x:c>
    </x:row>
    <x:row r="322" ht="30" customHeight="1">
      <x:c r="A322" s="180" t="str">
        <x:v>REG-02</x:v>
      </x:c>
      <x:c r="B322" s="180" t="str">
        <x:v>analyses/power_i19/EXTREMA_CONFIRMATION.json</x:v>
      </x:c>
      <x:c r="C322" s="180" t="str">
        <x:v>258dd2055e22d55504b3eb86ea383e9b197d9a0e8ebe4cffcadde3f186c969f4</x:v>
      </x:c>
    </x:row>
    <x:row r="323" ht="30" customHeight="1">
      <x:c r="A323" s="219" t="str">
        <x:v>REG-02</x:v>
      </x:c>
      <x:c r="B323" s="219" t="str">
        <x:v>analyses/thermal_i18/face_15.0/RESULTS.json</x:v>
      </x:c>
      <x:c r="C323" s="219" t="str">
        <x:v>16fdd49fe0c3a49d56b3db6a056d6bb87f7696816f4a0db9facd60c1f48fb141</x:v>
      </x:c>
    </x:row>
    <x:row r="324" ht="30" customHeight="1">
      <x:c r="A324" s="180" t="str">
        <x:v>REG-03</x:v>
      </x:c>
      <x:c r="B324" s="180" t="str">
        <x:v>lanes/power/POWER_GEOMETRY_REPORT.json</x:v>
      </x:c>
      <x:c r="C324" s="180" t="str">
        <x:v>4824326717a99e771f8d8e045d4bb59d44e8be5bd0e5ae8b6d2c2d3a16e44fe8</x:v>
      </x:c>
    </x:row>
    <x:row r="325" ht="30" customHeight="1">
      <x:c r="A325" s="219" t="str">
        <x:v>REG-03</x:v>
      </x:c>
      <x:c r="B325" s="219" t="str">
        <x:v>lanes/power/COUPLED_STARTUP_ENVELOPE.json</x:v>
      </x:c>
      <x:c r="C325" s="219" t="str">
        <x:v>61403b7c7bb855edead8e74923d7d7aa3520f67e6ed50fb9e00818ee7fad28b5</x:v>
      </x:c>
    </x:row>
    <x:row r="326" ht="30" customHeight="1">
      <x:c r="A326" s="180" t="str">
        <x:v>REG-03</x:v>
      </x:c>
      <x:c r="B326" s="180" t="str">
        <x:v>lanes/power_limits/POWER_LIMITS_SUMMARY.json</x:v>
      </x:c>
      <x:c r="C326" s="180" t="str">
        <x:v>7dff1f6f253807926f9a5bfb7717bc18ea30e47607cb990bcc9025f7fd9007ef</x:v>
      </x:c>
    </x:row>
    <x:row r="327" ht="30" customHeight="1">
      <x:c r="A327" s="219" t="str">
        <x:v>REG-03</x:v>
      </x:c>
      <x:c r="B327" s="219" t="str">
        <x:v>lanes/power/FINAL_I04_POWER_EFFECTIVITY.json</x:v>
      </x:c>
      <x:c r="C327" s="219" t="str">
        <x:v>7614948f0477b3872c1893f2c8071300dad9a76bed2163a98c302fc2b08f0b26</x:v>
      </x:c>
    </x:row>
    <x:row r="328" ht="30" customHeight="1">
      <x:c r="A328" s="180" t="str">
        <x:v>REG-03</x:v>
      </x:c>
      <x:c r="B328" s="180" t="str">
        <x:v>analyses/power_i19/SUMMARY.json</x:v>
      </x:c>
      <x:c r="C328" s="180" t="str">
        <x:v>7813e47c086c71862b56668128876a8d550e91d265f5250e1e6fea4ffc0f53c4</x:v>
      </x:c>
    </x:row>
    <x:row r="329" ht="30" customHeight="1">
      <x:c r="A329" s="219" t="str">
        <x:v>REG-03</x:v>
      </x:c>
      <x:c r="B329" s="219" t="str">
        <x:v>analyses/power_i19/EXTREMA_CONFIRMATION.json</x:v>
      </x:c>
      <x:c r="C329" s="219" t="str">
        <x:v>258dd2055e22d55504b3eb86ea383e9b197d9a0e8ebe4cffcadde3f186c969f4</x:v>
      </x:c>
    </x:row>
    <x:row r="330" ht="30" customHeight="1">
      <x:c r="A330" s="180" t="str">
        <x:v>REG-03</x:v>
      </x:c>
      <x:c r="B330" s="180" t="str">
        <x:v>analyses/thermal_i18/face_15.0/RESULTS.json</x:v>
      </x:c>
      <x:c r="C330" s="180" t="str">
        <x:v>16fdd49fe0c3a49d56b3db6a056d6bb87f7696816f4a0db9facd60c1f48fb141</x:v>
      </x:c>
    </x:row>
    <x:row r="331" ht="30" customHeight="1">
      <x:c r="A331" s="219" t="str">
        <x:v>REG-04</x:v>
      </x:c>
      <x:c r="B331" s="219" t="str">
        <x:v>lanes/power/FINAL_I04_POWER_EFFECTIVITY.json</x:v>
      </x:c>
      <x:c r="C331" s="219" t="str">
        <x:v>7614948f0477b3872c1893f2c8071300dad9a76bed2163a98c302fc2b08f0b26</x:v>
      </x:c>
    </x:row>
    <x:row r="332" ht="30" customHeight="1">
      <x:c r="A332" s="180" t="str">
        <x:v>REG-04</x:v>
      </x:c>
      <x:c r="B332" s="180" t="str">
        <x:v>lanes/power/COUPLED_STARTUP_ENVELOPE.json</x:v>
      </x:c>
      <x:c r="C332" s="180" t="str">
        <x:v>61403b7c7bb855edead8e74923d7d7aa3520f67e6ed50fb9e00818ee7fad28b5</x:v>
      </x:c>
    </x:row>
    <x:row r="333" ht="30" customHeight="1">
      <x:c r="A333" s="219" t="str">
        <x:v>REG-04</x:v>
      </x:c>
      <x:c r="B333" s="219" t="str">
        <x:v>lanes/power_limits/POWER_LIMITS_SUMMARY.json</x:v>
      </x:c>
      <x:c r="C333" s="219" t="str">
        <x:v>7dff1f6f253807926f9a5bfb7717bc18ea30e47607cb990bcc9025f7fd9007ef</x:v>
      </x:c>
    </x:row>
    <x:row r="334" ht="30" customHeight="1">
      <x:c r="A334" s="180" t="str">
        <x:v>REG-04</x:v>
      </x:c>
      <x:c r="B334" s="180" t="str">
        <x:v>analyses/power_i19/SUMMARY.json</x:v>
      </x:c>
      <x:c r="C334" s="180" t="str">
        <x:v>7813e47c086c71862b56668128876a8d550e91d265f5250e1e6fea4ffc0f53c4</x:v>
      </x:c>
    </x:row>
    <x:row r="335" ht="30" customHeight="1">
      <x:c r="A335" s="219" t="str">
        <x:v>REG-04</x:v>
      </x:c>
      <x:c r="B335" s="219" t="str">
        <x:v>analyses/power_i19/EXTREMA_CONFIRMATION.json</x:v>
      </x:c>
      <x:c r="C335" s="219" t="str">
        <x:v>258dd2055e22d55504b3eb86ea383e9b197d9a0e8ebe4cffcadde3f186c969f4</x:v>
      </x:c>
    </x:row>
    <x:row r="336" ht="30" customHeight="1">
      <x:c r="A336" s="180" t="str">
        <x:v>REG-04</x:v>
      </x:c>
      <x:c r="B336" s="180" t="str">
        <x:v>analyses/thermal_i18/face_15.0/RESULTS.json</x:v>
      </x:c>
      <x:c r="C336" s="180" t="str">
        <x:v>16fdd49fe0c3a49d56b3db6a056d6bb87f7696816f4a0db9facd60c1f48fb141</x:v>
      </x:c>
    </x:row>
    <x:row r="337" ht="30" customHeight="1">
      <x:c r="A337" s="219" t="str">
        <x:v>REG-05</x:v>
      </x:c>
      <x:c r="B337" s="219" t="str">
        <x:v>lanes/power/FINAL_I04_POWER_EFFECTIVITY.json</x:v>
      </x:c>
      <x:c r="C337" s="219" t="str">
        <x:v>7614948f0477b3872c1893f2c8071300dad9a76bed2163a98c302fc2b08f0b26</x:v>
      </x:c>
    </x:row>
    <x:row r="338" ht="30" customHeight="1">
      <x:c r="A338" s="180" t="str">
        <x:v>REG-05</x:v>
      </x:c>
      <x:c r="B338" s="180" t="str">
        <x:v>lanes/power/COUPLED_STARTUP_ENVELOPE.json</x:v>
      </x:c>
      <x:c r="C338" s="180" t="str">
        <x:v>61403b7c7bb855edead8e74923d7d7aa3520f67e6ed50fb9e00818ee7fad28b5</x:v>
      </x:c>
    </x:row>
    <x:row r="339" ht="30" customHeight="1">
      <x:c r="A339" s="219" t="str">
        <x:v>REG-05</x:v>
      </x:c>
      <x:c r="B339" s="219" t="str">
        <x:v>lanes/power_limits/POWER_LIMITS_SUMMARY.json</x:v>
      </x:c>
      <x:c r="C339" s="219" t="str">
        <x:v>7dff1f6f253807926f9a5bfb7717bc18ea30e47607cb990bcc9025f7fd9007ef</x:v>
      </x:c>
    </x:row>
    <x:row r="340" ht="30" customHeight="1">
      <x:c r="A340" s="180" t="str">
        <x:v>REG-05</x:v>
      </x:c>
      <x:c r="B340" s="180" t="str">
        <x:v>analyses/power_i19/SUMMARY.json</x:v>
      </x:c>
      <x:c r="C340" s="180" t="str">
        <x:v>7813e47c086c71862b56668128876a8d550e91d265f5250e1e6fea4ffc0f53c4</x:v>
      </x:c>
    </x:row>
    <x:row r="341" ht="30" customHeight="1">
      <x:c r="A341" s="219" t="str">
        <x:v>REG-05</x:v>
      </x:c>
      <x:c r="B341" s="219" t="str">
        <x:v>analyses/power_i19/EXTREMA_CONFIRMATION.json</x:v>
      </x:c>
      <x:c r="C341" s="219" t="str">
        <x:v>258dd2055e22d55504b3eb86ea383e9b197d9a0e8ebe4cffcadde3f186c969f4</x:v>
      </x:c>
    </x:row>
    <x:row r="342" ht="30" customHeight="1">
      <x:c r="A342" s="180" t="str">
        <x:v>REG-05</x:v>
      </x:c>
      <x:c r="B342" s="180" t="str">
        <x:v>analyses/thermal_i18/face_15.0/RESULTS.json</x:v>
      </x:c>
      <x:c r="C342" s="180" t="str">
        <x:v>16fdd49fe0c3a49d56b3db6a056d6bb87f7696816f4a0db9facd60c1f48fb141</x:v>
      </x:c>
    </x:row>
    <x:row r="343" ht="30" customHeight="1">
      <x:c r="A343" s="219" t="str">
        <x:v>REG-06</x:v>
      </x:c>
      <x:c r="B343" s="219" t="str">
        <x:v>lanes/power/FINAL_I04_POWER_EFFECTIVITY.json</x:v>
      </x:c>
      <x:c r="C343" s="219" t="str">
        <x:v>7614948f0477b3872c1893f2c8071300dad9a76bed2163a98c302fc2b08f0b26</x:v>
      </x:c>
    </x:row>
    <x:row r="344" ht="30" customHeight="1">
      <x:c r="A344" s="180" t="str">
        <x:v>REG-06</x:v>
      </x:c>
      <x:c r="B344" s="180" t="str">
        <x:v>lanes/power/COUPLED_STARTUP_ENVELOPE.json</x:v>
      </x:c>
      <x:c r="C344" s="180" t="str">
        <x:v>61403b7c7bb855edead8e74923d7d7aa3520f67e6ed50fb9e00818ee7fad28b5</x:v>
      </x:c>
    </x:row>
    <x:row r="345" ht="30" customHeight="1">
      <x:c r="A345" s="219" t="str">
        <x:v>REG-06</x:v>
      </x:c>
      <x:c r="B345" s="219" t="str">
        <x:v>lanes/power_limits/POWER_LIMITS_SUMMARY.json</x:v>
      </x:c>
      <x:c r="C345" s="219" t="str">
        <x:v>7dff1f6f253807926f9a5bfb7717bc18ea30e47607cb990bcc9025f7fd9007ef</x:v>
      </x:c>
    </x:row>
    <x:row r="346" ht="30" customHeight="1">
      <x:c r="A346" s="180" t="str">
        <x:v>REG-06</x:v>
      </x:c>
      <x:c r="B346" s="180" t="str">
        <x:v>analyses/power_i19/SUMMARY.json</x:v>
      </x:c>
      <x:c r="C346" s="180" t="str">
        <x:v>7813e47c086c71862b56668128876a8d550e91d265f5250e1e6fea4ffc0f53c4</x:v>
      </x:c>
    </x:row>
    <x:row r="347" ht="30" customHeight="1">
      <x:c r="A347" s="219" t="str">
        <x:v>REG-06</x:v>
      </x:c>
      <x:c r="B347" s="219" t="str">
        <x:v>analyses/power_i19/EXTREMA_CONFIRMATION.json</x:v>
      </x:c>
      <x:c r="C347" s="219" t="str">
        <x:v>258dd2055e22d55504b3eb86ea383e9b197d9a0e8ebe4cffcadde3f186c969f4</x:v>
      </x:c>
    </x:row>
    <x:row r="348" ht="30" customHeight="1">
      <x:c r="A348" s="180" t="str">
        <x:v>REG-06</x:v>
      </x:c>
      <x:c r="B348" s="180" t="str">
        <x:v>analyses/thermal_i18/face_15.0/RESULTS.json</x:v>
      </x:c>
      <x:c r="C348" s="180" t="str">
        <x:v>16fdd49fe0c3a49d56b3db6a056d6bb87f7696816f4a0db9facd60c1f48fb141</x:v>
      </x:c>
    </x:row>
    <x:row r="349" ht="30" customHeight="1">
      <x:c r="A349" s="219" t="str">
        <x:v>REG-07</x:v>
      </x:c>
      <x:c r="B349" s="219" t="str">
        <x:v>control/RVB22_BRING_UP_AND_MEASUREMENT_CONTRACT.md</x:v>
      </x:c>
      <x:c r="C349" s="219" t="str">
        <x:v>449d38b93d0d99ec35d3545af7b198e3430a19aa20cbf59b6de2b60b0215331f</x:v>
      </x:c>
    </x:row>
    <x:row r="350" ht="30" customHeight="1">
      <x:c r="A350" s="180" t="str">
        <x:v>REG-07</x:v>
      </x:c>
      <x:c r="B350" s="180" t="str">
        <x:v>control/BRINGUP_SCHEMATIC_TEXT_DELTA.json</x:v>
      </x:c>
      <x:c r="C350" s="180" t="str">
        <x:v>b375d56d6cc12ce36313d7ee538c3bc384127c76eb41fea363ce7911556415ee</x:v>
      </x:c>
    </x:row>
    <x:row r="351" ht="30" customHeight="1">
      <x:c r="A351" s="219" t="str">
        <x:v>REG-07</x:v>
      </x:c>
      <x:c r="B351" s="219" t="str">
        <x:v>control/BRINGUP_ACTUAL_NODE_INDEX.json</x:v>
      </x:c>
      <x:c r="C351" s="219" t="str">
        <x:v>a63b8b544d5707e4ec2c6dcced8a01f7b216c553052681a5fa9f46bc3d7af6f8</x:v>
      </x:c>
    </x:row>
    <x:row r="352" ht="30" customHeight="1">
      <x:c r="A352" s="180" t="str">
        <x:v>REG-07</x:v>
      </x:c>
      <x:c r="B352" s="180" t="str">
        <x:v>control/FINAL_I04_BRINGUP_BINDING.json</x:v>
      </x:c>
      <x:c r="C352" s="180" t="str">
        <x:v>0a51eb793074e6b5eafbf20002325289bdd1e1b3a5174ae63fd79b937a76fd3f</x:v>
      </x:c>
    </x:row>
    <x:row r="353" ht="30" customHeight="1">
      <x:c r="A353" s="219" t="str">
        <x:v>REG-07</x:v>
      </x:c>
      <x:c r="B353" s="219" t="str">
        <x:v>analyses/power_i19/SUMMARY.json</x:v>
      </x:c>
      <x:c r="C353" s="219" t="str">
        <x:v>7813e47c086c71862b56668128876a8d550e91d265f5250e1e6fea4ffc0f53c4</x:v>
      </x:c>
    </x:row>
    <x:row r="354" ht="30" customHeight="1">
      <x:c r="A354" s="180" t="str">
        <x:v>REG-07</x:v>
      </x:c>
      <x:c r="B354" s="180" t="str">
        <x:v>analyses/power_i19/EXTREMA_CONFIRMATION.json</x:v>
      </x:c>
      <x:c r="C354" s="180" t="str">
        <x:v>258dd2055e22d55504b3eb86ea383e9b197d9a0e8ebe4cffcadde3f186c969f4</x:v>
      </x:c>
    </x:row>
    <x:row r="355" ht="30" customHeight="1">
      <x:c r="A355" s="219" t="str">
        <x:v>REG-07</x:v>
      </x:c>
      <x:c r="B355" s="219" t="str">
        <x:v>analyses/thermal_i18/face_15.0/RESULTS.json</x:v>
      </x:c>
      <x:c r="C355" s="219" t="str">
        <x:v>16fdd49fe0c3a49d56b3db6a056d6bb87f7696816f4a0db9facd60c1f48fb141</x:v>
      </x:c>
    </x:row>
    <x:row r="356" ht="30" customHeight="1">
      <x:c r="A356" s="180" t="str">
        <x:v>REG-08</x:v>
      </x:c>
      <x:c r="B356" s="180" t="str">
        <x:v>lanes/rf/RF_FINAL_REPORT.md</x:v>
      </x:c>
      <x:c r="C356" s="180" t="str">
        <x:v>3fdd717e298f9671baa0d0bd7e612e526623cf035b1ff575a9a5dc8ba1536ce1</x:v>
      </x:c>
    </x:row>
    <x:row r="357" ht="30" customHeight="1">
      <x:c r="A357" s="219" t="str">
        <x:v>REG-08</x:v>
      </x:c>
      <x:c r="B357" s="219" t="str">
        <x:v>lanes/rf/RF_FINAL_SUMMARY.json</x:v>
      </x:c>
      <x:c r="C357" s="219" t="str">
        <x:v>2bc67f3c75f646a9f78d6da59e201a8ce2bb511d46ca790af21525498545cd76</x:v>
      </x:c>
    </x:row>
    <x:row r="358" ht="30" customHeight="1">
      <x:c r="A358" s="180" t="str">
        <x:v>REG-08</x:v>
      </x:c>
      <x:c r="B358" s="180" t="str">
        <x:v>lanes/rf/RF_I04_ADDENDUM.md</x:v>
      </x:c>
      <x:c r="C358" s="180" t="str">
        <x:v>a10485f6d1e16e37566e6ab1b7d8b6dc6b55d8e632ec8c2939f3a60188741b51</x:v>
      </x:c>
    </x:row>
    <x:row r="359" ht="30" customHeight="1">
      <x:c r="A359" s="219" t="str">
        <x:v>REG-08</x:v>
      </x:c>
      <x:c r="B359" s="219" t="str">
        <x:v>lanes/rf/RF_I04_SUMMARY.json</x:v>
      </x:c>
      <x:c r="C359" s="219" t="str">
        <x:v>acfa57ec9f135bae0fc67b784b6851dfbb05847f7e383abf948d1c8d4d82f1ce</x:v>
      </x:c>
    </x:row>
    <x:row r="360" ht="30" customHeight="1">
      <x:c r="A360" s="180" t="str">
        <x:v>REG-08</x:v>
      </x:c>
      <x:c r="B360" s="180" t="str">
        <x:v>lanes/emc/RF_STRIP_NETWORK.json</x:v>
      </x:c>
      <x:c r="C360" s="180" t="str">
        <x:v>136f177c0cb02f729dc78bb81db0419d7d9e60180a4bea2e288c16b5762d71ab</x:v>
      </x:c>
    </x:row>
    <x:row r="361" ht="30" customHeight="1">
      <x:c r="A361" s="219" t="str">
        <x:v>REG-08</x:v>
      </x:c>
      <x:c r="B361" s="219" t="str">
        <x:v>analyses/power_i19/SUMMARY.json</x:v>
      </x:c>
      <x:c r="C361" s="219" t="str">
        <x:v>7813e47c086c71862b56668128876a8d550e91d265f5250e1e6fea4ffc0f53c4</x:v>
      </x:c>
    </x:row>
    <x:row r="362" ht="30" customHeight="1">
      <x:c r="A362" s="180" t="str">
        <x:v>REG-08</x:v>
      </x:c>
      <x:c r="B362" s="180" t="str">
        <x:v>analyses/power_i19/EXTREMA_CONFIRMATION.json</x:v>
      </x:c>
      <x:c r="C362" s="180" t="str">
        <x:v>258dd2055e22d55504b3eb86ea383e9b197d9a0e8ebe4cffcadde3f186c969f4</x:v>
      </x:c>
    </x:row>
    <x:row r="363" ht="30" customHeight="1">
      <x:c r="A363" s="219" t="str">
        <x:v>REG-08</x:v>
      </x:c>
      <x:c r="B363" s="219" t="str">
        <x:v>analyses/thermal_i18/face_15.0/RESULTS.json</x:v>
      </x:c>
      <x:c r="C363" s="219" t="str">
        <x:v>16fdd49fe0c3a49d56b3db6a056d6bb87f7696816f4a0db9facd60c1f48fb141</x:v>
      </x:c>
    </x:row>
    <x:row r="364" ht="30" customHeight="1">
      <x:c r="A364" s="180" t="str">
        <x:v>REG-09</x:v>
      </x:c>
      <x:c r="B364" s="180" t="str">
        <x:v>lanes/power/FINAL_I04_POWER_EFFECTIVITY.json</x:v>
      </x:c>
      <x:c r="C364" s="180" t="str">
        <x:v>7614948f0477b3872c1893f2c8071300dad9a76bed2163a98c302fc2b08f0b26</x:v>
      </x:c>
    </x:row>
    <x:row r="365" ht="30" customHeight="1">
      <x:c r="A365" s="219" t="str">
        <x:v>REG-09</x:v>
      </x:c>
      <x:c r="B365" s="219" t="str">
        <x:v>lanes/power/COUPLED_STARTUP_ENVELOPE.json</x:v>
      </x:c>
      <x:c r="C365" s="219" t="str">
        <x:v>61403b7c7bb855edead8e74923d7d7aa3520f67e6ed50fb9e00818ee7fad28b5</x:v>
      </x:c>
    </x:row>
    <x:row r="366" ht="30" customHeight="1">
      <x:c r="A366" s="180" t="str">
        <x:v>REG-09</x:v>
      </x:c>
      <x:c r="B366" s="180" t="str">
        <x:v>lanes/power_limits/POWER_LIMITS_SUMMARY.json</x:v>
      </x:c>
      <x:c r="C366" s="180" t="str">
        <x:v>7dff1f6f253807926f9a5bfb7717bc18ea30e47607cb990bcc9025f7fd9007ef</x:v>
      </x:c>
    </x:row>
    <x:row r="367" ht="30" customHeight="1">
      <x:c r="A367" s="219" t="str">
        <x:v>REG-09</x:v>
      </x:c>
      <x:c r="B367" s="219" t="str">
        <x:v>analyses/power_i19/SUMMARY.json</x:v>
      </x:c>
      <x:c r="C367" s="219" t="str">
        <x:v>7813e47c086c71862b56668128876a8d550e91d265f5250e1e6fea4ffc0f53c4</x:v>
      </x:c>
    </x:row>
    <x:row r="368" ht="30" customHeight="1">
      <x:c r="A368" s="180" t="str">
        <x:v>REG-09</x:v>
      </x:c>
      <x:c r="B368" s="180" t="str">
        <x:v>analyses/power_i19/EXTREMA_CONFIRMATION.json</x:v>
      </x:c>
      <x:c r="C368" s="180" t="str">
        <x:v>258dd2055e22d55504b3eb86ea383e9b197d9a0e8ebe4cffcadde3f186c969f4</x:v>
      </x:c>
    </x:row>
    <x:row r="369" ht="30" customHeight="1">
      <x:c r="A369" s="219" t="str">
        <x:v>REG-09</x:v>
      </x:c>
      <x:c r="B369" s="219" t="str">
        <x:v>analyses/thermal_i18/face_15.0/RESULTS.json</x:v>
      </x:c>
      <x:c r="C369" s="219" t="str">
        <x:v>16fdd49fe0c3a49d56b3db6a056d6bb87f7696816f4a0db9facd60c1f48fb141</x:v>
      </x:c>
    </x:row>
    <x:row r="370" ht="30" customHeight="1">
      <x:c r="A370" s="180" t="str">
        <x:v>REG-10</x:v>
      </x:c>
      <x:c r="B370" s="180" t="str">
        <x:v>control/RVB22_BRING_UP_AND_MEASUREMENT_CONTRACT.md</x:v>
      </x:c>
      <x:c r="C370" s="180" t="str">
        <x:v>449d38b93d0d99ec35d3545af7b198e3430a19aa20cbf59b6de2b60b0215331f</x:v>
      </x:c>
    </x:row>
    <x:row r="371" ht="30" customHeight="1">
      <x:c r="A371" s="219" t="str">
        <x:v>REG-10</x:v>
      </x:c>
      <x:c r="B371" s="219" t="str">
        <x:v>control/BRINGUP_SCHEMATIC_TEXT_DELTA.json</x:v>
      </x:c>
      <x:c r="C371" s="219" t="str">
        <x:v>b375d56d6cc12ce36313d7ee538c3bc384127c76eb41fea363ce7911556415ee</x:v>
      </x:c>
    </x:row>
    <x:row r="372" ht="30" customHeight="1">
      <x:c r="A372" s="180" t="str">
        <x:v>REG-10</x:v>
      </x:c>
      <x:c r="B372" s="180" t="str">
        <x:v>control/BRINGUP_ACTUAL_NODE_INDEX.json</x:v>
      </x:c>
      <x:c r="C372" s="180" t="str">
        <x:v>a63b8b544d5707e4ec2c6dcced8a01f7b216c553052681a5fa9f46bc3d7af6f8</x:v>
      </x:c>
    </x:row>
    <x:row r="373" ht="30" customHeight="1">
      <x:c r="A373" s="219" t="str">
        <x:v>REG-10</x:v>
      </x:c>
      <x:c r="B373" s="219" t="str">
        <x:v>control/FINAL_I04_BRINGUP_BINDING.json</x:v>
      </x:c>
      <x:c r="C373" s="219" t="str">
        <x:v>0a51eb793074e6b5eafbf20002325289bdd1e1b3a5174ae63fd79b937a76fd3f</x:v>
      </x:c>
    </x:row>
    <x:row r="374" ht="30" customHeight="1">
      <x:c r="A374" s="180" t="str">
        <x:v>REG-10</x:v>
      </x:c>
      <x:c r="B374" s="180" t="str">
        <x:v>analyses/power_i19/SUMMARY.json</x:v>
      </x:c>
      <x:c r="C374" s="180" t="str">
        <x:v>7813e47c086c71862b56668128876a8d550e91d265f5250e1e6fea4ffc0f53c4</x:v>
      </x:c>
    </x:row>
    <x:row r="375" ht="30" customHeight="1">
      <x:c r="A375" s="219" t="str">
        <x:v>REG-10</x:v>
      </x:c>
      <x:c r="B375" s="219" t="str">
        <x:v>analyses/power_i19/EXTREMA_CONFIRMATION.json</x:v>
      </x:c>
      <x:c r="C375" s="219" t="str">
        <x:v>258dd2055e22d55504b3eb86ea383e9b197d9a0e8ebe4cffcadde3f186c969f4</x:v>
      </x:c>
    </x:row>
    <x:row r="376" ht="30" customHeight="1">
      <x:c r="A376" s="180" t="str">
        <x:v>REG-10</x:v>
      </x:c>
      <x:c r="B376" s="180" t="str">
        <x:v>analyses/thermal_i18/face_15.0/RESULTS.json</x:v>
      </x:c>
      <x:c r="C376" s="180" t="str">
        <x:v>16fdd49fe0c3a49d56b3db6a056d6bb87f7696816f4a0db9facd60c1f48fb141</x:v>
      </x:c>
    </x:row>
    <x:row r="377" ht="30" customHeight="1">
      <x:c r="A377" s="219" t="str">
        <x:v>SEQ-01</x:v>
      </x:c>
      <x:c r="B377" s="219" t="str">
        <x:v>control/FINAL_I04_BRINGUP_BINDING.json</x:v>
      </x:c>
      <x:c r="C377" s="219" t="str">
        <x:v>0a51eb793074e6b5eafbf20002325289bdd1e1b3a5174ae63fd79b937a76fd3f</x:v>
      </x:c>
    </x:row>
    <x:row r="378" ht="30" customHeight="1">
      <x:c r="A378" s="180" t="str">
        <x:v>SEQ-01</x:v>
      </x:c>
      <x:c r="B378" s="180" t="str">
        <x:v>control/RVB22_BRING_UP_AND_MEASUREMENT_CONTRACT.md</x:v>
      </x:c>
      <x:c r="C378" s="180" t="str">
        <x:v>449d38b93d0d99ec35d3545af7b198e3430a19aa20cbf59b6de2b60b0215331f</x:v>
      </x:c>
    </x:row>
    <x:row r="379" ht="30" customHeight="1">
      <x:c r="A379" s="219" t="str">
        <x:v>SEQ-01</x:v>
      </x:c>
      <x:c r="B379" s="219" t="str">
        <x:v>control/BRINGUP_ACTUAL_NODE_INDEX.json</x:v>
      </x:c>
      <x:c r="C379" s="219" t="str">
        <x:v>a63b8b544d5707e4ec2c6dcced8a01f7b216c553052681a5fa9f46bc3d7af6f8</x:v>
      </x:c>
    </x:row>
    <x:row r="380" ht="30" customHeight="1">
      <x:c r="A380" s="180" t="str">
        <x:v>SEQ-01</x:v>
      </x:c>
      <x:c r="B380" s="180" t="str">
        <x:v>analyses/power_i19/SUMMARY.json</x:v>
      </x:c>
      <x:c r="C380" s="180" t="str">
        <x:v>7813e47c086c71862b56668128876a8d550e91d265f5250e1e6fea4ffc0f53c4</x:v>
      </x:c>
    </x:row>
    <x:row r="381" ht="30" customHeight="1">
      <x:c r="A381" s="219" t="str">
        <x:v>SEQ-01</x:v>
      </x:c>
      <x:c r="B381" s="219" t="str">
        <x:v>iterations/I20_controlled_handoff/NATIVE_BINDING.json</x:v>
      </x:c>
      <x:c r="C381" s="219" t="str">
        <x:v>6f36235aab2349569f2cacf485912921762bc718e2a5fd5c4c72c2808ca2312b</x:v>
      </x:c>
    </x:row>
    <x:row r="382" ht="30" customHeight="1">
      <x:c r="A382" s="180" t="str">
        <x:v>SEQ-01</x:v>
      </x:c>
      <x:c r="B382" s="180" t="str">
        <x:v>current/SOURCE_EFFECTIVITY.json</x:v>
      </x:c>
      <x:c r="C382" s="180" t="str">
        <x:v>832fcdcc8cd7ebb9df2e169c8b9194011c37d138484da13fd5de05bd2657170d</x:v>
      </x:c>
    </x:row>
    <x:row r="383" ht="30" customHeight="1">
      <x:c r="A383" s="219" t="str">
        <x:v>SEQ-02</x:v>
      </x:c>
      <x:c r="B383" s="219" t="str">
        <x:v>control/FINAL_I04_BRINGUP_BINDING.json</x:v>
      </x:c>
      <x:c r="C383" s="219" t="str">
        <x:v>0a51eb793074e6b5eafbf20002325289bdd1e1b3a5174ae63fd79b937a76fd3f</x:v>
      </x:c>
    </x:row>
    <x:row r="384" ht="30" customHeight="1">
      <x:c r="A384" s="180" t="str">
        <x:v>SEQ-02</x:v>
      </x:c>
      <x:c r="B384" s="180" t="str">
        <x:v>control/RVB22_BRING_UP_AND_MEASUREMENT_CONTRACT.md</x:v>
      </x:c>
      <x:c r="C384" s="180" t="str">
        <x:v>449d38b93d0d99ec35d3545af7b198e3430a19aa20cbf59b6de2b60b0215331f</x:v>
      </x:c>
    </x:row>
    <x:row r="385" ht="30" customHeight="1">
      <x:c r="A385" s="219" t="str">
        <x:v>SEQ-02</x:v>
      </x:c>
      <x:c r="B385" s="219" t="str">
        <x:v>control/BRINGUP_ACTUAL_NODE_INDEX.json</x:v>
      </x:c>
      <x:c r="C385" s="219" t="str">
        <x:v>a63b8b544d5707e4ec2c6dcced8a01f7b216c553052681a5fa9f46bc3d7af6f8</x:v>
      </x:c>
    </x:row>
    <x:row r="386" ht="30" customHeight="1">
      <x:c r="A386" s="180" t="str">
        <x:v>SEQ-02</x:v>
      </x:c>
      <x:c r="B386" s="180" t="str">
        <x:v>analyses/power_i19/SUMMARY.json</x:v>
      </x:c>
      <x:c r="C386" s="180" t="str">
        <x:v>7813e47c086c71862b56668128876a8d550e91d265f5250e1e6fea4ffc0f53c4</x:v>
      </x:c>
    </x:row>
    <x:row r="387" ht="30" customHeight="1">
      <x:c r="A387" s="219" t="str">
        <x:v>SEQ-02</x:v>
      </x:c>
      <x:c r="B387" s="219" t="str">
        <x:v>iterations/I20_controlled_handoff/NATIVE_BINDING.json</x:v>
      </x:c>
      <x:c r="C387" s="219" t="str">
        <x:v>6f36235aab2349569f2cacf485912921762bc718e2a5fd5c4c72c2808ca2312b</x:v>
      </x:c>
    </x:row>
    <x:row r="388" ht="30" customHeight="1">
      <x:c r="A388" s="180" t="str">
        <x:v>SEQ-02</x:v>
      </x:c>
      <x:c r="B388" s="180" t="str">
        <x:v>current/SOURCE_EFFECTIVITY.json</x:v>
      </x:c>
      <x:c r="C388" s="180" t="str">
        <x:v>832fcdcc8cd7ebb9df2e169c8b9194011c37d138484da13fd5de05bd2657170d</x:v>
      </x:c>
    </x:row>
    <x:row r="389" ht="30" customHeight="1">
      <x:c r="A389" s="219" t="str">
        <x:v>SEQ-03</x:v>
      </x:c>
      <x:c r="B389" s="219" t="str">
        <x:v>lanes/power/FINAL_I04_POWER_EFFECTIVITY.json</x:v>
      </x:c>
      <x:c r="C389" s="219" t="str">
        <x:v>7614948f0477b3872c1893f2c8071300dad9a76bed2163a98c302fc2b08f0b26</x:v>
      </x:c>
    </x:row>
    <x:row r="390" ht="30" customHeight="1">
      <x:c r="A390" s="180" t="str">
        <x:v>SEQ-03</x:v>
      </x:c>
      <x:c r="B390" s="180" t="str">
        <x:v>lanes/power/COUPLED_STARTUP_ENVELOPE.json</x:v>
      </x:c>
      <x:c r="C390" s="180" t="str">
        <x:v>61403b7c7bb855edead8e74923d7d7aa3520f67e6ed50fb9e00818ee7fad28b5</x:v>
      </x:c>
    </x:row>
    <x:row r="391" ht="30" customHeight="1">
      <x:c r="A391" s="219" t="str">
        <x:v>SEQ-03</x:v>
      </x:c>
      <x:c r="B391" s="219" t="str">
        <x:v>lanes/power_limits/POWER_LIMITS_SUMMARY.json</x:v>
      </x:c>
      <x:c r="C391" s="219" t="str">
        <x:v>7dff1f6f253807926f9a5bfb7717bc18ea30e47607cb990bcc9025f7fd9007ef</x:v>
      </x:c>
    </x:row>
    <x:row r="392" ht="30" customHeight="1">
      <x:c r="A392" s="180" t="str">
        <x:v>SEQ-03</x:v>
      </x:c>
      <x:c r="B392" s="180" t="str">
        <x:v>analyses/power_i19/SUMMARY.json</x:v>
      </x:c>
      <x:c r="C392" s="180" t="str">
        <x:v>7813e47c086c71862b56668128876a8d550e91d265f5250e1e6fea4ffc0f53c4</x:v>
      </x:c>
    </x:row>
    <x:row r="393" ht="30" customHeight="1">
      <x:c r="A393" s="219" t="str">
        <x:v>SEQ-03</x:v>
      </x:c>
      <x:c r="B393" s="219" t="str">
        <x:v>iterations/I20_controlled_handoff/NATIVE_BINDING.json</x:v>
      </x:c>
      <x:c r="C393" s="219" t="str">
        <x:v>6f36235aab2349569f2cacf485912921762bc718e2a5fd5c4c72c2808ca2312b</x:v>
      </x:c>
    </x:row>
    <x:row r="394" ht="30" customHeight="1">
      <x:c r="A394" s="180" t="str">
        <x:v>SEQ-03</x:v>
      </x:c>
      <x:c r="B394" s="180" t="str">
        <x:v>current/SOURCE_EFFECTIVITY.json</x:v>
      </x:c>
      <x:c r="C394" s="180" t="str">
        <x:v>832fcdcc8cd7ebb9df2e169c8b9194011c37d138484da13fd5de05bd2657170d</x:v>
      </x:c>
    </x:row>
    <x:row r="395" ht="30" customHeight="1">
      <x:c r="A395" s="219" t="str">
        <x:v>SEQ-04</x:v>
      </x:c>
      <x:c r="B395" s="219" t="str">
        <x:v>lanes/firmware_oil/RECOVERED_RELEASE_CHECKS.json</x:v>
      </x:c>
      <x:c r="C395" s="219" t="str">
        <x:v>9d36ebab30769a0293ff2fcbd194a54f113e5444f8680565da51558ccce9cdf8</x:v>
      </x:c>
    </x:row>
    <x:row r="396" ht="30" customHeight="1">
      <x:c r="A396" s="180" t="str">
        <x:v>SEQ-04</x:v>
      </x:c>
      <x:c r="B396" s="180" t="str">
        <x:v>lanes/firmware_oil/RECOVERED_FIRMWARE_TEST_RESULTS.json</x:v>
      </x:c>
      <x:c r="C396" s="180" t="str">
        <x:v>c4c5df66ff54cba721fe8808062019f824df6e0b0c4869e78fd30626121dc725</x:v>
      </x:c>
    </x:row>
    <x:row r="397" ht="30" customHeight="1">
      <x:c r="A397" s="219" t="str">
        <x:v>SEQ-04</x:v>
      </x:c>
      <x:c r="B397" s="219" t="str">
        <x:v>analyses/power_i19/SUMMARY.json</x:v>
      </x:c>
      <x:c r="C397" s="219" t="str">
        <x:v>7813e47c086c71862b56668128876a8d550e91d265f5250e1e6fea4ffc0f53c4</x:v>
      </x:c>
    </x:row>
    <x:row r="398" ht="30" customHeight="1">
      <x:c r="A398" s="180" t="str">
        <x:v>SEQ-04</x:v>
      </x:c>
      <x:c r="B398" s="180" t="str">
        <x:v>iterations/I20_controlled_handoff/NATIVE_BINDING.json</x:v>
      </x:c>
      <x:c r="C398" s="180" t="str">
        <x:v>6f36235aab2349569f2cacf485912921762bc718e2a5fd5c4c72c2808ca2312b</x:v>
      </x:c>
    </x:row>
    <x:row r="399" ht="30" customHeight="1">
      <x:c r="A399" s="219" t="str">
        <x:v>SEQ-04</x:v>
      </x:c>
      <x:c r="B399" s="219" t="str">
        <x:v>current/SOURCE_EFFECTIVITY.json</x:v>
      </x:c>
      <x:c r="C399" s="219" t="str">
        <x:v>832fcdcc8cd7ebb9df2e169c8b9194011c37d138484da13fd5de05bd2657170d</x:v>
      </x:c>
    </x:row>
    <x:row r="400" ht="30" customHeight="1">
      <x:c r="A400" s="180" t="str">
        <x:v>SEQ-05</x:v>
      </x:c>
      <x:c r="B400" s="180" t="str">
        <x:v>analyses/lost_ground/LOST_GROUND_RESULTS_RECONSTRUCTED.json</x:v>
      </x:c>
      <x:c r="C400" s="180" t="str">
        <x:v>6ec9e99b4e2287669bd61062f5f19192e51c8c3a6296adf6456426cd3586e7c8</x:v>
      </x:c>
    </x:row>
    <x:row r="401" ht="30" customHeight="1">
      <x:c r="A401" s="219" t="str">
        <x:v>SEQ-05</x:v>
      </x:c>
      <x:c r="B401" s="219" t="str">
        <x:v>interfaces/LOST_GROUND_FINITE_DC_SCREEN.json</x:v>
      </x:c>
      <x:c r="C401" s="219" t="str">
        <x:v>3919193bd4f1eec855eaf45dbf6fdd55673073c59c38a3f9e77aee07dd8cd906</x:v>
      </x:c>
    </x:row>
    <x:row r="402" ht="30" customHeight="1">
      <x:c r="A402" s="180" t="str">
        <x:v>SEQ-05</x:v>
      </x:c>
      <x:c r="B402" s="180" t="str">
        <x:v>interfaces/HARNESS_INTERFACE_CONTRACT.json</x:v>
      </x:c>
      <x:c r="C402" s="180" t="str">
        <x:v>8de240d9bfbc5862fae2984984929e0c086bc37a255289129d312548cac3576a</x:v>
      </x:c>
    </x:row>
    <x:row r="403" ht="30" customHeight="1">
      <x:c r="A403" s="219" t="str">
        <x:v>SEQ-05</x:v>
      </x:c>
      <x:c r="B403" s="219" t="str">
        <x:v>interfaces/SINGLE_RETURN_EFFECTIVITY.json</x:v>
      </x:c>
      <x:c r="C403" s="219" t="str">
        <x:v>6c7af28cea00c2a54f0765cf157f3b8630e9799cf9ee615f2210552134ffe640</x:v>
      </x:c>
    </x:row>
    <x:row r="404" ht="30" customHeight="1">
      <x:c r="A404" s="180" t="str">
        <x:v>SEQ-05</x:v>
      </x:c>
      <x:c r="B404" s="180" t="str">
        <x:v>analyses/power_i19/SUMMARY.json</x:v>
      </x:c>
      <x:c r="C404" s="180" t="str">
        <x:v>7813e47c086c71862b56668128876a8d550e91d265f5250e1e6fea4ffc0f53c4</x:v>
      </x:c>
    </x:row>
    <x:row r="405" ht="30" customHeight="1">
      <x:c r="A405" s="219" t="str">
        <x:v>SEQ-05</x:v>
      </x:c>
      <x:c r="B405" s="219" t="str">
        <x:v>iterations/I20_controlled_handoff/NATIVE_BINDING.json</x:v>
      </x:c>
      <x:c r="C405" s="219" t="str">
        <x:v>6f36235aab2349569f2cacf485912921762bc718e2a5fd5c4c72c2808ca2312b</x:v>
      </x:c>
    </x:row>
    <x:row r="406" ht="30" customHeight="1">
      <x:c r="A406" s="180" t="str">
        <x:v>SEQ-05</x:v>
      </x:c>
      <x:c r="B406" s="180" t="str">
        <x:v>current/SOURCE_EFFECTIVITY.json</x:v>
      </x:c>
      <x:c r="C406" s="180" t="str">
        <x:v>832fcdcc8cd7ebb9df2e169c8b9194011c37d138484da13fd5de05bd2657170d</x:v>
      </x:c>
    </x:row>
    <x:row r="407" ht="30" customHeight="1">
      <x:c r="A407" s="219" t="str">
        <x:v>SEQ-06</x:v>
      </x:c>
      <x:c r="B407" s="219" t="str">
        <x:v>lanes/firmware_oil/RECOVERED_FIRMWARE_TEST_RESULTS.json</x:v>
      </x:c>
      <x:c r="C407" s="219" t="str">
        <x:v>c4c5df66ff54cba721fe8808062019f824df6e0b0c4869e78fd30626121dc725</x:v>
      </x:c>
    </x:row>
    <x:row r="408" ht="30" customHeight="1">
      <x:c r="A408" s="180" t="str">
        <x:v>SEQ-06</x:v>
      </x:c>
      <x:c r="B408" s="180" t="str">
        <x:v>lanes/firmware_oil/RECOVERY_CALIBRATION_GAIN_REDLINE.json</x:v>
      </x:c>
      <x:c r="C408" s="180" t="str">
        <x:v>4156482b336bece382dae6dcf618b2f7a5c26456dc57aaa1b574e169bd04cd9c</x:v>
      </x:c>
    </x:row>
    <x:row r="409" ht="30" customHeight="1">
      <x:c r="A409" s="219" t="str">
        <x:v>SEQ-06</x:v>
      </x:c>
      <x:c r="B409" s="219" t="str">
        <x:v>interfaces/OIL_HARNESS_ERROR_SWEEP.json</x:v>
      </x:c>
      <x:c r="C409" s="219" t="str">
        <x:v>1a0e3bbbfeb53fae48b38ab52575d6644f48d7ef4b534dd262f89c9cde0aa6a1</x:v>
      </x:c>
    </x:row>
    <x:row r="410" ht="30" customHeight="1">
      <x:c r="A410" s="180" t="str">
        <x:v>SEQ-06</x:v>
      </x:c>
      <x:c r="B410" s="180" t="str">
        <x:v>analyses/power_i19/SUMMARY.json</x:v>
      </x:c>
      <x:c r="C410" s="180" t="str">
        <x:v>7813e47c086c71862b56668128876a8d550e91d265f5250e1e6fea4ffc0f53c4</x:v>
      </x:c>
    </x:row>
    <x:row r="411" ht="30" customHeight="1">
      <x:c r="A411" s="219" t="str">
        <x:v>SEQ-06</x:v>
      </x:c>
      <x:c r="B411" s="219" t="str">
        <x:v>iterations/I20_controlled_handoff/NATIVE_BINDING.json</x:v>
      </x:c>
      <x:c r="C411" s="219" t="str">
        <x:v>6f36235aab2349569f2cacf485912921762bc718e2a5fd5c4c72c2808ca2312b</x:v>
      </x:c>
    </x:row>
    <x:row r="412" ht="30" customHeight="1">
      <x:c r="A412" s="180" t="str">
        <x:v>SEQ-06</x:v>
      </x:c>
      <x:c r="B412" s="180" t="str">
        <x:v>current/SOURCE_EFFECTIVITY.json</x:v>
      </x:c>
      <x:c r="C412" s="180" t="str">
        <x:v>832fcdcc8cd7ebb9df2e169c8b9194011c37d138484da13fd5de05bd2657170d</x:v>
      </x:c>
    </x:row>
    <x:row r="413" ht="30" customHeight="1">
      <x:c r="A413" s="219" t="str">
        <x:v>SEQ-07</x:v>
      </x:c>
      <x:c r="B413" s="219" t="str">
        <x:v>control/FINAL_I04_BRINGUP_BINDING.json</x:v>
      </x:c>
      <x:c r="C413" s="219" t="str">
        <x:v>0a51eb793074e6b5eafbf20002325289bdd1e1b3a5174ae63fd79b937a76fd3f</x:v>
      </x:c>
    </x:row>
    <x:row r="414" ht="30" customHeight="1">
      <x:c r="A414" s="180" t="str">
        <x:v>SEQ-07</x:v>
      </x:c>
      <x:c r="B414" s="180" t="str">
        <x:v>control/RVB22_BRING_UP_AND_MEASUREMENT_CONTRACT.md</x:v>
      </x:c>
      <x:c r="C414" s="180" t="str">
        <x:v>449d38b93d0d99ec35d3545af7b198e3430a19aa20cbf59b6de2b60b0215331f</x:v>
      </x:c>
    </x:row>
    <x:row r="415" ht="30" customHeight="1">
      <x:c r="A415" s="219" t="str">
        <x:v>SEQ-07</x:v>
      </x:c>
      <x:c r="B415" s="219" t="str">
        <x:v>control/BRINGUP_ACTUAL_NODE_INDEX.json</x:v>
      </x:c>
      <x:c r="C415" s="219" t="str">
        <x:v>a63b8b544d5707e4ec2c6dcced8a01f7b216c553052681a5fa9f46bc3d7af6f8</x:v>
      </x:c>
    </x:row>
    <x:row r="416" ht="30" customHeight="1">
      <x:c r="A416" s="180" t="str">
        <x:v>SEQ-07</x:v>
      </x:c>
      <x:c r="B416" s="180" t="str">
        <x:v>analyses/power_i19/SUMMARY.json</x:v>
      </x:c>
      <x:c r="C416" s="180" t="str">
        <x:v>7813e47c086c71862b56668128876a8d550e91d265f5250e1e6fea4ffc0f53c4</x:v>
      </x:c>
    </x:row>
    <x:row r="417" ht="30" customHeight="1">
      <x:c r="A417" s="219" t="str">
        <x:v>SEQ-07</x:v>
      </x:c>
      <x:c r="B417" s="219" t="str">
        <x:v>iterations/I20_controlled_handoff/NATIVE_BINDING.json</x:v>
      </x:c>
      <x:c r="C417" s="219" t="str">
        <x:v>6f36235aab2349569f2cacf485912921762bc718e2a5fd5c4c72c2808ca2312b</x:v>
      </x:c>
    </x:row>
    <x:row r="418" ht="30" customHeight="1">
      <x:c r="A418" s="180" t="str">
        <x:v>SEQ-07</x:v>
      </x:c>
      <x:c r="B418" s="180" t="str">
        <x:v>current/SOURCE_EFFECTIVITY.json</x:v>
      </x:c>
      <x:c r="C418" s="180" t="str">
        <x:v>832fcdcc8cd7ebb9df2e169c8b9194011c37d138484da13fd5de05bd2657170d</x:v>
      </x:c>
    </x:row>
    <x:row r="419" ht="30" customHeight="1">
      <x:c r="A419" s="219" t="str">
        <x:v>SEQ-08</x:v>
      </x:c>
      <x:c r="B419" s="219" t="str">
        <x:v>lanes/firmware_oil/RECOVERED_RELEASE_CHECKS.json</x:v>
      </x:c>
      <x:c r="C419" s="219" t="str">
        <x:v>9d36ebab30769a0293ff2fcbd194a54f113e5444f8680565da51558ccce9cdf8</x:v>
      </x:c>
    </x:row>
    <x:row r="420" ht="30" customHeight="1">
      <x:c r="A420" s="180" t="str">
        <x:v>SEQ-08</x:v>
      </x:c>
      <x:c r="B420" s="180" t="str">
        <x:v>lanes/firmware_oil/RECOVERED_FIRMWARE_TEST_RESULTS.json</x:v>
      </x:c>
      <x:c r="C420" s="180" t="str">
        <x:v>c4c5df66ff54cba721fe8808062019f824df6e0b0c4869e78fd30626121dc725</x:v>
      </x:c>
    </x:row>
    <x:row r="421" ht="30" customHeight="1">
      <x:c r="A421" s="219" t="str">
        <x:v>SEQ-08</x:v>
      </x:c>
      <x:c r="B421" s="219" t="str">
        <x:v>analyses/power_i19/SUMMARY.json</x:v>
      </x:c>
      <x:c r="C421" s="219" t="str">
        <x:v>7813e47c086c71862b56668128876a8d550e91d265f5250e1e6fea4ffc0f53c4</x:v>
      </x:c>
    </x:row>
    <x:row r="422" ht="30" customHeight="1">
      <x:c r="A422" s="180" t="str">
        <x:v>SEQ-08</x:v>
      </x:c>
      <x:c r="B422" s="180" t="str">
        <x:v>iterations/I20_controlled_handoff/NATIVE_BINDING.json</x:v>
      </x:c>
      <x:c r="C422" s="180" t="str">
        <x:v>6f36235aab2349569f2cacf485912921762bc718e2a5fd5c4c72c2808ca2312b</x:v>
      </x:c>
    </x:row>
    <x:row r="423" ht="30" customHeight="1">
      <x:c r="A423" s="219" t="str">
        <x:v>SEQ-08</x:v>
      </x:c>
      <x:c r="B423" s="219" t="str">
        <x:v>current/SOURCE_EFFECTIVITY.json</x:v>
      </x:c>
      <x:c r="C423" s="219" t="str">
        <x:v>832fcdcc8cd7ebb9df2e169c8b9194011c37d138484da13fd5de05bd2657170d</x:v>
      </x:c>
    </x:row>
    <x:row r="424" ht="30" customHeight="1">
      <x:c r="A424" s="180" t="str">
        <x:v>SEQ-09</x:v>
      </x:c>
      <x:c r="B424" s="180" t="str">
        <x:v>lanes/firmware_oil/RECOVERED_FIRMWARE_TEST_RESULTS.json</x:v>
      </x:c>
      <x:c r="C424" s="180" t="str">
        <x:v>c4c5df66ff54cba721fe8808062019f824df6e0b0c4869e78fd30626121dc725</x:v>
      </x:c>
    </x:row>
    <x:row r="425" ht="30" customHeight="1">
      <x:c r="A425" s="219" t="str">
        <x:v>SEQ-09</x:v>
      </x:c>
      <x:c r="B425" s="219" t="str">
        <x:v>current/SOURCE_EFFECTIVITY.json</x:v>
      </x:c>
      <x:c r="C425" s="219" t="str">
        <x:v>832fcdcc8cd7ebb9df2e169c8b9194011c37d138484da13fd5de05bd2657170d</x:v>
      </x:c>
    </x:row>
    <x:row r="426" ht="30" customHeight="1">
      <x:c r="A426" s="180" t="str">
        <x:v>SEQ-09</x:v>
      </x:c>
      <x:c r="B426" s="180" t="str">
        <x:v>iterations/I20_controlled_handoff/NATIVE_BINDING.json</x:v>
      </x:c>
      <x:c r="C426" s="180" t="str">
        <x:v>6f36235aab2349569f2cacf485912921762bc718e2a5fd5c4c72c2808ca2312b</x:v>
      </x:c>
    </x:row>
    <x:row r="427" ht="30" customHeight="1">
      <x:c r="A427" s="219" t="str">
        <x:v>SEQ-10</x:v>
      </x:c>
      <x:c r="B427" s="219" t="str">
        <x:v>lanes/firmware_oil/RECOVERED_RELEASE_CHECKS.json</x:v>
      </x:c>
      <x:c r="C427" s="219" t="str">
        <x:v>9d36ebab30769a0293ff2fcbd194a54f113e5444f8680565da51558ccce9cdf8</x:v>
      </x:c>
    </x:row>
    <x:row r="428" ht="30" customHeight="1">
      <x:c r="A428" s="180" t="str">
        <x:v>SEQ-10</x:v>
      </x:c>
      <x:c r="B428" s="180" t="str">
        <x:v>lanes/firmware_oil/RECOVERED_FIRMWARE_TEST_RESULTS.json</x:v>
      </x:c>
      <x:c r="C428" s="180" t="str">
        <x:v>c4c5df66ff54cba721fe8808062019f824df6e0b0c4869e78fd30626121dc725</x:v>
      </x:c>
    </x:row>
    <x:row r="429" ht="30" customHeight="1">
      <x:c r="A429" s="219" t="str">
        <x:v>SEQ-10</x:v>
      </x:c>
      <x:c r="B429" s="219" t="str">
        <x:v>analyses/power_i19/SUMMARY.json</x:v>
      </x:c>
      <x:c r="C429" s="219" t="str">
        <x:v>7813e47c086c71862b56668128876a8d550e91d265f5250e1e6fea4ffc0f53c4</x:v>
      </x:c>
    </x:row>
    <x:row r="430" ht="30" customHeight="1">
      <x:c r="A430" s="180" t="str">
        <x:v>SEQ-10</x:v>
      </x:c>
      <x:c r="B430" s="180" t="str">
        <x:v>iterations/I20_controlled_handoff/NATIVE_BINDING.json</x:v>
      </x:c>
      <x:c r="C430" s="180" t="str">
        <x:v>6f36235aab2349569f2cacf485912921762bc718e2a5fd5c4c72c2808ca2312b</x:v>
      </x:c>
    </x:row>
    <x:row r="431" ht="30" customHeight="1">
      <x:c r="A431" s="219" t="str">
        <x:v>SEQ-10</x:v>
      </x:c>
      <x:c r="B431" s="219" t="str">
        <x:v>current/SOURCE_EFFECTIVITY.json</x:v>
      </x:c>
      <x:c r="C431" s="219" t="str">
        <x:v>832fcdcc8cd7ebb9df2e169c8b9194011c37d138484da13fd5de05bd2657170d</x:v>
      </x:c>
    </x:row>
    <x:row r="432" ht="30" customHeight="1">
      <x:c r="A432" s="180" t="str">
        <x:v>GND-01</x:v>
      </x:c>
      <x:c r="B432" s="180" t="str">
        <x:v>analyses/manufacturing_i20/RESULTS.json</x:v>
      </x:c>
      <x:c r="C432" s="180" t="str">
        <x:v>daa279f665dd6cad14f4ff36043abbce38c6ee51598e9ae7236d9974563476ac</x:v>
      </x:c>
    </x:row>
    <x:row r="433" ht="30" customHeight="1">
      <x:c r="A433" s="219" t="str">
        <x:v>GND-01</x:v>
      </x:c>
      <x:c r="B433" s="219" t="str">
        <x:v>current/SOURCE_EFFECTIVITY.json</x:v>
      </x:c>
      <x:c r="C433" s="219" t="str">
        <x:v>832fcdcc8cd7ebb9df2e169c8b9194011c37d138484da13fd5de05bd2657170d</x:v>
      </x:c>
    </x:row>
    <x:row r="434" ht="30" customHeight="1">
      <x:c r="A434" s="180" t="str">
        <x:v>GND-01</x:v>
      </x:c>
      <x:c r="B434" s="180" t="str">
        <x:v>control/REG07_SOURCE_COPPER_ANNOTATIONS.json</x:v>
      </x:c>
      <x:c r="C434" s="180" t="str">
        <x:v>22ade87152b7028fbc6d718ab3d42ec15c8363b62bc5d97714eea9aea0621c55</x:v>
      </x:c>
    </x:row>
    <x:row r="435" ht="30" customHeight="1">
      <x:c r="A435" s="219" t="str">
        <x:v>GND-02</x:v>
      </x:c>
      <x:c r="B435" s="219" t="str">
        <x:v>runtime/final_I06_actual_preflight/RESULT.json</x:v>
      </x:c>
      <x:c r="C435" s="219" t="str">
        <x:v>47d1ac4057b92a6752abacf976768596bf4fa311d08c9fc08df2d276e8e1200f</x:v>
      </x:c>
    </x:row>
    <x:row r="436" ht="30" customHeight="1">
      <x:c r="A436" s="180" t="str">
        <x:v>GND-02</x:v>
      </x:c>
      <x:c r="B436" s="180" t="str">
        <x:v>runtime/run_native_candidate.py</x:v>
      </x:c>
      <x:c r="C436" s="180" t="str">
        <x:v>187d303cb103cef92143d53c099615a435ceef29c0458d7ac9521205d451f315</x:v>
      </x:c>
    </x:row>
    <x:row r="437" ht="30" customHeight="1">
      <x:c r="A437" s="219" t="str">
        <x:v>GND-02</x:v>
      </x:c>
      <x:c r="B437" s="219" t="str">
        <x:v>analyses/manufacturing_i20/RESULTS.json</x:v>
      </x:c>
      <x:c r="C437" s="219" t="str">
        <x:v>daa279f665dd6cad14f4ff36043abbce38c6ee51598e9ae7236d9974563476ac</x:v>
      </x:c>
    </x:row>
    <x:row r="438" ht="30" customHeight="1">
      <x:c r="A438" s="180" t="str">
        <x:v>GND-02</x:v>
      </x:c>
      <x:c r="B438" s="180" t="str">
        <x:v>current/SOURCE_EFFECTIVITY.json</x:v>
      </x:c>
      <x:c r="C438" s="180" t="str">
        <x:v>832fcdcc8cd7ebb9df2e169c8b9194011c37d138484da13fd5de05bd2657170d</x:v>
      </x:c>
    </x:row>
    <x:row r="439" ht="30" customHeight="1">
      <x:c r="A439" s="219" t="str">
        <x:v>GND-03</x:v>
      </x:c>
      <x:c r="B439" s="219" t="str">
        <x:v>interfaces/HARNESS_INTERFACE_CONTRACT.json</x:v>
      </x:c>
      <x:c r="C439" s="219" t="str">
        <x:v>8de240d9bfbc5862fae2984984929e0c086bc37a255289129d312548cac3576a</x:v>
      </x:c>
    </x:row>
    <x:row r="440" ht="30" customHeight="1">
      <x:c r="A440" s="180" t="str">
        <x:v>GND-03</x:v>
      </x:c>
      <x:c r="B440" s="180" t="str">
        <x:v>interfaces/HARNESS_CHECKS.json</x:v>
      </x:c>
      <x:c r="C440" s="180" t="str">
        <x:v>c45fcc060f1cc5d87d9056329c8eac1e7a893cbae583086c5f0d3f5b43a29c9d</x:v>
      </x:c>
    </x:row>
    <x:row r="441" ht="30" customHeight="1">
      <x:c r="A441" s="219" t="str">
        <x:v>GND-03</x:v>
      </x:c>
      <x:c r="B441" s="219" t="str">
        <x:v>analyses/harness_wire/HARNESS_WIRE_DELTA.json</x:v>
      </x:c>
      <x:c r="C441" s="219" t="str">
        <x:v>709bdb5ea3ca0ba32fc78b0da3a1845b1d597fa82b4b3ce17c9ef2774798babe</x:v>
      </x:c>
    </x:row>
    <x:row r="442" ht="30" customHeight="1">
      <x:c r="A442" s="180" t="str">
        <x:v>GND-03</x:v>
      </x:c>
      <x:c r="B442" s="180" t="str">
        <x:v>interfaces/MOLEX_A1_HARNESS_REDLINE.json</x:v>
      </x:c>
      <x:c r="C442" s="180" t="str">
        <x:v>f7e6567d47cb426e6a19a6356f6dd1feda53c481c27e1631f39d4fe28174f28e</x:v>
      </x:c>
    </x:row>
    <x:row r="443" ht="30" customHeight="1">
      <x:c r="A443" s="219" t="str">
        <x:v>GND-03</x:v>
      </x:c>
      <x:c r="B443" s="219" t="str">
        <x:v>interfaces/SINGLE_RETURN_EFFECTIVITY.json</x:v>
      </x:c>
      <x:c r="C443" s="219" t="str">
        <x:v>6c7af28cea00c2a54f0765cf157f3b8630e9799cf9ee615f2210552134ffe640</x:v>
      </x:c>
    </x:row>
    <x:row r="444" ht="30" customHeight="1">
      <x:c r="A444" s="180" t="str">
        <x:v>GND-03</x:v>
      </x:c>
      <x:c r="B444" s="180" t="str">
        <x:v>interfaces/FINAL_I06_HARNESS_BINDING.json</x:v>
      </x:c>
      <x:c r="C444" s="180" t="str">
        <x:v>ea1271a3927330045a38668bb5208bd4aace21b828afc3f535bb34593ec04458</x:v>
      </x:c>
    </x:row>
    <x:row r="445" ht="30" customHeight="1">
      <x:c r="A445" s="219" t="str">
        <x:v>GND-03</x:v>
      </x:c>
      <x:c r="B445" s="219" t="str">
        <x:v>iterations/I06_harness_handoff/CANDIDATE_MANIFEST.json</x:v>
      </x:c>
      <x:c r="C445" s="219" t="str">
        <x:v>017aa6938b0cea4fcf5d02a0e28ba556e4a0c0485495f171a7d5aba15a703fc0</x:v>
      </x:c>
    </x:row>
    <x:row r="446" ht="30" customHeight="1">
      <x:c r="A446" s="180" t="str">
        <x:v>GND-03</x:v>
      </x:c>
      <x:c r="B446" s="180" t="str">
        <x:v>analyses/manufacturing_i20/RESULTS.json</x:v>
      </x:c>
      <x:c r="C446" s="180" t="str">
        <x:v>daa279f665dd6cad14f4ff36043abbce38c6ee51598e9ae7236d9974563476ac</x:v>
      </x:c>
    </x:row>
    <x:row r="447" ht="30" customHeight="1">
      <x:c r="A447" s="219" t="str">
        <x:v>GND-03</x:v>
      </x:c>
      <x:c r="B447" s="219" t="str">
        <x:v>current/SOURCE_EFFECTIVITY.json</x:v>
      </x:c>
      <x:c r="C447" s="219" t="str">
        <x:v>832fcdcc8cd7ebb9df2e169c8b9194011c37d138484da13fd5de05bd2657170d</x:v>
      </x:c>
    </x:row>
    <x:row r="448" ht="30" customHeight="1">
      <x:c r="A448" s="180" t="str">
        <x:v>GND-04</x:v>
      </x:c>
      <x:c r="B448" s="180" t="str">
        <x:v>lanes/power/FINAL_I04_POWER_EFFECTIVITY.json</x:v>
      </x:c>
      <x:c r="C448" s="180" t="str">
        <x:v>7614948f0477b3872c1893f2c8071300dad9a76bed2163a98c302fc2b08f0b26</x:v>
      </x:c>
    </x:row>
    <x:row r="449" ht="30" customHeight="1">
      <x:c r="A449" s="219" t="str">
        <x:v>GND-04</x:v>
      </x:c>
      <x:c r="B449" s="219" t="str">
        <x:v>lanes/power/COUPLED_STARTUP_ENVELOPE.json</x:v>
      </x:c>
      <x:c r="C449" s="219" t="str">
        <x:v>61403b7c7bb855edead8e74923d7d7aa3520f67e6ed50fb9e00818ee7fad28b5</x:v>
      </x:c>
    </x:row>
    <x:row r="450" ht="30" customHeight="1">
      <x:c r="A450" s="180" t="str">
        <x:v>GND-04</x:v>
      </x:c>
      <x:c r="B450" s="180" t="str">
        <x:v>lanes/power_limits/POWER_LIMITS_SUMMARY.json</x:v>
      </x:c>
      <x:c r="C450" s="180" t="str">
        <x:v>7dff1f6f253807926f9a5bfb7717bc18ea30e47607cb990bcc9025f7fd9007ef</x:v>
      </x:c>
    </x:row>
    <x:row r="451" ht="30" customHeight="1">
      <x:c r="A451" s="219" t="str">
        <x:v>GND-04</x:v>
      </x:c>
      <x:c r="B451" s="219" t="str">
        <x:v>analyses/manufacturing_i20/RESULTS.json</x:v>
      </x:c>
      <x:c r="C451" s="219" t="str">
        <x:v>daa279f665dd6cad14f4ff36043abbce38c6ee51598e9ae7236d9974563476ac</x:v>
      </x:c>
    </x:row>
    <x:row r="452" ht="30" customHeight="1">
      <x:c r="A452" s="180" t="str">
        <x:v>GND-04</x:v>
      </x:c>
      <x:c r="B452" s="180" t="str">
        <x:v>current/SOURCE_EFFECTIVITY.json</x:v>
      </x:c>
      <x:c r="C452" s="180" t="str">
        <x:v>832fcdcc8cd7ebb9df2e169c8b9194011c37d138484da13fd5de05bd2657170d</x:v>
      </x:c>
    </x:row>
    <x:row r="453" ht="30" customHeight="1">
      <x:c r="A453" s="219" t="str">
        <x:v>GND-05</x:v>
      </x:c>
      <x:c r="B453" s="219" t="str">
        <x:v>lanes/firmware_oil/RECOVERED_FIRMWARE_TEST_RESULTS.json</x:v>
      </x:c>
      <x:c r="C453" s="219" t="str">
        <x:v>c4c5df66ff54cba721fe8808062019f824df6e0b0c4869e78fd30626121dc725</x:v>
      </x:c>
    </x:row>
    <x:row r="454" ht="30" customHeight="1">
      <x:c r="A454" s="180" t="str">
        <x:v>GND-05</x:v>
      </x:c>
      <x:c r="B454" s="180" t="str">
        <x:v>lanes/firmware_oil/RECOVERY_CALIBRATION_GAIN_REDLINE.json</x:v>
      </x:c>
      <x:c r="C454" s="180" t="str">
        <x:v>4156482b336bece382dae6dcf618b2f7a5c26456dc57aaa1b574e169bd04cd9c</x:v>
      </x:c>
    </x:row>
    <x:row r="455" ht="30" customHeight="1">
      <x:c r="A455" s="219" t="str">
        <x:v>GND-05</x:v>
      </x:c>
      <x:c r="B455" s="219" t="str">
        <x:v>interfaces/OIL_HARNESS_ERROR_SWEEP.json</x:v>
      </x:c>
      <x:c r="C455" s="219" t="str">
        <x:v>1a0e3bbbfeb53fae48b38ab52575d6644f48d7ef4b534dd262f89c9cde0aa6a1</x:v>
      </x:c>
    </x:row>
    <x:row r="456" ht="30" customHeight="1">
      <x:c r="A456" s="180" t="str">
        <x:v>GND-05</x:v>
      </x:c>
      <x:c r="B456" s="180" t="str">
        <x:v>analyses/manufacturing_i20/RESULTS.json</x:v>
      </x:c>
      <x:c r="C456" s="180" t="str">
        <x:v>daa279f665dd6cad14f4ff36043abbce38c6ee51598e9ae7236d9974563476ac</x:v>
      </x:c>
    </x:row>
    <x:row r="457" ht="30" customHeight="1">
      <x:c r="A457" s="219" t="str">
        <x:v>GND-05</x:v>
      </x:c>
      <x:c r="B457" s="219" t="str">
        <x:v>current/SOURCE_EFFECTIVITY.json</x:v>
      </x:c>
      <x:c r="C457" s="219" t="str">
        <x:v>832fcdcc8cd7ebb9df2e169c8b9194011c37d138484da13fd5de05bd2657170d</x:v>
      </x:c>
    </x:row>
    <x:row r="458" ht="30" customHeight="1">
      <x:c r="A458" s="180" t="str">
        <x:v>GND-06</x:v>
      </x:c>
      <x:c r="B458" s="180" t="str">
        <x:v>interfaces/HARNESS_INTERFACE_CONTRACT.json</x:v>
      </x:c>
      <x:c r="C458" s="180" t="str">
        <x:v>8de240d9bfbc5862fae2984984929e0c086bc37a255289129d312548cac3576a</x:v>
      </x:c>
    </x:row>
    <x:row r="459" ht="30" customHeight="1">
      <x:c r="A459" s="219" t="str">
        <x:v>GND-06</x:v>
      </x:c>
      <x:c r="B459" s="219" t="str">
        <x:v>interfaces/HARNESS_CHECKS.json</x:v>
      </x:c>
      <x:c r="C459" s="219" t="str">
        <x:v>c45fcc060f1cc5d87d9056329c8eac1e7a893cbae583086c5f0d3f5b43a29c9d</x:v>
      </x:c>
    </x:row>
    <x:row r="460" ht="30" customHeight="1">
      <x:c r="A460" s="180" t="str">
        <x:v>GND-06</x:v>
      </x:c>
      <x:c r="B460" s="180" t="str">
        <x:v>analyses/harness_wire/HARNESS_WIRE_DELTA.json</x:v>
      </x:c>
      <x:c r="C460" s="180" t="str">
        <x:v>709bdb5ea3ca0ba32fc78b0da3a1845b1d597fa82b4b3ce17c9ef2774798babe</x:v>
      </x:c>
    </x:row>
    <x:row r="461" ht="30" customHeight="1">
      <x:c r="A461" s="219" t="str">
        <x:v>GND-06</x:v>
      </x:c>
      <x:c r="B461" s="219" t="str">
        <x:v>interfaces/MOLEX_A1_HARNESS_REDLINE.json</x:v>
      </x:c>
      <x:c r="C461" s="219" t="str">
        <x:v>f7e6567d47cb426e6a19a6356f6dd1feda53c481c27e1631f39d4fe28174f28e</x:v>
      </x:c>
    </x:row>
    <x:row r="462" ht="30" customHeight="1">
      <x:c r="A462" s="180" t="str">
        <x:v>GND-06</x:v>
      </x:c>
      <x:c r="B462" s="180" t="str">
        <x:v>interfaces/SINGLE_RETURN_EFFECTIVITY.json</x:v>
      </x:c>
      <x:c r="C462" s="180" t="str">
        <x:v>6c7af28cea00c2a54f0765cf157f3b8630e9799cf9ee615f2210552134ffe640</x:v>
      </x:c>
    </x:row>
    <x:row r="463" ht="30" customHeight="1">
      <x:c r="A463" s="219" t="str">
        <x:v>GND-06</x:v>
      </x:c>
      <x:c r="B463" s="219" t="str">
        <x:v>interfaces/FINAL_I06_HARNESS_BINDING.json</x:v>
      </x:c>
      <x:c r="C463" s="219" t="str">
        <x:v>ea1271a3927330045a38668bb5208bd4aace21b828afc3f535bb34593ec04458</x:v>
      </x:c>
    </x:row>
    <x:row r="464" ht="30" customHeight="1">
      <x:c r="A464" s="180" t="str">
        <x:v>GND-06</x:v>
      </x:c>
      <x:c r="B464" s="180" t="str">
        <x:v>iterations/I06_harness_handoff/CANDIDATE_MANIFEST.json</x:v>
      </x:c>
      <x:c r="C464" s="180" t="str">
        <x:v>017aa6938b0cea4fcf5d02a0e28ba556e4a0c0485495f171a7d5aba15a703fc0</x:v>
      </x:c>
    </x:row>
    <x:row r="465" ht="30" customHeight="1">
      <x:c r="A465" s="219" t="str">
        <x:v>GND-06</x:v>
      </x:c>
      <x:c r="B465" s="219" t="str">
        <x:v>analyses/manufacturing_i20/RESULTS.json</x:v>
      </x:c>
      <x:c r="C465" s="219" t="str">
        <x:v>daa279f665dd6cad14f4ff36043abbce38c6ee51598e9ae7236d9974563476ac</x:v>
      </x:c>
    </x:row>
    <x:row r="466" ht="30" customHeight="1">
      <x:c r="A466" s="180" t="str">
        <x:v>GND-06</x:v>
      </x:c>
      <x:c r="B466" s="180" t="str">
        <x:v>current/SOURCE_EFFECTIVITY.json</x:v>
      </x:c>
      <x:c r="C466" s="180" t="str">
        <x:v>832fcdcc8cd7ebb9df2e169c8b9194011c37d138484da13fd5de05bd2657170d</x:v>
      </x:c>
    </x:row>
    <x:row r="467" ht="30" customHeight="1">
      <x:c r="A467" s="219" t="str">
        <x:v>GND-07</x:v>
      </x:c>
      <x:c r="B467" s="219" t="str">
        <x:v>lanes/emc/EMC_DESKTOP_REPORT.md</x:v>
      </x:c>
      <x:c r="C467" s="219" t="str">
        <x:v>101c4622a26e2d9d73f53b86453962ef79d56eb71cac11b7f0f3b03b8fd1248f</x:v>
      </x:c>
    </x:row>
    <x:row r="468" ht="30" customHeight="1">
      <x:c r="A468" s="180" t="str">
        <x:v>GND-07</x:v>
      </x:c>
      <x:c r="B468" s="180" t="str">
        <x:v>lanes/emc/REDLINE_DISPOSITIONS.json</x:v>
      </x:c>
      <x:c r="C468" s="180" t="str">
        <x:v>1e44cc67b597f207b26b6ae31da1dcf5efa4d89b02e1df66c7f8b06b47f34be2</x:v>
      </x:c>
    </x:row>
    <x:row r="469" ht="30" customHeight="1">
      <x:c r="A469" s="219" t="str">
        <x:v>GND-07</x:v>
      </x:c>
      <x:c r="B469" s="219" t="str">
        <x:v>lanes/emc/EMC_NUMERICAL_VERIFICATION.json</x:v>
      </x:c>
      <x:c r="C469" s="219" t="str">
        <x:v>dfcf84e50264ea556b24d61b6f41a0091682506644728ded71bea525a80f6b30</x:v>
      </x:c>
    </x:row>
    <x:row r="470" ht="30" customHeight="1">
      <x:c r="A470" s="180" t="str">
        <x:v>GND-07</x:v>
      </x:c>
      <x:c r="B470" s="180" t="str">
        <x:v>analyses/manufacturing_i20/RESULTS.json</x:v>
      </x:c>
      <x:c r="C470" s="180" t="str">
        <x:v>daa279f665dd6cad14f4ff36043abbce38c6ee51598e9ae7236d9974563476ac</x:v>
      </x:c>
    </x:row>
    <x:row r="471" ht="30" customHeight="1">
      <x:c r="A471" s="219" t="str">
        <x:v>GND-07</x:v>
      </x:c>
      <x:c r="B471" s="219" t="str">
        <x:v>current/SOURCE_EFFECTIVITY.json</x:v>
      </x:c>
      <x:c r="C471" s="219" t="str">
        <x:v>832fcdcc8cd7ebb9df2e169c8b9194011c37d138484da13fd5de05bd2657170d</x:v>
      </x:c>
    </x:row>
    <x:row r="472" ht="30" customHeight="1">
      <x:c r="A472" s="180" t="str">
        <x:v>GND-08</x:v>
      </x:c>
      <x:c r="B472" s="180" t="str">
        <x:v>analyses/manufacturing_i20/RESULTS.json</x:v>
      </x:c>
      <x:c r="C472" s="180" t="str">
        <x:v>daa279f665dd6cad14f4ff36043abbce38c6ee51598e9ae7236d9974563476ac</x:v>
      </x:c>
    </x:row>
    <x:row r="473" ht="30" customHeight="1">
      <x:c r="A473" s="219" t="str">
        <x:v>GND-08</x:v>
      </x:c>
      <x:c r="B473" s="219" t="str">
        <x:v>iterations/I20_controlled_handoff/NATIVE_BINDING.json</x:v>
      </x:c>
      <x:c r="C473" s="219" t="str">
        <x:v>6f36235aab2349569f2cacf485912921762bc718e2a5fd5c4c72c2808ca2312b</x:v>
      </x:c>
    </x:row>
    <x:row r="474" ht="30" customHeight="1">
      <x:c r="A474" s="180" t="str">
        <x:v>GND-08</x:v>
      </x:c>
      <x:c r="B474" s="180" t="str">
        <x:v>current/SOURCE_EFFECTIVITY.json</x:v>
      </x:c>
      <x:c r="C474" s="180" t="str">
        <x:v>832fcdcc8cd7ebb9df2e169c8b9194011c37d138484da13fd5de05bd2657170d</x:v>
      </x:c>
    </x:row>
    <x:row r="475" ht="30" customHeight="1">
      <x:c r="A475" s="219" t="str">
        <x:v>GND-09</x:v>
      </x:c>
      <x:c r="B475" s="219" t="str">
        <x:v>analyses/lost_ground/LOST_GROUND_RESULTS_RECONSTRUCTED.json</x:v>
      </x:c>
      <x:c r="C475" s="219" t="str">
        <x:v>6ec9e99b4e2287669bd61062f5f19192e51c8c3a6296adf6456426cd3586e7c8</x:v>
      </x:c>
    </x:row>
    <x:row r="476" ht="30" customHeight="1">
      <x:c r="A476" s="180" t="str">
        <x:v>GND-09</x:v>
      </x:c>
      <x:c r="B476" s="180" t="str">
        <x:v>interfaces/LOST_GROUND_FINITE_DC_SCREEN.json</x:v>
      </x:c>
      <x:c r="C476" s="180" t="str">
        <x:v>3919193bd4f1eec855eaf45dbf6fdd55673073c59c38a3f9e77aee07dd8cd906</x:v>
      </x:c>
    </x:row>
    <x:row r="477" ht="30" customHeight="1">
      <x:c r="A477" s="219" t="str">
        <x:v>GND-09</x:v>
      </x:c>
      <x:c r="B477" s="219" t="str">
        <x:v>interfaces/HARNESS_INTERFACE_CONTRACT.json</x:v>
      </x:c>
      <x:c r="C477" s="219" t="str">
        <x:v>8de240d9bfbc5862fae2984984929e0c086bc37a255289129d312548cac3576a</x:v>
      </x:c>
    </x:row>
    <x:row r="478" ht="30" customHeight="1">
      <x:c r="A478" s="180" t="str">
        <x:v>GND-09</x:v>
      </x:c>
      <x:c r="B478" s="180" t="str">
        <x:v>interfaces/SINGLE_RETURN_EFFECTIVITY.json</x:v>
      </x:c>
      <x:c r="C478" s="180" t="str">
        <x:v>6c7af28cea00c2a54f0765cf157f3b8630e9799cf9ee615f2210552134ffe640</x:v>
      </x:c>
    </x:row>
    <x:row r="479" ht="30" customHeight="1">
      <x:c r="A479" s="219" t="str">
        <x:v>GND-09</x:v>
      </x:c>
      <x:c r="B479" s="219" t="str">
        <x:v>analyses/manufacturing_i20/RESULTS.json</x:v>
      </x:c>
      <x:c r="C479" s="219" t="str">
        <x:v>daa279f665dd6cad14f4ff36043abbce38c6ee51598e9ae7236d9974563476ac</x:v>
      </x:c>
    </x:row>
    <x:row r="480" ht="30" customHeight="1">
      <x:c r="A480" s="180" t="str">
        <x:v>GND-09</x:v>
      </x:c>
      <x:c r="B480" s="180" t="str">
        <x:v>current/SOURCE_EFFECTIVITY.json</x:v>
      </x:c>
      <x:c r="C480" s="180" t="str">
        <x:v>832fcdcc8cd7ebb9df2e169c8b9194011c37d138484da13fd5de05bd2657170d</x:v>
      </x:c>
    </x:row>
    <x:row r="481" ht="30" customHeight="1">
      <x:c r="A481" s="219" t="str">
        <x:v>GND-10</x:v>
      </x:c>
      <x:c r="B481" s="219" t="str">
        <x:v>control/RVB22_BRING_UP_AND_MEASUREMENT_CONTRACT.md</x:v>
      </x:c>
      <x:c r="C481" s="219" t="str">
        <x:v>449d38b93d0d99ec35d3545af7b198e3430a19aa20cbf59b6de2b60b0215331f</x:v>
      </x:c>
    </x:row>
    <x:row r="482" ht="30" customHeight="1">
      <x:c r="A482" s="180" t="str">
        <x:v>GND-10</x:v>
      </x:c>
      <x:c r="B482" s="180" t="str">
        <x:v>control/BRINGUP_SCHEMATIC_TEXT_DELTA.json</x:v>
      </x:c>
      <x:c r="C482" s="180" t="str">
        <x:v>b375d56d6cc12ce36313d7ee538c3bc384127c76eb41fea363ce7911556415ee</x:v>
      </x:c>
    </x:row>
    <x:row r="483" ht="30" customHeight="1">
      <x:c r="A483" s="219" t="str">
        <x:v>GND-10</x:v>
      </x:c>
      <x:c r="B483" s="219" t="str">
        <x:v>control/BRINGUP_ACTUAL_NODE_INDEX.json</x:v>
      </x:c>
      <x:c r="C483" s="219" t="str">
        <x:v>a63b8b544d5707e4ec2c6dcced8a01f7b216c553052681a5fa9f46bc3d7af6f8</x:v>
      </x:c>
    </x:row>
    <x:row r="484" ht="30" customHeight="1">
      <x:c r="A484" s="180" t="str">
        <x:v>GND-10</x:v>
      </x:c>
      <x:c r="B484" s="180" t="str">
        <x:v>control/FINAL_I04_BRINGUP_BINDING.json</x:v>
      </x:c>
      <x:c r="C484" s="180" t="str">
        <x:v>0a51eb793074e6b5eafbf20002325289bdd1e1b3a5174ae63fd79b937a76fd3f</x:v>
      </x:c>
    </x:row>
    <x:row r="485" ht="30" customHeight="1">
      <x:c r="A485" s="219" t="str">
        <x:v>GND-10</x:v>
      </x:c>
      <x:c r="B485" s="219" t="str">
        <x:v>analyses/manufacturing_i20/RESULTS.json</x:v>
      </x:c>
      <x:c r="C485" s="219" t="str">
        <x:v>daa279f665dd6cad14f4ff36043abbce38c6ee51598e9ae7236d9974563476ac</x:v>
      </x:c>
    </x:row>
    <x:row r="486" ht="30" customHeight="1">
      <x:c r="A486" s="180" t="str">
        <x:v>GND-10</x:v>
      </x:c>
      <x:c r="B486" s="180" t="str">
        <x:v>current/SOURCE_EFFECTIVITY.json</x:v>
      </x:c>
      <x:c r="C486" s="180" t="str">
        <x:v>832fcdcc8cd7ebb9df2e169c8b9194011c37d138484da13fd5de05bd2657170d</x:v>
      </x:c>
    </x:row>
    <x:row r="487" ht="30" customHeight="1">
      <x:c r="A487" s="219" t="str">
        <x:v>VIA-01</x:v>
      </x:c>
      <x:c r="B487" s="219" t="str">
        <x:v>lanes/oil_cap/OIL_CAP_GEOMETRY_REPORT.json</x:v>
      </x:c>
      <x:c r="C487" s="219" t="str">
        <x:v>d4166613bd2279bb696cb5c6adb26256ae80e679d66d7e6009df7ae60b9428bd</x:v>
      </x:c>
    </x:row>
    <x:row r="488" ht="30" customHeight="1">
      <x:c r="A488" s="180" t="str">
        <x:v>VIA-01</x:v>
      </x:c>
      <x:c r="B488" s="180" t="str">
        <x:v>lanes/oil_cap/OIL_CAP_SAME_NET_CONTACTS.json</x:v>
      </x:c>
      <x:c r="C488" s="180" t="str">
        <x:v>2f5dee7d7f4155806d436db4b7091bf62f5f674cf59479508a2880e9a32e28ec</x:v>
      </x:c>
    </x:row>
    <x:row r="489" ht="30" customHeight="1">
      <x:c r="A489" s="219" t="str">
        <x:v>VIA-01</x:v>
      </x:c>
      <x:c r="B489" s="219" t="str">
        <x:v>control/check_combined_copper.py</x:v>
      </x:c>
      <x:c r="C489" s="219" t="str">
        <x:v>5f0e5cb0ceffd8ea3a07fca51209f90225f7b708d666ca33bb5df175fe936c2a</x:v>
      </x:c>
    </x:row>
    <x:row r="490" ht="30" customHeight="1">
      <x:c r="A490" s="180" t="str">
        <x:v>VIA-01</x:v>
      </x:c>
      <x:c r="B490" s="180" t="str">
        <x:v>lanes/oil_cap/FINAL_C532_SUBGRAPH_BINDING.json</x:v>
      </x:c>
      <x:c r="C490" s="180" t="str">
        <x:v>28967e7b5768764cc5528550516b41c0b77bee732da05d6a03bbde0e3ef6dc94</x:v>
      </x:c>
    </x:row>
    <x:row r="491" ht="30" customHeight="1">
      <x:c r="A491" s="219" t="str">
        <x:v>VIA-01</x:v>
      </x:c>
      <x:c r="B491" s="219" t="str">
        <x:v>iterations/I04_compact_shunt/COMBINED_COPPER_CHECK.json</x:v>
      </x:c>
      <x:c r="C491" s="219" t="str">
        <x:v>dbe14bde92d2e9445f4765e4ff8ac028412039b5e90b4b3a42870684391933e5</x:v>
      </x:c>
    </x:row>
    <x:row r="492" ht="30" customHeight="1">
      <x:c r="A492" s="180" t="str">
        <x:v>VIA-01</x:v>
      </x:c>
      <x:c r="B492" s="180" t="str">
        <x:v>iterations/I04_compact_shunt/COURTYARD_CHECK.json</x:v>
      </x:c>
      <x:c r="C492" s="180" t="str">
        <x:v>6e080d8a723d8a3c7ae1665078acf472b0a39e433bc64fe21516790ff5541ab2</x:v>
      </x:c>
    </x:row>
    <x:row r="493" ht="30" customHeight="1">
      <x:c r="A493" s="219" t="str">
        <x:v>VIA-01</x:v>
      </x:c>
      <x:c r="B493" s="219" t="str">
        <x:v>verification/independent/I04_SOURCE_AND_GATE_AUDIT.json</x:v>
      </x:c>
      <x:c r="C493" s="219" t="str">
        <x:v>18fceb8cec99fceb6476a5439d12fc57798a8b226e25607bf54b179f0f063d75</x:v>
      </x:c>
    </x:row>
    <x:row r="494" ht="30" customHeight="1">
      <x:c r="A494" s="180" t="str">
        <x:v>VIA-01</x:v>
      </x:c>
      <x:c r="B494" s="180" t="str">
        <x:v>analyses/manufacturing_i20/RESULTS.json</x:v>
      </x:c>
      <x:c r="C494" s="180" t="str">
        <x:v>daa279f665dd6cad14f4ff36043abbce38c6ee51598e9ae7236d9974563476ac</x:v>
      </x:c>
    </x:row>
    <x:row r="495" ht="30" customHeight="1">
      <x:c r="A495" s="219" t="str">
        <x:v>VIA-01</x:v>
      </x:c>
      <x:c r="B495" s="219" t="str">
        <x:v>analyses/service_i19/RESULTS.json</x:v>
      </x:c>
      <x:c r="C495" s="219" t="str">
        <x:v>06cbb09e55a98a0039d0cab06f26b85f8af741c8b1c075991283a397f94f47fe</x:v>
      </x:c>
    </x:row>
    <x:row r="496" ht="30" customHeight="1">
      <x:c r="A496" s="180" t="str">
        <x:v>VIA-02</x:v>
      </x:c>
      <x:c r="B496" s="180" t="str">
        <x:v>analyses/manufacturing_i20/RESULTS.json</x:v>
      </x:c>
      <x:c r="C496" s="180" t="str">
        <x:v>daa279f665dd6cad14f4ff36043abbce38c6ee51598e9ae7236d9974563476ac</x:v>
      </x:c>
    </x:row>
    <x:row r="497" ht="30" customHeight="1">
      <x:c r="A497" s="219" t="str">
        <x:v>VIA-02</x:v>
      </x:c>
      <x:c r="B497" s="219" t="str">
        <x:v>analyses/rf_i18/EXTENDED_NETWORK_RESULTS.json</x:v>
      </x:c>
      <x:c r="C497" s="219" t="str">
        <x:v>74c5bb43e910fb4145f5f2a8e72934d4fc36e6c5e6d00f7f8bf45b80fb486252</x:v>
      </x:c>
    </x:row>
    <x:row r="498" ht="30" customHeight="1">
      <x:c r="A498" s="180" t="str">
        <x:v>VIA-02</x:v>
      </x:c>
      <x:c r="B498" s="180" t="str">
        <x:v>current/SOURCE_EFFECTIVITY.json</x:v>
      </x:c>
      <x:c r="C498" s="180" t="str">
        <x:v>832fcdcc8cd7ebb9df2e169c8b9194011c37d138484da13fd5de05bd2657170d</x:v>
      </x:c>
    </x:row>
    <x:row r="499" ht="30" customHeight="1">
      <x:c r="A499" s="219" t="str">
        <x:v>VIA-03</x:v>
      </x:c>
      <x:c r="B499" s="219" t="str">
        <x:v>lanes/rf/RF_FINAL_REPORT.md</x:v>
      </x:c>
      <x:c r="C499" s="219" t="str">
        <x:v>3fdd717e298f9671baa0d0bd7e612e526623cf035b1ff575a9a5dc8ba1536ce1</x:v>
      </x:c>
    </x:row>
    <x:row r="500" ht="30" customHeight="1">
      <x:c r="A500" s="180" t="str">
        <x:v>VIA-03</x:v>
      </x:c>
      <x:c r="B500" s="180" t="str">
        <x:v>lanes/rf/RF_FINAL_SUMMARY.json</x:v>
      </x:c>
      <x:c r="C500" s="180" t="str">
        <x:v>2bc67f3c75f646a9f78d6da59e201a8ce2bb511d46ca790af21525498545cd76</x:v>
      </x:c>
    </x:row>
    <x:row r="501" ht="30" customHeight="1">
      <x:c r="A501" s="219" t="str">
        <x:v>VIA-03</x:v>
      </x:c>
      <x:c r="B501" s="219" t="str">
        <x:v>lanes/rf/RF_I04_ADDENDUM.md</x:v>
      </x:c>
      <x:c r="C501" s="219" t="str">
        <x:v>a10485f6d1e16e37566e6ab1b7d8b6dc6b55d8e632ec8c2939f3a60188741b51</x:v>
      </x:c>
    </x:row>
    <x:row r="502" ht="30" customHeight="1">
      <x:c r="A502" s="180" t="str">
        <x:v>VIA-03</x:v>
      </x:c>
      <x:c r="B502" s="180" t="str">
        <x:v>lanes/rf/RF_I04_SUMMARY.json</x:v>
      </x:c>
      <x:c r="C502" s="180" t="str">
        <x:v>acfa57ec9f135bae0fc67b784b6851dfbb05847f7e383abf948d1c8d4d82f1ce</x:v>
      </x:c>
    </x:row>
    <x:row r="503" ht="30" customHeight="1">
      <x:c r="A503" s="219" t="str">
        <x:v>VIA-03</x:v>
      </x:c>
      <x:c r="B503" s="219" t="str">
        <x:v>lanes/rf/FINAL_I04_SOURCE_BINDING.json</x:v>
      </x:c>
      <x:c r="C503" s="219" t="str">
        <x:v>377d251ef846085d22e6ed6d8c955760b55da0e985fa2aa1b3e0bb4c0d5f6c63</x:v>
      </x:c>
    </x:row>
    <x:row r="504" ht="30" customHeight="1">
      <x:c r="A504" s="180" t="str">
        <x:v>VIA-03</x:v>
      </x:c>
      <x:c r="B504" s="180" t="str">
        <x:v>lanes/emc/EMC_SUMMARY.json</x:v>
      </x:c>
      <x:c r="C504" s="180" t="str">
        <x:v>07646b33a327ac54aec8026ed70ae457146b5918221fabc9022dee1f950b226d</x:v>
      </x:c>
    </x:row>
    <x:row r="505" ht="30" customHeight="1">
      <x:c r="A505" s="219" t="str">
        <x:v>VIA-03</x:v>
      </x:c>
      <x:c r="B505" s="219" t="str">
        <x:v>analyses/manufacturing_i20/RESULTS.json</x:v>
      </x:c>
      <x:c r="C505" s="219" t="str">
        <x:v>daa279f665dd6cad14f4ff36043abbce38c6ee51598e9ae7236d9974563476ac</x:v>
      </x:c>
    </x:row>
    <x:row r="506" ht="30" customHeight="1">
      <x:c r="A506" s="180" t="str">
        <x:v>VIA-03</x:v>
      </x:c>
      <x:c r="B506" s="180" t="str">
        <x:v>analyses/service_i19/RESULTS.json</x:v>
      </x:c>
      <x:c r="C506" s="180" t="str">
        <x:v>06cbb09e55a98a0039d0cab06f26b85f8af741c8b1c075991283a397f94f47fe</x:v>
      </x:c>
    </x:row>
    <x:row r="507" ht="30" customHeight="1">
      <x:c r="A507" s="219" t="str">
        <x:v>VIA-04</x:v>
      </x:c>
      <x:c r="B507" s="219" t="str">
        <x:v>lanes/rf/RF_FINAL_REPORT.md</x:v>
      </x:c>
      <x:c r="C507" s="219" t="str">
        <x:v>3fdd717e298f9671baa0d0bd7e612e526623cf035b1ff575a9a5dc8ba1536ce1</x:v>
      </x:c>
    </x:row>
    <x:row r="508" ht="30" customHeight="1">
      <x:c r="A508" s="180" t="str">
        <x:v>VIA-04</x:v>
      </x:c>
      <x:c r="B508" s="180" t="str">
        <x:v>lanes/rf/RF_FINAL_SUMMARY.json</x:v>
      </x:c>
      <x:c r="C508" s="180" t="str">
        <x:v>2bc67f3c75f646a9f78d6da59e201a8ce2bb511d46ca790af21525498545cd76</x:v>
      </x:c>
    </x:row>
    <x:row r="509" ht="30" customHeight="1">
      <x:c r="A509" s="219" t="str">
        <x:v>VIA-04</x:v>
      </x:c>
      <x:c r="B509" s="219" t="str">
        <x:v>lanes/rf/RF_I04_ADDENDUM.md</x:v>
      </x:c>
      <x:c r="C509" s="219" t="str">
        <x:v>a10485f6d1e16e37566e6ab1b7d8b6dc6b55d8e632ec8c2939f3a60188741b51</x:v>
      </x:c>
    </x:row>
    <x:row r="510" ht="30" customHeight="1">
      <x:c r="A510" s="180" t="str">
        <x:v>VIA-04</x:v>
      </x:c>
      <x:c r="B510" s="180" t="str">
        <x:v>lanes/rf/RF_I04_SUMMARY.json</x:v>
      </x:c>
      <x:c r="C510" s="180" t="str">
        <x:v>acfa57ec9f135bae0fc67b784b6851dfbb05847f7e383abf948d1c8d4d82f1ce</x:v>
      </x:c>
    </x:row>
    <x:row r="511" ht="30" customHeight="1">
      <x:c r="A511" s="219" t="str">
        <x:v>VIA-04</x:v>
      </x:c>
      <x:c r="B511" s="219" t="str">
        <x:v>lanes/rf/FINAL_I04_SOURCE_BINDING.json</x:v>
      </x:c>
      <x:c r="C511" s="219" t="str">
        <x:v>377d251ef846085d22e6ed6d8c955760b55da0e985fa2aa1b3e0bb4c0d5f6c63</x:v>
      </x:c>
    </x:row>
    <x:row r="512" ht="30" customHeight="1">
      <x:c r="A512" s="180" t="str">
        <x:v>VIA-04</x:v>
      </x:c>
      <x:c r="B512" s="180" t="str">
        <x:v>lanes/emc/EMC_SUMMARY.json</x:v>
      </x:c>
      <x:c r="C512" s="180" t="str">
        <x:v>07646b33a327ac54aec8026ed70ae457146b5918221fabc9022dee1f950b226d</x:v>
      </x:c>
    </x:row>
    <x:row r="513" ht="30" customHeight="1">
      <x:c r="A513" s="219" t="str">
        <x:v>VIA-04</x:v>
      </x:c>
      <x:c r="B513" s="219" t="str">
        <x:v>analyses/manufacturing_i20/RESULTS.json</x:v>
      </x:c>
      <x:c r="C513" s="219" t="str">
        <x:v>daa279f665dd6cad14f4ff36043abbce38c6ee51598e9ae7236d9974563476ac</x:v>
      </x:c>
    </x:row>
    <x:row r="514" ht="30" customHeight="1">
      <x:c r="A514" s="180" t="str">
        <x:v>VIA-04</x:v>
      </x:c>
      <x:c r="B514" s="180" t="str">
        <x:v>analyses/service_i19/RESULTS.json</x:v>
      </x:c>
      <x:c r="C514" s="180" t="str">
        <x:v>06cbb09e55a98a0039d0cab06f26b85f8af741c8b1c075991283a397f94f47fe</x:v>
      </x:c>
    </x:row>
    <x:row r="515" ht="30" customHeight="1">
      <x:c r="A515" s="219" t="str">
        <x:v>VIA-05</x:v>
      </x:c>
      <x:c r="B515" s="219" t="str">
        <x:v>analyses/manufacturing_i20/RESULTS.json</x:v>
      </x:c>
      <x:c r="C515" s="219" t="str">
        <x:v>daa279f665dd6cad14f4ff36043abbce38c6ee51598e9ae7236d9974563476ac</x:v>
      </x:c>
    </x:row>
    <x:row r="516" ht="30" customHeight="1">
      <x:c r="A516" s="180" t="str">
        <x:v>VIA-05</x:v>
      </x:c>
      <x:c r="B516" s="180" t="str">
        <x:v>current/SOURCE_EFFECTIVITY.json</x:v>
      </x:c>
      <x:c r="C516" s="180" t="str">
        <x:v>832fcdcc8cd7ebb9df2e169c8b9194011c37d138484da13fd5de05bd2657170d</x:v>
      </x:c>
    </x:row>
    <x:row r="517" ht="30" customHeight="1">
      <x:c r="A517" s="219" t="str">
        <x:v>VIA-05</x:v>
      </x:c>
      <x:c r="B517" s="219" t="str">
        <x:v>analyses/rf_i18/EXTENDED_NETWORK_RESULTS.json</x:v>
      </x:c>
      <x:c r="C517" s="219" t="str">
        <x:v>74c5bb43e910fb4145f5f2a8e72934d4fc36e6c5e6d00f7f8bf45b80fb486252</x:v>
      </x:c>
    </x:row>
    <x:row r="518" ht="30" customHeight="1">
      <x:c r="A518" s="180" t="str">
        <x:v>VIA-06</x:v>
      </x:c>
      <x:c r="B518" s="180" t="str">
        <x:v>lanes/power/FINAL_I04_POWER_EFFECTIVITY.json</x:v>
      </x:c>
      <x:c r="C518" s="180" t="str">
        <x:v>7614948f0477b3872c1893f2c8071300dad9a76bed2163a98c302fc2b08f0b26</x:v>
      </x:c>
    </x:row>
    <x:row r="519" ht="30" customHeight="1">
      <x:c r="A519" s="219" t="str">
        <x:v>VIA-06</x:v>
      </x:c>
      <x:c r="B519" s="219" t="str">
        <x:v>lanes/power/COUPLED_STARTUP_ENVELOPE.json</x:v>
      </x:c>
      <x:c r="C519" s="219" t="str">
        <x:v>61403b7c7bb855edead8e74923d7d7aa3520f67e6ed50fb9e00818ee7fad28b5</x:v>
      </x:c>
    </x:row>
    <x:row r="520" ht="30" customHeight="1">
      <x:c r="A520" s="180" t="str">
        <x:v>VIA-06</x:v>
      </x:c>
      <x:c r="B520" s="180" t="str">
        <x:v>lanes/power_limits/POWER_LIMITS_SUMMARY.json</x:v>
      </x:c>
      <x:c r="C520" s="180" t="str">
        <x:v>7dff1f6f253807926f9a5bfb7717bc18ea30e47607cb990bcc9025f7fd9007ef</x:v>
      </x:c>
    </x:row>
    <x:row r="521" ht="30" customHeight="1">
      <x:c r="A521" s="219" t="str">
        <x:v>VIA-06</x:v>
      </x:c>
      <x:c r="B521" s="219" t="str">
        <x:v>analyses/manufacturing_i20/RESULTS.json</x:v>
      </x:c>
      <x:c r="C521" s="219" t="str">
        <x:v>daa279f665dd6cad14f4ff36043abbce38c6ee51598e9ae7236d9974563476ac</x:v>
      </x:c>
    </x:row>
    <x:row r="522" ht="30" customHeight="1">
      <x:c r="A522" s="180" t="str">
        <x:v>VIA-06</x:v>
      </x:c>
      <x:c r="B522" s="180" t="str">
        <x:v>analyses/service_i19/RESULTS.json</x:v>
      </x:c>
      <x:c r="C522" s="180" t="str">
        <x:v>06cbb09e55a98a0039d0cab06f26b85f8af741c8b1c075991283a397f94f47fe</x:v>
      </x:c>
    </x:row>
    <x:row r="523" ht="30" customHeight="1">
      <x:c r="A523" s="219" t="str">
        <x:v>VIA-07</x:v>
      </x:c>
      <x:c r="B523" s="219" t="str">
        <x:v>analyses/assembly_handling/EXACT_MPN_HANDLING_REGISTER.json</x:v>
      </x:c>
      <x:c r="C523" s="219" t="str">
        <x:v>8b75ad02a30de0d34ab9ac955fc38228d618ae520889c8d6955a7b978bdd9e06</x:v>
      </x:c>
    </x:row>
    <x:row r="524" ht="30" customHeight="1">
      <x:c r="A524" s="180" t="str">
        <x:v>VIA-07</x:v>
      </x:c>
      <x:c r="B524" s="180" t="str">
        <x:v>analyses/assembly_handling/PROCESS_RECONCILIATION.md</x:v>
      </x:c>
      <x:c r="C524" s="180" t="str">
        <x:v>238614f0abeea7b3234c431093d78679c59a5ae4b5b9b15c55e0d39de7561305</x:v>
      </x:c>
    </x:row>
    <x:row r="525" ht="30" customHeight="1">
      <x:c r="A525" s="219" t="str">
        <x:v>VIA-07</x:v>
      </x:c>
      <x:c r="B525" s="219" t="str">
        <x:v>lanes/mechanics/ASSEMBLY_PROCESS_RVB22.md</x:v>
      </x:c>
      <x:c r="C525" s="219" t="str">
        <x:v>e9f510a20e18d6d8a2cf6b264640d7c7aec0445b876b6c7b2a70f247197d20e7</x:v>
      </x:c>
    </x:row>
    <x:row r="526" ht="30" customHeight="1">
      <x:c r="A526" s="180" t="str">
        <x:v>VIA-07</x:v>
      </x:c>
      <x:c r="B526" s="180" t="str">
        <x:v>analyses/manufacturing_i20/RESULTS.json</x:v>
      </x:c>
      <x:c r="C526" s="180" t="str">
        <x:v>daa279f665dd6cad14f4ff36043abbce38c6ee51598e9ae7236d9974563476ac</x:v>
      </x:c>
    </x:row>
    <x:row r="527" ht="30" customHeight="1">
      <x:c r="A527" s="219" t="str">
        <x:v>VIA-07</x:v>
      </x:c>
      <x:c r="B527" s="219" t="str">
        <x:v>analyses/service_i19/RESULTS.json</x:v>
      </x:c>
      <x:c r="C527" s="219" t="str">
        <x:v>06cbb09e55a98a0039d0cab06f26b85f8af741c8b1c075991283a397f94f47fe</x:v>
      </x:c>
    </x:row>
    <x:row r="528" ht="30" customHeight="1">
      <x:c r="A528" s="180" t="str">
        <x:v>VIA-08</x:v>
      </x:c>
      <x:c r="B528" s="180" t="str">
        <x:v>analyses/assembly_handling/EXACT_MPN_HANDLING_REGISTER.json</x:v>
      </x:c>
      <x:c r="C528" s="180" t="str">
        <x:v>8b75ad02a30de0d34ab9ac955fc38228d618ae520889c8d6955a7b978bdd9e06</x:v>
      </x:c>
    </x:row>
    <x:row r="529" ht="30" customHeight="1">
      <x:c r="A529" s="219" t="str">
        <x:v>VIA-08</x:v>
      </x:c>
      <x:c r="B529" s="219" t="str">
        <x:v>analyses/assembly_handling/PROCESS_RECONCILIATION.md</x:v>
      </x:c>
      <x:c r="C529" s="219" t="str">
        <x:v>238614f0abeea7b3234c431093d78679c59a5ae4b5b9b15c55e0d39de7561305</x:v>
      </x:c>
    </x:row>
    <x:row r="530" ht="30" customHeight="1">
      <x:c r="A530" s="180" t="str">
        <x:v>VIA-08</x:v>
      </x:c>
      <x:c r="B530" s="180" t="str">
        <x:v>lanes/mechanics/ASSEMBLY_PROCESS_RVB22.md</x:v>
      </x:c>
      <x:c r="C530" s="180" t="str">
        <x:v>e9f510a20e18d6d8a2cf6b264640d7c7aec0445b876b6c7b2a70f247197d20e7</x:v>
      </x:c>
    </x:row>
    <x:row r="531" ht="30" customHeight="1">
      <x:c r="A531" s="219" t="str">
        <x:v>VIA-08</x:v>
      </x:c>
      <x:c r="B531" s="219" t="str">
        <x:v>analyses/manufacturing_i20/RESULTS.json</x:v>
      </x:c>
      <x:c r="C531" s="219" t="str">
        <x:v>daa279f665dd6cad14f4ff36043abbce38c6ee51598e9ae7236d9974563476ac</x:v>
      </x:c>
    </x:row>
    <x:row r="532" ht="30" customHeight="1">
      <x:c r="A532" s="180" t="str">
        <x:v>VIA-08</x:v>
      </x:c>
      <x:c r="B532" s="180" t="str">
        <x:v>analyses/service_i19/RESULTS.json</x:v>
      </x:c>
      <x:c r="C532" s="180" t="str">
        <x:v>06cbb09e55a98a0039d0cab06f26b85f8af741c8b1c075991283a397f94f47fe</x:v>
      </x:c>
    </x:row>
    <x:row r="533" ht="30" customHeight="1">
      <x:c r="A533" s="219" t="str">
        <x:v>VIA-09</x:v>
      </x:c>
      <x:c r="B533" s="219" t="str">
        <x:v>lanes/rf/RF_FINAL_REPORT.md</x:v>
      </x:c>
      <x:c r="C533" s="219" t="str">
        <x:v>3fdd717e298f9671baa0d0bd7e612e526623cf035b1ff575a9a5dc8ba1536ce1</x:v>
      </x:c>
    </x:row>
    <x:row r="534" ht="30" customHeight="1">
      <x:c r="A534" s="180" t="str">
        <x:v>VIA-09</x:v>
      </x:c>
      <x:c r="B534" s="180" t="str">
        <x:v>lanes/rf/RF_FINAL_SUMMARY.json</x:v>
      </x:c>
      <x:c r="C534" s="180" t="str">
        <x:v>2bc67f3c75f646a9f78d6da59e201a8ce2bb511d46ca790af21525498545cd76</x:v>
      </x:c>
    </x:row>
    <x:row r="535" ht="30" customHeight="1">
      <x:c r="A535" s="219" t="str">
        <x:v>VIA-09</x:v>
      </x:c>
      <x:c r="B535" s="219" t="str">
        <x:v>lanes/rf/RF_I04_ADDENDUM.md</x:v>
      </x:c>
      <x:c r="C535" s="219" t="str">
        <x:v>a10485f6d1e16e37566e6ab1b7d8b6dc6b55d8e632ec8c2939f3a60188741b51</x:v>
      </x:c>
    </x:row>
    <x:row r="536" ht="30" customHeight="1">
      <x:c r="A536" s="180" t="str">
        <x:v>VIA-09</x:v>
      </x:c>
      <x:c r="B536" s="180" t="str">
        <x:v>lanes/rf/RF_I04_SUMMARY.json</x:v>
      </x:c>
      <x:c r="C536" s="180" t="str">
        <x:v>acfa57ec9f135bae0fc67b784b6851dfbb05847f7e383abf948d1c8d4d82f1ce</x:v>
      </x:c>
    </x:row>
    <x:row r="537" ht="30" customHeight="1">
      <x:c r="A537" s="219" t="str">
        <x:v>VIA-09</x:v>
      </x:c>
      <x:c r="B537" s="219" t="str">
        <x:v>lanes/rf/FINAL_I04_SOURCE_BINDING.json</x:v>
      </x:c>
      <x:c r="C537" s="219" t="str">
        <x:v>377d251ef846085d22e6ed6d8c955760b55da0e985fa2aa1b3e0bb4c0d5f6c63</x:v>
      </x:c>
    </x:row>
    <x:row r="538" ht="30" customHeight="1">
      <x:c r="A538" s="180" t="str">
        <x:v>VIA-09</x:v>
      </x:c>
      <x:c r="B538" s="180" t="str">
        <x:v>lanes/emc/EMC_SUMMARY.json</x:v>
      </x:c>
      <x:c r="C538" s="180" t="str">
        <x:v>07646b33a327ac54aec8026ed70ae457146b5918221fabc9022dee1f950b226d</x:v>
      </x:c>
    </x:row>
    <x:row r="539" ht="30" customHeight="1">
      <x:c r="A539" s="219" t="str">
        <x:v>VIA-09</x:v>
      </x:c>
      <x:c r="B539" s="219" t="str">
        <x:v>analyses/manufacturing_i20/RESULTS.json</x:v>
      </x:c>
      <x:c r="C539" s="219" t="str">
        <x:v>daa279f665dd6cad14f4ff36043abbce38c6ee51598e9ae7236d9974563476ac</x:v>
      </x:c>
    </x:row>
    <x:row r="540" ht="30" customHeight="1">
      <x:c r="A540" s="180" t="str">
        <x:v>VIA-09</x:v>
      </x:c>
      <x:c r="B540" s="180" t="str">
        <x:v>analyses/service_i19/RESULTS.json</x:v>
      </x:c>
      <x:c r="C540" s="180" t="str">
        <x:v>06cbb09e55a98a0039d0cab06f26b85f8af741c8b1c075991283a397f94f47fe</x:v>
      </x:c>
    </x:row>
    <x:row r="541" ht="30" customHeight="1">
      <x:c r="A541" s="219" t="str">
        <x:v>VIA-10</x:v>
      </x:c>
      <x:c r="B541" s="219" t="str">
        <x:v>iterations/I20_controlled_handoff/NATIVE_BINDING.json</x:v>
      </x:c>
      <x:c r="C541" s="219" t="str">
        <x:v>6f36235aab2349569f2cacf485912921762bc718e2a5fd5c4c72c2808ca2312b</x:v>
      </x:c>
    </x:row>
    <x:row r="542" ht="30" customHeight="1">
      <x:c r="A542" s="180" t="str">
        <x:v>VIA-10</x:v>
      </x:c>
      <x:c r="B542" s="180" t="str">
        <x:v>analyses/mated_i18/RESULTS.json</x:v>
      </x:c>
      <x:c r="C542" s="180" t="str">
        <x:v>7466a6278a904f43d085330b5b6057d7fa92c8d24156eb7ea875f35bc42044d2</x:v>
      </x:c>
    </x:row>
    <x:row r="543" ht="30" customHeight="1">
      <x:c r="A543" s="219" t="str">
        <x:v>VIA-10</x:v>
      </x:c>
      <x:c r="B543" s="219" t="str">
        <x:v>analyses/service_i19/RESULTS.json</x:v>
      </x:c>
      <x:c r="C543" s="219" t="str">
        <x:v>06cbb09e55a98a0039d0cab06f26b85f8af741c8b1c075991283a397f94f47fe</x:v>
      </x:c>
    </x:row>
    <x:row r="544" ht="30" customHeight="1">
      <x:c r="A544" s="180" t="str">
        <x:v>VIA-10</x:v>
      </x:c>
      <x:c r="B544" s="180" t="str">
        <x:v>current/SOURCE_EFFECTIVITY.json</x:v>
      </x:c>
      <x:c r="C544" s="180" t="str">
        <x:v>832fcdcc8cd7ebb9df2e169c8b9194011c37d138484da13fd5de05bd2657170d</x:v>
      </x:c>
    </x:row>
    <x:row r="545" ht="30" customHeight="1">
      <x:c r="A545" s="219" t="str">
        <x:v>SI-01</x:v>
      </x:c>
      <x:c r="B545" s="219" t="str">
        <x:v>lanes/rf/RF_FINAL_REPORT.md</x:v>
      </x:c>
      <x:c r="C545" s="219" t="str">
        <x:v>3fdd717e298f9671baa0d0bd7e612e526623cf035b1ff575a9a5dc8ba1536ce1</x:v>
      </x:c>
    </x:row>
    <x:row r="546" ht="30" customHeight="1">
      <x:c r="A546" s="180" t="str">
        <x:v>SI-01</x:v>
      </x:c>
      <x:c r="B546" s="180" t="str">
        <x:v>lanes/rf/RF_FINAL_SUMMARY.json</x:v>
      </x:c>
      <x:c r="C546" s="180" t="str">
        <x:v>2bc67f3c75f646a9f78d6da59e201a8ce2bb511d46ca790af21525498545cd76</x:v>
      </x:c>
    </x:row>
    <x:row r="547" ht="30" customHeight="1">
      <x:c r="A547" s="219" t="str">
        <x:v>SI-01</x:v>
      </x:c>
      <x:c r="B547" s="219" t="str">
        <x:v>lanes/rf/RF_I04_ADDENDUM.md</x:v>
      </x:c>
      <x:c r="C547" s="219" t="str">
        <x:v>a10485f6d1e16e37566e6ab1b7d8b6dc6b55d8e632ec8c2939f3a60188741b51</x:v>
      </x:c>
    </x:row>
    <x:row r="548" ht="30" customHeight="1">
      <x:c r="A548" s="180" t="str">
        <x:v>SI-01</x:v>
      </x:c>
      <x:c r="B548" s="180" t="str">
        <x:v>lanes/rf/RF_I04_SUMMARY.json</x:v>
      </x:c>
      <x:c r="C548" s="180" t="str">
        <x:v>acfa57ec9f135bae0fc67b784b6851dfbb05847f7e383abf948d1c8d4d82f1ce</x:v>
      </x:c>
    </x:row>
    <x:row r="549" ht="30" customHeight="1">
      <x:c r="A549" s="219" t="str">
        <x:v>SI-01</x:v>
      </x:c>
      <x:c r="B549" s="219" t="str">
        <x:v>lanes/emc/RF_STRIP_NETWORK.json</x:v>
      </x:c>
      <x:c r="C549" s="219" t="str">
        <x:v>136f177c0cb02f729dc78bb81db0419d7d9e60180a4bea2e288c16b5762d71ab</x:v>
      </x:c>
    </x:row>
    <x:row r="550" ht="30" customHeight="1">
      <x:c r="A550" s="180" t="str">
        <x:v>SI-01</x:v>
      </x:c>
      <x:c r="B550" s="180" t="str">
        <x:v>analyses/manufacturing_i20/RESULTS.json</x:v>
      </x:c>
      <x:c r="C550" s="180" t="str">
        <x:v>daa279f665dd6cad14f4ff36043abbce38c6ee51598e9ae7236d9974563476ac</x:v>
      </x:c>
    </x:row>
    <x:row r="551" ht="30" customHeight="1">
      <x:c r="A551" s="219" t="str">
        <x:v>SI-01</x:v>
      </x:c>
      <x:c r="B551" s="219" t="str">
        <x:v>control/SI11_COUPLING_PATH_REVIEW.json</x:v>
      </x:c>
      <x:c r="C551" s="219" t="str">
        <x:v>3ba361e849ca16625422d96f28ff7f96aaca3231a1b5dc19344876c20087146d</x:v>
      </x:c>
    </x:row>
    <x:row r="552" ht="30" customHeight="1">
      <x:c r="A552" s="180" t="str">
        <x:v>SI-02</x:v>
      </x:c>
      <x:c r="B552" s="180" t="str">
        <x:v>lanes/rf/RF_FINAL_REPORT.md</x:v>
      </x:c>
      <x:c r="C552" s="180" t="str">
        <x:v>3fdd717e298f9671baa0d0bd7e612e526623cf035b1ff575a9a5dc8ba1536ce1</x:v>
      </x:c>
    </x:row>
    <x:row r="553" ht="30" customHeight="1">
      <x:c r="A553" s="219" t="str">
        <x:v>SI-02</x:v>
      </x:c>
      <x:c r="B553" s="219" t="str">
        <x:v>lanes/rf/RF_FINAL_SUMMARY.json</x:v>
      </x:c>
      <x:c r="C553" s="219" t="str">
        <x:v>2bc67f3c75f646a9f78d6da59e201a8ce2bb511d46ca790af21525498545cd76</x:v>
      </x:c>
    </x:row>
    <x:row r="554" ht="30" customHeight="1">
      <x:c r="A554" s="180" t="str">
        <x:v>SI-02</x:v>
      </x:c>
      <x:c r="B554" s="180" t="str">
        <x:v>lanes/rf/RF_I04_ADDENDUM.md</x:v>
      </x:c>
      <x:c r="C554" s="180" t="str">
        <x:v>a10485f6d1e16e37566e6ab1b7d8b6dc6b55d8e632ec8c2939f3a60188741b51</x:v>
      </x:c>
    </x:row>
    <x:row r="555" ht="30" customHeight="1">
      <x:c r="A555" s="219" t="str">
        <x:v>SI-02</x:v>
      </x:c>
      <x:c r="B555" s="219" t="str">
        <x:v>lanes/rf/RF_I04_SUMMARY.json</x:v>
      </x:c>
      <x:c r="C555" s="219" t="str">
        <x:v>acfa57ec9f135bae0fc67b784b6851dfbb05847f7e383abf948d1c8d4d82f1ce</x:v>
      </x:c>
    </x:row>
    <x:row r="556" ht="30" customHeight="1">
      <x:c r="A556" s="180" t="str">
        <x:v>SI-02</x:v>
      </x:c>
      <x:c r="B556" s="180" t="str">
        <x:v>lanes/emc/RF_STRIP_NETWORK.json</x:v>
      </x:c>
      <x:c r="C556" s="180" t="str">
        <x:v>136f177c0cb02f729dc78bb81db0419d7d9e60180a4bea2e288c16b5762d71ab</x:v>
      </x:c>
    </x:row>
    <x:row r="557" ht="30" customHeight="1">
      <x:c r="A557" s="219" t="str">
        <x:v>SI-02</x:v>
      </x:c>
      <x:c r="B557" s="219" t="str">
        <x:v>analyses/manufacturing_i20/RESULTS.json</x:v>
      </x:c>
      <x:c r="C557" s="219" t="str">
        <x:v>daa279f665dd6cad14f4ff36043abbce38c6ee51598e9ae7236d9974563476ac</x:v>
      </x:c>
    </x:row>
    <x:row r="558" ht="30" customHeight="1">
      <x:c r="A558" s="180" t="str">
        <x:v>SI-02</x:v>
      </x:c>
      <x:c r="B558" s="180" t="str">
        <x:v>control/SI11_COUPLING_PATH_REVIEW.json</x:v>
      </x:c>
      <x:c r="C558" s="180" t="str">
        <x:v>3ba361e849ca16625422d96f28ff7f96aaca3231a1b5dc19344876c20087146d</x:v>
      </x:c>
    </x:row>
    <x:row r="559" ht="30" customHeight="1">
      <x:c r="A559" s="219" t="str">
        <x:v>SI-03</x:v>
      </x:c>
      <x:c r="B559" s="219" t="str">
        <x:v>analyses/can_branch/COMPLETE_CAN_BRANCH_RESULTS.json</x:v>
      </x:c>
      <x:c r="C559" s="219" t="str">
        <x:v>a801a4a8e8e64f129b875e99b68c8d790509ea22707726f5a2e7c3d75c50f40e</x:v>
      </x:c>
    </x:row>
    <x:row r="560" ht="30" customHeight="1">
      <x:c r="A560" s="180" t="str">
        <x:v>SI-03</x:v>
      </x:c>
      <x:c r="B560" s="180" t="str">
        <x:v>analyses/can_branch/COMPLETE_CAN_BRANCH_REVIEW.md</x:v>
      </x:c>
      <x:c r="C560" s="180" t="str">
        <x:v>2f1e78eafa0c96dfcce286a399a9ca2a467c6e48236553a342fe65c3e824a541</x:v>
      </x:c>
    </x:row>
    <x:row r="561" ht="30" customHeight="1">
      <x:c r="A561" s="219" t="str">
        <x:v>SI-03</x:v>
      </x:c>
      <x:c r="B561" s="219" t="str">
        <x:v>analyses/harness_wire/AVSS_CAN_STUB_MODEL.json</x:v>
      </x:c>
      <x:c r="C561" s="219" t="str">
        <x:v>4ada4c29fe0f74addc953469b36c2998501e2350c3ad9b4e7fb78fa1d5f9ebeb</x:v>
      </x:c>
    </x:row>
    <x:row r="562" ht="30" customHeight="1">
      <x:c r="A562" s="180" t="str">
        <x:v>SI-03</x:v>
      </x:c>
      <x:c r="B562" s="180" t="str">
        <x:v>analyses/can_branch/CAN22-02_NUMERICAL_CHECKS.json</x:v>
      </x:c>
      <x:c r="C562" s="180" t="str">
        <x:v>82f22d8ac19741ff81cfbe45c1d06c73624ca08ed66050156b9edebb902e6be7</x:v>
      </x:c>
    </x:row>
    <x:row r="563" ht="30" customHeight="1">
      <x:c r="A563" s="219" t="str">
        <x:v>SI-03</x:v>
      </x:c>
      <x:c r="B563" s="219" t="str">
        <x:v>analyses/can_branch/CAN22-02_INDEPENDENT_REVIEW.json</x:v>
      </x:c>
      <x:c r="C563" s="219" t="str">
        <x:v>6c6305c1387ff98c2e48bcc6c137a46c380edb521e56c629cf44e5ef05a6da34</x:v>
      </x:c>
    </x:row>
    <x:row r="564" ht="30" customHeight="1">
      <x:c r="A564" s="180" t="str">
        <x:v>SI-03</x:v>
      </x:c>
      <x:c r="B564" s="180" t="str">
        <x:v>analyses/can_branch/CAN22-02_THRESHOLD_REFINEMENT.json</x:v>
      </x:c>
      <x:c r="C564" s="180" t="str">
        <x:v>ea5e573a976d61dca85a670eff0b222a47866468f161098fe2c93f17cefb2e82</x:v>
      </x:c>
    </x:row>
    <x:row r="565" ht="30" customHeight="1">
      <x:c r="A565" s="219" t="str">
        <x:v>SI-03</x:v>
      </x:c>
      <x:c r="B565" s="219" t="str">
        <x:v>analyses/can_branch/FINAL_CAN_SOURCE_BINDING.json</x:v>
      </x:c>
      <x:c r="C565" s="219" t="str">
        <x:v>87fd07aaf564b8a15f8d5fbff3a080349f9229fc6fe816de2d19763cc3ada036</x:v>
      </x:c>
    </x:row>
    <x:row r="566" ht="30" customHeight="1">
      <x:c r="A566" s="180" t="str">
        <x:v>SI-03</x:v>
      </x:c>
      <x:c r="B566" s="180" t="str">
        <x:v>analyses/manufacturing_i20/RESULTS.json</x:v>
      </x:c>
      <x:c r="C566" s="180" t="str">
        <x:v>daa279f665dd6cad14f4ff36043abbce38c6ee51598e9ae7236d9974563476ac</x:v>
      </x:c>
    </x:row>
    <x:row r="567" ht="30" customHeight="1">
      <x:c r="A567" s="219" t="str">
        <x:v>SI-03</x:v>
      </x:c>
      <x:c r="B567" s="219" t="str">
        <x:v>control/SI11_COUPLING_PATH_REVIEW.json</x:v>
      </x:c>
      <x:c r="C567" s="219" t="str">
        <x:v>3ba361e849ca16625422d96f28ff7f96aaca3231a1b5dc19344876c20087146d</x:v>
      </x:c>
    </x:row>
    <x:row r="568" ht="30" customHeight="1">
      <x:c r="A568" s="180" t="str">
        <x:v>SI-04</x:v>
      </x:c>
      <x:c r="B568" s="180" t="str">
        <x:v>lanes/firmware_oil/RECOVERED_RELEASE_CHECKS.json</x:v>
      </x:c>
      <x:c r="C568" s="180" t="str">
        <x:v>9d36ebab30769a0293ff2fcbd194a54f113e5444f8680565da51558ccce9cdf8</x:v>
      </x:c>
    </x:row>
    <x:row r="569" ht="30" customHeight="1">
      <x:c r="A569" s="219" t="str">
        <x:v>SI-04</x:v>
      </x:c>
      <x:c r="B569" s="219" t="str">
        <x:v>lanes/firmware_oil/RECOVERED_FIRMWARE_TEST_RESULTS.json</x:v>
      </x:c>
      <x:c r="C569" s="219" t="str">
        <x:v>c4c5df66ff54cba721fe8808062019f824df6e0b0c4869e78fd30626121dc725</x:v>
      </x:c>
    </x:row>
    <x:row r="570" ht="30" customHeight="1">
      <x:c r="A570" s="180" t="str">
        <x:v>SI-04</x:v>
      </x:c>
      <x:c r="B570" s="180" t="str">
        <x:v>lanes/firmware_oil/FINAL_I04_OIL_FIRMWARE_EFFECTIVITY.json</x:v>
      </x:c>
      <x:c r="C570" s="180" t="str">
        <x:v>17c9b0178b833a546a4f14b2f287574b8545d7a56e68db66a8a94f02634b394f</x:v>
      </x:c>
    </x:row>
    <x:row r="571" ht="30" customHeight="1">
      <x:c r="A571" s="219" t="str">
        <x:v>SI-04</x:v>
      </x:c>
      <x:c r="B571" s="219" t="str">
        <x:v>analyses/manufacturing_i20/RESULTS.json</x:v>
      </x:c>
      <x:c r="C571" s="219" t="str">
        <x:v>daa279f665dd6cad14f4ff36043abbce38c6ee51598e9ae7236d9974563476ac</x:v>
      </x:c>
    </x:row>
    <x:row r="572" ht="30" customHeight="1">
      <x:c r="A572" s="180" t="str">
        <x:v>SI-04</x:v>
      </x:c>
      <x:c r="B572" s="180" t="str">
        <x:v>control/SI11_COUPLING_PATH_REVIEW.json</x:v>
      </x:c>
      <x:c r="C572" s="180" t="str">
        <x:v>3ba361e849ca16625422d96f28ff7f96aaca3231a1b5dc19344876c20087146d</x:v>
      </x:c>
    </x:row>
    <x:row r="573" ht="30" customHeight="1">
      <x:c r="A573" s="219" t="str">
        <x:v>SI-05</x:v>
      </x:c>
      <x:c r="B573" s="219" t="str">
        <x:v>control/SI11_COUPLING_PATH_REVIEW.json</x:v>
      </x:c>
      <x:c r="C573" s="219" t="str">
        <x:v>3ba361e849ca16625422d96f28ff7f96aaca3231a1b5dc19344876c20087146d</x:v>
      </x:c>
    </x:row>
    <x:row r="574" ht="30" customHeight="1">
      <x:c r="A574" s="180" t="str">
        <x:v>SI-05</x:v>
      </x:c>
      <x:c r="B574" s="180" t="str">
        <x:v>control/REG07_SOURCE_COPPER_ANNOTATIONS.json</x:v>
      </x:c>
      <x:c r="C574" s="180" t="str">
        <x:v>22ade87152b7028fbc6d718ab3d42ec15c8363b62bc5d97714eea9aea0621c55</x:v>
      </x:c>
    </x:row>
    <x:row r="575" ht="30" customHeight="1">
      <x:c r="A575" s="219" t="str">
        <x:v>SI-05</x:v>
      </x:c>
      <x:c r="B575" s="219" t="str">
        <x:v>analyses/manufacturing_i20/RESULTS.json</x:v>
      </x:c>
      <x:c r="C575" s="219" t="str">
        <x:v>daa279f665dd6cad14f4ff36043abbce38c6ee51598e9ae7236d9974563476ac</x:v>
      </x:c>
    </x:row>
    <x:row r="576" ht="30" customHeight="1">
      <x:c r="A576" s="180" t="str">
        <x:v>SI-06</x:v>
      </x:c>
      <x:c r="B576" s="180" t="str">
        <x:v>lanes/rf/RF_FINAL_REPORT.md</x:v>
      </x:c>
      <x:c r="C576" s="180" t="str">
        <x:v>3fdd717e298f9671baa0d0bd7e612e526623cf035b1ff575a9a5dc8ba1536ce1</x:v>
      </x:c>
    </x:row>
    <x:row r="577" ht="30" customHeight="1">
      <x:c r="A577" s="219" t="str">
        <x:v>SI-06</x:v>
      </x:c>
      <x:c r="B577" s="219" t="str">
        <x:v>lanes/rf/RF_FINAL_SUMMARY.json</x:v>
      </x:c>
      <x:c r="C577" s="219" t="str">
        <x:v>2bc67f3c75f646a9f78d6da59e201a8ce2bb511d46ca790af21525498545cd76</x:v>
      </x:c>
    </x:row>
    <x:row r="578" ht="30" customHeight="1">
      <x:c r="A578" s="180" t="str">
        <x:v>SI-06</x:v>
      </x:c>
      <x:c r="B578" s="180" t="str">
        <x:v>lanes/rf/RF_I04_ADDENDUM.md</x:v>
      </x:c>
      <x:c r="C578" s="180" t="str">
        <x:v>a10485f6d1e16e37566e6ab1b7d8b6dc6b55d8e632ec8c2939f3a60188741b51</x:v>
      </x:c>
    </x:row>
    <x:row r="579" ht="30" customHeight="1">
      <x:c r="A579" s="219" t="str">
        <x:v>SI-06</x:v>
      </x:c>
      <x:c r="B579" s="219" t="str">
        <x:v>lanes/rf/RF_I04_SUMMARY.json</x:v>
      </x:c>
      <x:c r="C579" s="219" t="str">
        <x:v>acfa57ec9f135bae0fc67b784b6851dfbb05847f7e383abf948d1c8d4d82f1ce</x:v>
      </x:c>
    </x:row>
    <x:row r="580" ht="30" customHeight="1">
      <x:c r="A580" s="180" t="str">
        <x:v>SI-06</x:v>
      </x:c>
      <x:c r="B580" s="180" t="str">
        <x:v>lanes/rf/FINAL_I04_SOURCE_BINDING.json</x:v>
      </x:c>
      <x:c r="C580" s="180" t="str">
        <x:v>377d251ef846085d22e6ed6d8c955760b55da0e985fa2aa1b3e0bb4c0d5f6c63</x:v>
      </x:c>
    </x:row>
    <x:row r="581" ht="30" customHeight="1">
      <x:c r="A581" s="219" t="str">
        <x:v>SI-06</x:v>
      </x:c>
      <x:c r="B581" s="219" t="str">
        <x:v>lanes/emc/EMC_SUMMARY.json</x:v>
      </x:c>
      <x:c r="C581" s="219" t="str">
        <x:v>07646b33a327ac54aec8026ed70ae457146b5918221fabc9022dee1f950b226d</x:v>
      </x:c>
    </x:row>
    <x:row r="582" ht="30" customHeight="1">
      <x:c r="A582" s="180" t="str">
        <x:v>SI-06</x:v>
      </x:c>
      <x:c r="B582" s="180" t="str">
        <x:v>analyses/manufacturing_i20/RESULTS.json</x:v>
      </x:c>
      <x:c r="C582" s="180" t="str">
        <x:v>daa279f665dd6cad14f4ff36043abbce38c6ee51598e9ae7236d9974563476ac</x:v>
      </x:c>
    </x:row>
    <x:row r="583" ht="30" customHeight="1">
      <x:c r="A583" s="219" t="str">
        <x:v>SI-06</x:v>
      </x:c>
      <x:c r="B583" s="219" t="str">
        <x:v>control/SI11_COUPLING_PATH_REVIEW.json</x:v>
      </x:c>
      <x:c r="C583" s="219" t="str">
        <x:v>3ba361e849ca16625422d96f28ff7f96aaca3231a1b5dc19344876c20087146d</x:v>
      </x:c>
    </x:row>
    <x:row r="584" ht="30" customHeight="1">
      <x:c r="A584" s="180" t="str">
        <x:v>SI-07</x:v>
      </x:c>
      <x:c r="B584" s="180" t="str">
        <x:v>analyses/can_branch/COMPLETE_CAN_BRANCH_RESULTS.json</x:v>
      </x:c>
      <x:c r="C584" s="180" t="str">
        <x:v>a801a4a8e8e64f129b875e99b68c8d790509ea22707726f5a2e7c3d75c50f40e</x:v>
      </x:c>
    </x:row>
    <x:row r="585" ht="30" customHeight="1">
      <x:c r="A585" s="219" t="str">
        <x:v>SI-07</x:v>
      </x:c>
      <x:c r="B585" s="219" t="str">
        <x:v>analyses/can_branch/FINAL_CAN_SOURCE_BINDING.json</x:v>
      </x:c>
      <x:c r="C585" s="219" t="str">
        <x:v>87fd07aaf564b8a15f8d5fbff3a080349f9229fc6fe816de2d19763cc3ada036</x:v>
      </x:c>
    </x:row>
    <x:row r="586" ht="30" customHeight="1">
      <x:c r="A586" s="180" t="str">
        <x:v>SI-07</x:v>
      </x:c>
      <x:c r="B586" s="180" t="str">
        <x:v>analyses/can_branch/CAN22-02_NUMERICAL_CHECKS.json</x:v>
      </x:c>
      <x:c r="C586" s="180" t="str">
        <x:v>82f22d8ac19741ff81cfbe45c1d06c73624ca08ed66050156b9edebb902e6be7</x:v>
      </x:c>
    </x:row>
    <x:row r="587" ht="30" customHeight="1">
      <x:c r="A587" s="219" t="str">
        <x:v>SI-07</x:v>
      </x:c>
      <x:c r="B587" s="219" t="str">
        <x:v>analyses/manufacturing_i20/RESULTS.json</x:v>
      </x:c>
      <x:c r="C587" s="219" t="str">
        <x:v>daa279f665dd6cad14f4ff36043abbce38c6ee51598e9ae7236d9974563476ac</x:v>
      </x:c>
    </x:row>
    <x:row r="588" ht="30" customHeight="1">
      <x:c r="A588" s="180" t="str">
        <x:v>SI-07</x:v>
      </x:c>
      <x:c r="B588" s="180" t="str">
        <x:v>control/SI11_COUPLING_PATH_REVIEW.json</x:v>
      </x:c>
      <x:c r="C588" s="180" t="str">
        <x:v>3ba361e849ca16625422d96f28ff7f96aaca3231a1b5dc19344876c20087146d</x:v>
      </x:c>
    </x:row>
    <x:row r="589" ht="30" customHeight="1">
      <x:c r="A589" s="219" t="str">
        <x:v>SI-08</x:v>
      </x:c>
      <x:c r="B589" s="219" t="str">
        <x:v>lanes/firmware_oil/RECOVERY_CALIBRATION_GAIN_REDLINE.json</x:v>
      </x:c>
      <x:c r="C589" s="219" t="str">
        <x:v>4156482b336bece382dae6dcf618b2f7a5c26456dc57aaa1b574e169bd04cd9c</x:v>
      </x:c>
    </x:row>
    <x:row r="590" ht="30" customHeight="1">
      <x:c r="A590" s="180" t="str">
        <x:v>SI-08</x:v>
      </x:c>
      <x:c r="B590" s="180" t="str">
        <x:v>lanes/firmware_oil/RECOVERED_FIRMWARE_TEST_RESULTS.json</x:v>
      </x:c>
      <x:c r="C590" s="180" t="str">
        <x:v>c4c5df66ff54cba721fe8808062019f824df6e0b0c4869e78fd30626121dc725</x:v>
      </x:c>
    </x:row>
    <x:row r="591" ht="30" customHeight="1">
      <x:c r="A591" s="219" t="str">
        <x:v>SI-08</x:v>
      </x:c>
      <x:c r="B591" s="219" t="str">
        <x:v>interfaces/OIL_HARNESS_ERROR_SWEEP.json</x:v>
      </x:c>
      <x:c r="C591" s="219" t="str">
        <x:v>1a0e3bbbfeb53fae48b38ab52575d6644f48d7ef4b534dd262f89c9cde0aa6a1</x:v>
      </x:c>
    </x:row>
    <x:row r="592" ht="30" customHeight="1">
      <x:c r="A592" s="180" t="str">
        <x:v>SI-08</x:v>
      </x:c>
      <x:c r="B592" s="180" t="str">
        <x:v>lanes/firmware_oil/FINAL_I04_OIL_FIRMWARE_EFFECTIVITY.json</x:v>
      </x:c>
      <x:c r="C592" s="180" t="str">
        <x:v>17c9b0178b833a546a4f14b2f287574b8545d7a56e68db66a8a94f02634b394f</x:v>
      </x:c>
    </x:row>
    <x:row r="593" ht="30" customHeight="1">
      <x:c r="A593" s="219" t="str">
        <x:v>SI-08</x:v>
      </x:c>
      <x:c r="B593" s="219" t="str">
        <x:v>lanes/oil_cap/FINAL_C532_SUBGRAPH_BINDING.json</x:v>
      </x:c>
      <x:c r="C593" s="219" t="str">
        <x:v>28967e7b5768764cc5528550516b41c0b77bee732da05d6a03bbde0e3ef6dc94</x:v>
      </x:c>
    </x:row>
    <x:row r="594" ht="30" customHeight="1">
      <x:c r="A594" s="180" t="str">
        <x:v>SI-08</x:v>
      </x:c>
      <x:c r="B594" s="180" t="str">
        <x:v>analyses/manufacturing_i20/RESULTS.json</x:v>
      </x:c>
      <x:c r="C594" s="180" t="str">
        <x:v>daa279f665dd6cad14f4ff36043abbce38c6ee51598e9ae7236d9974563476ac</x:v>
      </x:c>
    </x:row>
    <x:row r="595" ht="30" customHeight="1">
      <x:c r="A595" s="219" t="str">
        <x:v>SI-08</x:v>
      </x:c>
      <x:c r="B595" s="219" t="str">
        <x:v>control/SI11_COUPLING_PATH_REVIEW.json</x:v>
      </x:c>
      <x:c r="C595" s="219" t="str">
        <x:v>3ba361e849ca16625422d96f28ff7f96aaca3231a1b5dc19344876c20087146d</x:v>
      </x:c>
    </x:row>
    <x:row r="596" ht="30" customHeight="1">
      <x:c r="A596" s="180" t="str">
        <x:v>SI-09</x:v>
      </x:c>
      <x:c r="B596" s="180" t="str">
        <x:v>analyses/manufacturing_i20/RESULTS.json</x:v>
      </x:c>
      <x:c r="C596" s="180" t="str">
        <x:v>daa279f665dd6cad14f4ff36043abbce38c6ee51598e9ae7236d9974563476ac</x:v>
      </x:c>
    </x:row>
    <x:row r="597" ht="30" customHeight="1">
      <x:c r="A597" s="219" t="str">
        <x:v>SI-09</x:v>
      </x:c>
      <x:c r="B597" s="219" t="str">
        <x:v>control/SI11_COUPLING_PATH_REVIEW.json</x:v>
      </x:c>
      <x:c r="C597" s="219" t="str">
        <x:v>3ba361e849ca16625422d96f28ff7f96aaca3231a1b5dc19344876c20087146d</x:v>
      </x:c>
    </x:row>
    <x:row r="598" ht="30" customHeight="1">
      <x:c r="A598" s="180" t="str">
        <x:v>SI-10</x:v>
      </x:c>
      <x:c r="B598" s="180" t="str">
        <x:v>analyses/manufacturing_i20/RESULTS.json</x:v>
      </x:c>
      <x:c r="C598" s="180" t="str">
        <x:v>daa279f665dd6cad14f4ff36043abbce38c6ee51598e9ae7236d9974563476ac</x:v>
      </x:c>
    </x:row>
    <x:row r="599" ht="30" customHeight="1">
      <x:c r="A599" s="219" t="str">
        <x:v>SI-10</x:v>
      </x:c>
      <x:c r="B599" s="219" t="str">
        <x:v>control/SI11_COUPLING_PATH_REVIEW.json</x:v>
      </x:c>
      <x:c r="C599" s="219" t="str">
        <x:v>3ba361e849ca16625422d96f28ff7f96aaca3231a1b5dc19344876c20087146d</x:v>
      </x:c>
    </x:row>
    <x:row r="600" ht="30" customHeight="1">
      <x:c r="A600" s="180" t="str">
        <x:v>SI-11</x:v>
      </x:c>
      <x:c r="B600" s="180" t="str">
        <x:v>control/SI11_COUPLING_PATH_REVIEW.json</x:v>
      </x:c>
      <x:c r="C600" s="180" t="str">
        <x:v>3ba361e849ca16625422d96f28ff7f96aaca3231a1b5dc19344876c20087146d</x:v>
      </x:c>
    </x:row>
    <x:row r="601" ht="30" customHeight="1">
      <x:c r="A601" s="219" t="str">
        <x:v>SI-11</x:v>
      </x:c>
      <x:c r="B601" s="219" t="str">
        <x:v>control/SI11_COUPLING_REVIEW_AND_TEST_PLAN.md</x:v>
      </x:c>
      <x:c r="C601" s="219" t="str">
        <x:v>b7169d67e426e78b723deace9c287978d43b929a520c07c292652d265ccf75ff</x:v>
      </x:c>
    </x:row>
    <x:row r="602" ht="30" customHeight="1">
      <x:c r="A602" s="180" t="str">
        <x:v>SI-11</x:v>
      </x:c>
      <x:c r="B602" s="180" t="str">
        <x:v>control/REG07_SOURCE_COPPER_ANNOTATIONS.json</x:v>
      </x:c>
      <x:c r="C602" s="180" t="str">
        <x:v>22ade87152b7028fbc6d718ab3d42ec15c8363b62bc5d97714eea9aea0621c55</x:v>
      </x:c>
    </x:row>
    <x:row r="603" ht="30" customHeight="1">
      <x:c r="A603" s="219" t="str">
        <x:v>SI-11</x:v>
      </x:c>
      <x:c r="B603" s="219" t="str">
        <x:v>analyses/manufacturing_i20/RESULTS.json</x:v>
      </x:c>
      <x:c r="C603" s="219" t="str">
        <x:v>daa279f665dd6cad14f4ff36043abbce38c6ee51598e9ae7236d9974563476ac</x:v>
      </x:c>
    </x:row>
    <x:row r="604" ht="30" customHeight="1">
      <x:c r="A604" s="180" t="str">
        <x:v>SI-12</x:v>
      </x:c>
      <x:c r="B604" s="180" t="str">
        <x:v>lanes/rf/RF_FINAL_REPORT.md</x:v>
      </x:c>
      <x:c r="C604" s="180" t="str">
        <x:v>3fdd717e298f9671baa0d0bd7e612e526623cf035b1ff575a9a5dc8ba1536ce1</x:v>
      </x:c>
    </x:row>
    <x:row r="605" ht="30" customHeight="1">
      <x:c r="A605" s="219" t="str">
        <x:v>SI-12</x:v>
      </x:c>
      <x:c r="B605" s="219" t="str">
        <x:v>lanes/rf/RF_FINAL_SUMMARY.json</x:v>
      </x:c>
      <x:c r="C605" s="219" t="str">
        <x:v>2bc67f3c75f646a9f78d6da59e201a8ce2bb511d46ca790af21525498545cd76</x:v>
      </x:c>
    </x:row>
    <x:row r="606" ht="30" customHeight="1">
      <x:c r="A606" s="180" t="str">
        <x:v>SI-12</x:v>
      </x:c>
      <x:c r="B606" s="180" t="str">
        <x:v>lanes/rf/RF_I04_ADDENDUM.md</x:v>
      </x:c>
      <x:c r="C606" s="180" t="str">
        <x:v>a10485f6d1e16e37566e6ab1b7d8b6dc6b55d8e632ec8c2939f3a60188741b51</x:v>
      </x:c>
    </x:row>
    <x:row r="607" ht="30" customHeight="1">
      <x:c r="A607" s="219" t="str">
        <x:v>SI-12</x:v>
      </x:c>
      <x:c r="B607" s="219" t="str">
        <x:v>lanes/rf/RF_I04_SUMMARY.json</x:v>
      </x:c>
      <x:c r="C607" s="219" t="str">
        <x:v>acfa57ec9f135bae0fc67b784b6851dfbb05847f7e383abf948d1c8d4d82f1ce</x:v>
      </x:c>
    </x:row>
    <x:row r="608" ht="30" customHeight="1">
      <x:c r="A608" s="180" t="str">
        <x:v>SI-12</x:v>
      </x:c>
      <x:c r="B608" s="180" t="str">
        <x:v>lanes/emc/RF_STRIP_NETWORK.json</x:v>
      </x:c>
      <x:c r="C608" s="180" t="str">
        <x:v>136f177c0cb02f729dc78bb81db0419d7d9e60180a4bea2e288c16b5762d71ab</x:v>
      </x:c>
    </x:row>
    <x:row r="609" ht="30" customHeight="1">
      <x:c r="A609" s="219" t="str">
        <x:v>SI-12</x:v>
      </x:c>
      <x:c r="B609" s="219" t="str">
        <x:v>analyses/manufacturing_i20/RESULTS.json</x:v>
      </x:c>
      <x:c r="C609" s="219" t="str">
        <x:v>daa279f665dd6cad14f4ff36043abbce38c6ee51598e9ae7236d9974563476ac</x:v>
      </x:c>
    </x:row>
    <x:row r="610" ht="30" customHeight="1">
      <x:c r="A610" s="180" t="str">
        <x:v>SI-12</x:v>
      </x:c>
      <x:c r="B610" s="180" t="str">
        <x:v>control/SI11_COUPLING_PATH_REVIEW.json</x:v>
      </x:c>
      <x:c r="C610" s="180" t="str">
        <x:v>3ba361e849ca16625422d96f28ff7f96aaca3231a1b5dc19344876c20087146d</x:v>
      </x:c>
    </x:row>
    <x:row r="611" ht="30" customHeight="1">
      <x:c r="A611" s="219" t="str">
        <x:v>CAN-01</x:v>
      </x:c>
      <x:c r="B611" s="219" t="str">
        <x:v>iterations/I06_harness_handoff/CANDIDATE_MANIFEST.json</x:v>
      </x:c>
      <x:c r="C611" s="219" t="str">
        <x:v>017aa6938b0cea4fcf5d02a0e28ba556e4a0c0485495f171a7d5aba15a703fc0</x:v>
      </x:c>
    </x:row>
    <x:row r="612" ht="30" customHeight="1">
      <x:c r="A612" s="180" t="str">
        <x:v>CAN-01</x:v>
      </x:c>
      <x:c r="B612" s="180" t="str">
        <x:v>analyses/can_branch/FINAL_CAN_SOURCE_BINDING.json</x:v>
      </x:c>
      <x:c r="C612" s="180" t="str">
        <x:v>87fd07aaf564b8a15f8d5fbff3a080349f9229fc6fe816de2d19763cc3ada036</x:v>
      </x:c>
    </x:row>
    <x:row r="613" ht="30" customHeight="1">
      <x:c r="A613" s="219" t="str">
        <x:v>CAN-01</x:v>
      </x:c>
      <x:c r="B613" s="219" t="str">
        <x:v>interfaces/asc_profile/ASC_PROFILE_REVIEW.json</x:v>
      </x:c>
      <x:c r="C613" s="219" t="str">
        <x:v>a779bfe927e5e5d9387131a9cc297e5af79f25f217557178da1a7ee76e7f7ab4</x:v>
      </x:c>
    </x:row>
    <x:row r="614" ht="30" customHeight="1">
      <x:c r="A614" s="180" t="str">
        <x:v>CAN-02</x:v>
      </x:c>
      <x:c r="B614" s="180" t="str">
        <x:v>lanes/firmware_oil/RECOVERED_RELEASE_CHECKS.json</x:v>
      </x:c>
      <x:c r="C614" s="180" t="str">
        <x:v>9d36ebab30769a0293ff2fcbd194a54f113e5444f8680565da51558ccce9cdf8</x:v>
      </x:c>
    </x:row>
    <x:row r="615" ht="30" customHeight="1">
      <x:c r="A615" s="219" t="str">
        <x:v>CAN-02</x:v>
      </x:c>
      <x:c r="B615" s="219" t="str">
        <x:v>lanes/firmware_oil/RECOVERED_FIRMWARE_TEST_RESULTS.json</x:v>
      </x:c>
      <x:c r="C615" s="219" t="str">
        <x:v>c4c5df66ff54cba721fe8808062019f824df6e0b0c4869e78fd30626121dc725</x:v>
      </x:c>
    </x:row>
    <x:row r="616" ht="30" customHeight="1">
      <x:c r="A616" s="180" t="str">
        <x:v>CAN-02</x:v>
      </x:c>
      <x:c r="B616" s="180" t="str">
        <x:v>analyses/can_branch/FINAL_CAN_SOURCE_BINDING.json</x:v>
      </x:c>
      <x:c r="C616" s="180" t="str">
        <x:v>87fd07aaf564b8a15f8d5fbff3a080349f9229fc6fe816de2d19763cc3ada036</x:v>
      </x:c>
    </x:row>
    <x:row r="617" ht="30" customHeight="1">
      <x:c r="A617" s="219" t="str">
        <x:v>CAN-02</x:v>
      </x:c>
      <x:c r="B617" s="219" t="str">
        <x:v>interfaces/asc_profile/ASC_PROFILE_REVIEW.json</x:v>
      </x:c>
      <x:c r="C617" s="219" t="str">
        <x:v>a779bfe927e5e5d9387131a9cc297e5af79f25f217557178da1a7ee76e7f7ab4</x:v>
      </x:c>
    </x:row>
    <x:row r="618" ht="30" customHeight="1">
      <x:c r="A618" s="180" t="str">
        <x:v>CAN-03</x:v>
      </x:c>
      <x:c r="B618" s="180" t="str">
        <x:v>analyses/lost_ground/LOST_GROUND_RESULTS_RECONSTRUCTED.json</x:v>
      </x:c>
      <x:c r="C618" s="180" t="str">
        <x:v>6ec9e99b4e2287669bd61062f5f19192e51c8c3a6296adf6456426cd3586e7c8</x:v>
      </x:c>
    </x:row>
    <x:row r="619" ht="30" customHeight="1">
      <x:c r="A619" s="219" t="str">
        <x:v>CAN-03</x:v>
      </x:c>
      <x:c r="B619" s="219" t="str">
        <x:v>interfaces/LOST_GROUND_FINITE_DC_SCREEN.json</x:v>
      </x:c>
      <x:c r="C619" s="219" t="str">
        <x:v>3919193bd4f1eec855eaf45dbf6fdd55673073c59c38a3f9e77aee07dd8cd906</x:v>
      </x:c>
    </x:row>
    <x:row r="620" ht="30" customHeight="1">
      <x:c r="A620" s="180" t="str">
        <x:v>CAN-03</x:v>
      </x:c>
      <x:c r="B620" s="180" t="str">
        <x:v>interfaces/HARNESS_INTERFACE_CONTRACT.json</x:v>
      </x:c>
      <x:c r="C620" s="180" t="str">
        <x:v>8de240d9bfbc5862fae2984984929e0c086bc37a255289129d312548cac3576a</x:v>
      </x:c>
    </x:row>
    <x:row r="621" ht="30" customHeight="1">
      <x:c r="A621" s="219" t="str">
        <x:v>CAN-03</x:v>
      </x:c>
      <x:c r="B621" s="219" t="str">
        <x:v>interfaces/SINGLE_RETURN_EFFECTIVITY.json</x:v>
      </x:c>
      <x:c r="C621" s="219" t="str">
        <x:v>6c7af28cea00c2a54f0765cf157f3b8630e9799cf9ee615f2210552134ffe640</x:v>
      </x:c>
    </x:row>
    <x:row r="622" ht="30" customHeight="1">
      <x:c r="A622" s="180" t="str">
        <x:v>CAN-03</x:v>
      </x:c>
      <x:c r="B622" s="180" t="str">
        <x:v>analyses/can_branch/FINAL_CAN_SOURCE_BINDING.json</x:v>
      </x:c>
      <x:c r="C622" s="180" t="str">
        <x:v>87fd07aaf564b8a15f8d5fbff3a080349f9229fc6fe816de2d19763cc3ada036</x:v>
      </x:c>
    </x:row>
    <x:row r="623" ht="30" customHeight="1">
      <x:c r="A623" s="219" t="str">
        <x:v>CAN-03</x:v>
      </x:c>
      <x:c r="B623" s="219" t="str">
        <x:v>interfaces/asc_profile/ASC_PROFILE_REVIEW.json</x:v>
      </x:c>
      <x:c r="C623" s="219" t="str">
        <x:v>a779bfe927e5e5d9387131a9cc297e5af79f25f217557178da1a7ee76e7f7ab4</x:v>
      </x:c>
    </x:row>
    <x:row r="624" ht="30" customHeight="1">
      <x:c r="A624" s="180" t="str">
        <x:v>CAN-04</x:v>
      </x:c>
      <x:c r="B624" s="180" t="str">
        <x:v>iterations/I06_harness_handoff/CANDIDATE_MANIFEST.json</x:v>
      </x:c>
      <x:c r="C624" s="180" t="str">
        <x:v>017aa6938b0cea4fcf5d02a0e28ba556e4a0c0485495f171a7d5aba15a703fc0</x:v>
      </x:c>
    </x:row>
    <x:row r="625" ht="30" customHeight="1">
      <x:c r="A625" s="219" t="str">
        <x:v>CAN-04</x:v>
      </x:c>
      <x:c r="B625" s="219" t="str">
        <x:v>analyses/can_branch/FINAL_CAN_SOURCE_BINDING.json</x:v>
      </x:c>
      <x:c r="C625" s="219" t="str">
        <x:v>87fd07aaf564b8a15f8d5fbff3a080349f9229fc6fe816de2d19763cc3ada036</x:v>
      </x:c>
    </x:row>
    <x:row r="626" ht="30" customHeight="1">
      <x:c r="A626" s="180" t="str">
        <x:v>CAN-04</x:v>
      </x:c>
      <x:c r="B626" s="180" t="str">
        <x:v>interfaces/asc_profile/ASC_PROFILE_REVIEW.json</x:v>
      </x:c>
      <x:c r="C626" s="180" t="str">
        <x:v>a779bfe927e5e5d9387131a9cc297e5af79f25f217557178da1a7ee76e7f7ab4</x:v>
      </x:c>
    </x:row>
    <x:row r="627" ht="30" customHeight="1">
      <x:c r="A627" s="219" t="str">
        <x:v>CAN-05</x:v>
      </x:c>
      <x:c r="B627" s="219" t="str">
        <x:v>interfaces/HARNESS_INTERFACE_CONTRACT.json</x:v>
      </x:c>
      <x:c r="C627" s="219" t="str">
        <x:v>8de240d9bfbc5862fae2984984929e0c086bc37a255289129d312548cac3576a</x:v>
      </x:c>
    </x:row>
    <x:row r="628" ht="30" customHeight="1">
      <x:c r="A628" s="180" t="str">
        <x:v>CAN-05</x:v>
      </x:c>
      <x:c r="B628" s="180" t="str">
        <x:v>interfaces/HARNESS_CHECKS.json</x:v>
      </x:c>
      <x:c r="C628" s="180" t="str">
        <x:v>c45fcc060f1cc5d87d9056329c8eac1e7a893cbae583086c5f0d3f5b43a29c9d</x:v>
      </x:c>
    </x:row>
    <x:row r="629" ht="30" customHeight="1">
      <x:c r="A629" s="219" t="str">
        <x:v>CAN-05</x:v>
      </x:c>
      <x:c r="B629" s="219" t="str">
        <x:v>analyses/harness_wire/HARNESS_WIRE_DELTA.json</x:v>
      </x:c>
      <x:c r="C629" s="219" t="str">
        <x:v>709bdb5ea3ca0ba32fc78b0da3a1845b1d597fa82b4b3ce17c9ef2774798babe</x:v>
      </x:c>
    </x:row>
    <x:row r="630" ht="30" customHeight="1">
      <x:c r="A630" s="180" t="str">
        <x:v>CAN-05</x:v>
      </x:c>
      <x:c r="B630" s="180" t="str">
        <x:v>analyses/can_branch/FINAL_CAN_SOURCE_BINDING.json</x:v>
      </x:c>
      <x:c r="C630" s="180" t="str">
        <x:v>87fd07aaf564b8a15f8d5fbff3a080349f9229fc6fe816de2d19763cc3ada036</x:v>
      </x:c>
    </x:row>
    <x:row r="631" ht="30" customHeight="1">
      <x:c r="A631" s="219" t="str">
        <x:v>CAN-05</x:v>
      </x:c>
      <x:c r="B631" s="219" t="str">
        <x:v>interfaces/asc_profile/ASC_PROFILE_REVIEW.json</x:v>
      </x:c>
      <x:c r="C631" s="219" t="str">
        <x:v>a779bfe927e5e5d9387131a9cc297e5af79f25f217557178da1a7ee76e7f7ab4</x:v>
      </x:c>
    </x:row>
    <x:row r="632" ht="30" customHeight="1">
      <x:c r="A632" s="180" t="str">
        <x:v>CAN-06</x:v>
      </x:c>
      <x:c r="B632" s="180" t="str">
        <x:v>analyses/can_branch/COMPLETE_CAN_BRANCH_RESULTS.json</x:v>
      </x:c>
      <x:c r="C632" s="180" t="str">
        <x:v>a801a4a8e8e64f129b875e99b68c8d790509ea22707726f5a2e7c3d75c50f40e</x:v>
      </x:c>
    </x:row>
    <x:row r="633" ht="30" customHeight="1">
      <x:c r="A633" s="219" t="str">
        <x:v>CAN-06</x:v>
      </x:c>
      <x:c r="B633" s="219" t="str">
        <x:v>analyses/can_branch/FINAL_CAN_SOURCE_BINDING.json</x:v>
      </x:c>
      <x:c r="C633" s="219" t="str">
        <x:v>87fd07aaf564b8a15f8d5fbff3a080349f9229fc6fe816de2d19763cc3ada036</x:v>
      </x:c>
    </x:row>
    <x:row r="634" ht="30" customHeight="1">
      <x:c r="A634" s="180" t="str">
        <x:v>CAN-06</x:v>
      </x:c>
      <x:c r="B634" s="180" t="str">
        <x:v>analyses/can_branch/CAN22-02_NUMERICAL_CHECKS.json</x:v>
      </x:c>
      <x:c r="C634" s="180" t="str">
        <x:v>82f22d8ac19741ff81cfbe45c1d06c73624ca08ed66050156b9edebb902e6be7</x:v>
      </x:c>
    </x:row>
    <x:row r="635" ht="30" customHeight="1">
      <x:c r="A635" s="219" t="str">
        <x:v>CAN-06</x:v>
      </x:c>
      <x:c r="B635" s="219" t="str">
        <x:v>interfaces/asc_profile/ASC_PROFILE_REVIEW.json</x:v>
      </x:c>
      <x:c r="C635" s="219" t="str">
        <x:v>a779bfe927e5e5d9387131a9cc297e5af79f25f217557178da1a7ee76e7f7ab4</x:v>
      </x:c>
    </x:row>
    <x:row r="636" ht="30" customHeight="1">
      <x:c r="A636" s="180" t="str">
        <x:v>CAN-07</x:v>
      </x:c>
      <x:c r="B636" s="180" t="str">
        <x:v>analyses/can_branch/COMPLETE_CAN_BRANCH_RESULTS.json</x:v>
      </x:c>
      <x:c r="C636" s="180" t="str">
        <x:v>a801a4a8e8e64f129b875e99b68c8d790509ea22707726f5a2e7c3d75c50f40e</x:v>
      </x:c>
    </x:row>
    <x:row r="637" ht="30" customHeight="1">
      <x:c r="A637" s="219" t="str">
        <x:v>CAN-07</x:v>
      </x:c>
      <x:c r="B637" s="219" t="str">
        <x:v>analyses/can_branch/FINAL_CAN_SOURCE_BINDING.json</x:v>
      </x:c>
      <x:c r="C637" s="219" t="str">
        <x:v>87fd07aaf564b8a15f8d5fbff3a080349f9229fc6fe816de2d19763cc3ada036</x:v>
      </x:c>
    </x:row>
    <x:row r="638" ht="30" customHeight="1">
      <x:c r="A638" s="180" t="str">
        <x:v>CAN-07</x:v>
      </x:c>
      <x:c r="B638" s="180" t="str">
        <x:v>analyses/can_branch/CAN22-02_NUMERICAL_CHECKS.json</x:v>
      </x:c>
      <x:c r="C638" s="180" t="str">
        <x:v>82f22d8ac19741ff81cfbe45c1d06c73624ca08ed66050156b9edebb902e6be7</x:v>
      </x:c>
    </x:row>
    <x:row r="639" ht="30" customHeight="1">
      <x:c r="A639" s="219" t="str">
        <x:v>CAN-07</x:v>
      </x:c>
      <x:c r="B639" s="219" t="str">
        <x:v>interfaces/asc_profile/ASC_PROFILE_REVIEW.json</x:v>
      </x:c>
      <x:c r="C639" s="219" t="str">
        <x:v>a779bfe927e5e5d9387131a9cc297e5af79f25f217557178da1a7ee76e7f7ab4</x:v>
      </x:c>
    </x:row>
    <x:row r="640" ht="30" customHeight="1">
      <x:c r="A640" s="180" t="str">
        <x:v>CAN-08</x:v>
      </x:c>
      <x:c r="B640" s="180" t="str">
        <x:v>lanes/emc/EMC_DESKTOP_REPORT.md</x:v>
      </x:c>
      <x:c r="C640" s="180" t="str">
        <x:v>101c4622a26e2d9d73f53b86453962ef79d56eb71cac11b7f0f3b03b8fd1248f</x:v>
      </x:c>
    </x:row>
    <x:row r="641" ht="30" customHeight="1">
      <x:c r="A641" s="219" t="str">
        <x:v>CAN-08</x:v>
      </x:c>
      <x:c r="B641" s="219" t="str">
        <x:v>lanes/emc/REDLINE_DISPOSITIONS.json</x:v>
      </x:c>
      <x:c r="C641" s="219" t="str">
        <x:v>1e44cc67b597f207b26b6ae31da1dcf5efa4d89b02e1df66c7f8b06b47f34be2</x:v>
      </x:c>
    </x:row>
    <x:row r="642" ht="30" customHeight="1">
      <x:c r="A642" s="180" t="str">
        <x:v>CAN-08</x:v>
      </x:c>
      <x:c r="B642" s="180" t="str">
        <x:v>lanes/emc/EMC_NUMERICAL_VERIFICATION.json</x:v>
      </x:c>
      <x:c r="C642" s="180" t="str">
        <x:v>dfcf84e50264ea556b24d61b6f41a0091682506644728ded71bea525a80f6b30</x:v>
      </x:c>
    </x:row>
    <x:row r="643" ht="30" customHeight="1">
      <x:c r="A643" s="219" t="str">
        <x:v>CAN-08</x:v>
      </x:c>
      <x:c r="B643" s="219" t="str">
        <x:v>analyses/can_branch/FINAL_CAN_SOURCE_BINDING.json</x:v>
      </x:c>
      <x:c r="C643" s="219" t="str">
        <x:v>87fd07aaf564b8a15f8d5fbff3a080349f9229fc6fe816de2d19763cc3ada036</x:v>
      </x:c>
    </x:row>
    <x:row r="644" ht="30" customHeight="1">
      <x:c r="A644" s="180" t="str">
        <x:v>CAN-08</x:v>
      </x:c>
      <x:c r="B644" s="180" t="str">
        <x:v>interfaces/asc_profile/ASC_PROFILE_REVIEW.json</x:v>
      </x:c>
      <x:c r="C644" s="180" t="str">
        <x:v>a779bfe927e5e5d9387131a9cc297e5af79f25f217557178da1a7ee76e7f7ab4</x:v>
      </x:c>
    </x:row>
    <x:row r="645" ht="30" customHeight="1">
      <x:c r="A645" s="219" t="str">
        <x:v>CAN-09</x:v>
      </x:c>
      <x:c r="B645" s="219" t="str">
        <x:v>analyses/can_branch/FINAL_CAN_SOURCE_BINDING.json</x:v>
      </x:c>
      <x:c r="C645" s="219" t="str">
        <x:v>87fd07aaf564b8a15f8d5fbff3a080349f9229fc6fe816de2d19763cc3ada036</x:v>
      </x:c>
    </x:row>
    <x:row r="646" ht="30" customHeight="1">
      <x:c r="A646" s="180" t="str">
        <x:v>CAN-09</x:v>
      </x:c>
      <x:c r="B646" s="180" t="str">
        <x:v>interfaces/asc_profile/ASC_PROFILE_REVIEW.json</x:v>
      </x:c>
      <x:c r="C646" s="180" t="str">
        <x:v>a779bfe927e5e5d9387131a9cc297e5af79f25f217557178da1a7ee76e7f7ab4</x:v>
      </x:c>
    </x:row>
    <x:row r="647" ht="30" customHeight="1">
      <x:c r="A647" s="219" t="str">
        <x:v>CAN-10</x:v>
      </x:c>
      <x:c r="B647" s="219" t="str">
        <x:v>lanes/firmware_oil/RECOVERED_RELEASE_CHECKS.json</x:v>
      </x:c>
      <x:c r="C647" s="219" t="str">
        <x:v>9d36ebab30769a0293ff2fcbd194a54f113e5444f8680565da51558ccce9cdf8</x:v>
      </x:c>
    </x:row>
    <x:row r="648" ht="30" customHeight="1">
      <x:c r="A648" s="180" t="str">
        <x:v>CAN-10</x:v>
      </x:c>
      <x:c r="B648" s="180" t="str">
        <x:v>lanes/firmware_oil/RECOVERED_FIRMWARE_TEST_RESULTS.json</x:v>
      </x:c>
      <x:c r="C648" s="180" t="str">
        <x:v>c4c5df66ff54cba721fe8808062019f824df6e0b0c4869e78fd30626121dc725</x:v>
      </x:c>
    </x:row>
    <x:row r="649" ht="30" customHeight="1">
      <x:c r="A649" s="219" t="str">
        <x:v>CAN-10</x:v>
      </x:c>
      <x:c r="B649" s="219" t="str">
        <x:v>analyses/can_branch/FINAL_CAN_SOURCE_BINDING.json</x:v>
      </x:c>
      <x:c r="C649" s="219" t="str">
        <x:v>87fd07aaf564b8a15f8d5fbff3a080349f9229fc6fe816de2d19763cc3ada036</x:v>
      </x:c>
    </x:row>
    <x:row r="650" ht="30" customHeight="1">
      <x:c r="A650" s="180" t="str">
        <x:v>CAN-10</x:v>
      </x:c>
      <x:c r="B650" s="180" t="str">
        <x:v>interfaces/asc_profile/ASC_PROFILE_REVIEW.json</x:v>
      </x:c>
      <x:c r="C650" s="180" t="str">
        <x:v>a779bfe927e5e5d9387131a9cc297e5af79f25f217557178da1a7ee76e7f7ab4</x:v>
      </x:c>
    </x:row>
    <x:row r="651" ht="30" customHeight="1">
      <x:c r="A651" s="219" t="str">
        <x:v>CAN-11</x:v>
      </x:c>
      <x:c r="B651" s="219" t="str">
        <x:v>control/RVB22_BRING_UP_AND_MEASUREMENT_CONTRACT.md</x:v>
      </x:c>
      <x:c r="C651" s="219" t="str">
        <x:v>449d38b93d0d99ec35d3545af7b198e3430a19aa20cbf59b6de2b60b0215331f</x:v>
      </x:c>
    </x:row>
    <x:row r="652" ht="30" customHeight="1">
      <x:c r="A652" s="180" t="str">
        <x:v>CAN-11</x:v>
      </x:c>
      <x:c r="B652" s="180" t="str">
        <x:v>control/BRINGUP_SCHEMATIC_TEXT_DELTA.json</x:v>
      </x:c>
      <x:c r="C652" s="180" t="str">
        <x:v>b375d56d6cc12ce36313d7ee538c3bc384127c76eb41fea363ce7911556415ee</x:v>
      </x:c>
    </x:row>
    <x:row r="653" ht="30" customHeight="1">
      <x:c r="A653" s="219" t="str">
        <x:v>CAN-11</x:v>
      </x:c>
      <x:c r="B653" s="219" t="str">
        <x:v>control/BRINGUP_ACTUAL_NODE_INDEX.json</x:v>
      </x:c>
      <x:c r="C653" s="219" t="str">
        <x:v>a63b8b544d5707e4ec2c6dcced8a01f7b216c553052681a5fa9f46bc3d7af6f8</x:v>
      </x:c>
    </x:row>
    <x:row r="654" ht="30" customHeight="1">
      <x:c r="A654" s="180" t="str">
        <x:v>CAN-11</x:v>
      </x:c>
      <x:c r="B654" s="180" t="str">
        <x:v>control/FINAL_I04_BRINGUP_BINDING.json</x:v>
      </x:c>
      <x:c r="C654" s="180" t="str">
        <x:v>0a51eb793074e6b5eafbf20002325289bdd1e1b3a5174ae63fd79b937a76fd3f</x:v>
      </x:c>
    </x:row>
    <x:row r="655" ht="30" customHeight="1">
      <x:c r="A655" s="219" t="str">
        <x:v>CAN-11</x:v>
      </x:c>
      <x:c r="B655" s="219" t="str">
        <x:v>analyses/can_branch/FINAL_CAN_SOURCE_BINDING.json</x:v>
      </x:c>
      <x:c r="C655" s="219" t="str">
        <x:v>87fd07aaf564b8a15f8d5fbff3a080349f9229fc6fe816de2d19763cc3ada036</x:v>
      </x:c>
    </x:row>
    <x:row r="656" ht="30" customHeight="1">
      <x:c r="A656" s="180" t="str">
        <x:v>CAN-11</x:v>
      </x:c>
      <x:c r="B656" s="180" t="str">
        <x:v>interfaces/asc_profile/ASC_PROFILE_REVIEW.json</x:v>
      </x:c>
      <x:c r="C656" s="180" t="str">
        <x:v>a779bfe927e5e5d9387131a9cc297e5af79f25f217557178da1a7ee76e7f7ab4</x:v>
      </x:c>
    </x:row>
    <x:row r="657" ht="30" customHeight="1">
      <x:c r="A657" s="219" t="str">
        <x:v>CAN-12</x:v>
      </x:c>
      <x:c r="B657" s="219" t="str">
        <x:v>lanes/firmware_oil/RECOVERED_RELEASE_CHECKS.json</x:v>
      </x:c>
      <x:c r="C657" s="219" t="str">
        <x:v>9d36ebab30769a0293ff2fcbd194a54f113e5444f8680565da51558ccce9cdf8</x:v>
      </x:c>
    </x:row>
    <x:row r="658" ht="30" customHeight="1">
      <x:c r="A658" s="180" t="str">
        <x:v>CAN-12</x:v>
      </x:c>
      <x:c r="B658" s="180" t="str">
        <x:v>lanes/firmware_oil/RECOVERED_FIRMWARE_TEST_RESULTS.json</x:v>
      </x:c>
      <x:c r="C658" s="180" t="str">
        <x:v>c4c5df66ff54cba721fe8808062019f824df6e0b0c4869e78fd30626121dc725</x:v>
      </x:c>
    </x:row>
    <x:row r="659" ht="30" customHeight="1">
      <x:c r="A659" s="219" t="str">
        <x:v>CAN-12</x:v>
      </x:c>
      <x:c r="B659" s="219" t="str">
        <x:v>analyses/can_branch/FINAL_CAN_SOURCE_BINDING.json</x:v>
      </x:c>
      <x:c r="C659" s="219" t="str">
        <x:v>87fd07aaf564b8a15f8d5fbff3a080349f9229fc6fe816de2d19763cc3ada036</x:v>
      </x:c>
    </x:row>
    <x:row r="660" ht="30" customHeight="1">
      <x:c r="A660" s="180" t="str">
        <x:v>CAN-12</x:v>
      </x:c>
      <x:c r="B660" s="180" t="str">
        <x:v>interfaces/asc_profile/ASC_PROFILE_REVIEW.json</x:v>
      </x:c>
      <x:c r="C660" s="180" t="str">
        <x:v>a779bfe927e5e5d9387131a9cc297e5af79f25f217557178da1a7ee76e7f7ab4</x:v>
      </x:c>
    </x:row>
    <x:row r="661" ht="30" customHeight="1">
      <x:c r="A661" s="219" t="str">
        <x:v>CAN-13</x:v>
      </x:c>
      <x:c r="B661" s="219" t="str">
        <x:v>interfaces/asc_profile/ASC_PROFILE_REVIEW.json</x:v>
      </x:c>
      <x:c r="C661" s="219" t="str">
        <x:v>a779bfe927e5e5d9387131a9cc297e5af79f25f217557178da1a7ee76e7f7ab4</x:v>
      </x:c>
    </x:row>
    <x:row r="662" ht="30" customHeight="1">
      <x:c r="A662" s="180" t="str">
        <x:v>CAN-13</x:v>
      </x:c>
      <x:c r="B662" s="180" t="str">
        <x:v>interfaces/asc_profile/PRIMARY_SOURCE_MANIFEST.json</x:v>
      </x:c>
      <x:c r="C662" s="180" t="str">
        <x:v>5503b65e3db2c7de2e865692595d95e414d6e18d3c4ec2411970546c703b823d</x:v>
      </x:c>
    </x:row>
    <x:row r="663" ht="30" customHeight="1">
      <x:c r="A663" s="219" t="str">
        <x:v>CAN-13</x:v>
      </x:c>
      <x:c r="B663" s="219" t="str">
        <x:v>analyses/can_branch/FINAL_CAN_SOURCE_BINDING.json</x:v>
      </x:c>
      <x:c r="C663" s="219" t="str">
        <x:v>87fd07aaf564b8a15f8d5fbff3a080349f9229fc6fe816de2d19763cc3ada036</x:v>
      </x:c>
    </x:row>
    <x:row r="664" ht="30" customHeight="1">
      <x:c r="A664" s="180" t="str">
        <x:v>CAN-14</x:v>
      </x:c>
      <x:c r="B664" s="180" t="str">
        <x:v>lanes/firmware_oil/RECOVERED_RELEASE_CHECKS.json</x:v>
      </x:c>
      <x:c r="C664" s="180" t="str">
        <x:v>9d36ebab30769a0293ff2fcbd194a54f113e5444f8680565da51558ccce9cdf8</x:v>
      </x:c>
    </x:row>
    <x:row r="665" ht="30" customHeight="1">
      <x:c r="A665" s="219" t="str">
        <x:v>CAN-14</x:v>
      </x:c>
      <x:c r="B665" s="219" t="str">
        <x:v>lanes/firmware_oil/RECOVERED_FIRMWARE_TEST_RESULTS.json</x:v>
      </x:c>
      <x:c r="C665" s="219" t="str">
        <x:v>c4c5df66ff54cba721fe8808062019f824df6e0b0c4869e78fd30626121dc725</x:v>
      </x:c>
    </x:row>
    <x:row r="666" ht="30" customHeight="1">
      <x:c r="A666" s="180" t="str">
        <x:v>CAN-14</x:v>
      </x:c>
      <x:c r="B666" s="180" t="str">
        <x:v>lanes/firmware_oil/FINAL_I04_OIL_FIRMWARE_EFFECTIVITY.json</x:v>
      </x:c>
      <x:c r="C666" s="180" t="str">
        <x:v>17c9b0178b833a546a4f14b2f287574b8545d7a56e68db66a8a94f02634b394f</x:v>
      </x:c>
    </x:row>
    <x:row r="667" ht="30" customHeight="1">
      <x:c r="A667" s="219" t="str">
        <x:v>CAN-14</x:v>
      </x:c>
      <x:c r="B667" s="219" t="str">
        <x:v>analyses/can_branch/FINAL_CAN_SOURCE_BINDING.json</x:v>
      </x:c>
      <x:c r="C667" s="219" t="str">
        <x:v>87fd07aaf564b8a15f8d5fbff3a080349f9229fc6fe816de2d19763cc3ada036</x:v>
      </x:c>
    </x:row>
    <x:row r="668" ht="30" customHeight="1">
      <x:c r="A668" s="180" t="str">
        <x:v>CAN-14</x:v>
      </x:c>
      <x:c r="B668" s="180" t="str">
        <x:v>interfaces/asc_profile/ASC_PROFILE_REVIEW.json</x:v>
      </x:c>
      <x:c r="C668" s="180" t="str">
        <x:v>a779bfe927e5e5d9387131a9cc297e5af79f25f217557178da1a7ee76e7f7ab4</x:v>
      </x:c>
    </x:row>
    <x:row r="669" ht="30" customHeight="1">
      <x:c r="A669" s="219" t="str">
        <x:v>ADC-01</x:v>
      </x:c>
      <x:c r="B669" s="219" t="str">
        <x:v>interfaces/HARNESS_INTERFACE_CONTRACT.json</x:v>
      </x:c>
      <x:c r="C669" s="219" t="str">
        <x:v>8de240d9bfbc5862fae2984984929e0c086bc37a255289129d312548cac3576a</x:v>
      </x:c>
    </x:row>
    <x:row r="670" ht="30" customHeight="1">
      <x:c r="A670" s="180" t="str">
        <x:v>ADC-01</x:v>
      </x:c>
      <x:c r="B670" s="180" t="str">
        <x:v>interfaces/HARNESS_CHECKS.json</x:v>
      </x:c>
      <x:c r="C670" s="180" t="str">
        <x:v>c45fcc060f1cc5d87d9056329c8eac1e7a893cbae583086c5f0d3f5b43a29c9d</x:v>
      </x:c>
    </x:row>
    <x:row r="671" ht="30" customHeight="1">
      <x:c r="A671" s="219" t="str">
        <x:v>ADC-01</x:v>
      </x:c>
      <x:c r="B671" s="219" t="str">
        <x:v>analyses/harness_wire/HARNESS_WIRE_DELTA.json</x:v>
      </x:c>
      <x:c r="C671" s="219" t="str">
        <x:v>709bdb5ea3ca0ba32fc78b0da3a1845b1d597fa82b4b3ce17c9ef2774798babe</x:v>
      </x:c>
    </x:row>
    <x:row r="672" ht="30" customHeight="1">
      <x:c r="A672" s="180" t="str">
        <x:v>ADC-01</x:v>
      </x:c>
      <x:c r="B672" s="180" t="str">
        <x:v>interfaces/MOLEX_A1_HARNESS_REDLINE.json</x:v>
      </x:c>
      <x:c r="C672" s="180" t="str">
        <x:v>f7e6567d47cb426e6a19a6356f6dd1feda53c481c27e1631f39d4fe28174f28e</x:v>
      </x:c>
    </x:row>
    <x:row r="673" ht="30" customHeight="1">
      <x:c r="A673" s="219" t="str">
        <x:v>ADC-01</x:v>
      </x:c>
      <x:c r="B673" s="219" t="str">
        <x:v>interfaces/SINGLE_RETURN_EFFECTIVITY.json</x:v>
      </x:c>
      <x:c r="C673" s="219" t="str">
        <x:v>6c7af28cea00c2a54f0765cf157f3b8630e9799cf9ee615f2210552134ffe640</x:v>
      </x:c>
    </x:row>
    <x:row r="674" ht="30" customHeight="1">
      <x:c r="A674" s="180" t="str">
        <x:v>ADC-01</x:v>
      </x:c>
      <x:c r="B674" s="180" t="str">
        <x:v>interfaces/FINAL_I06_HARNESS_BINDING.json</x:v>
      </x:c>
      <x:c r="C674" s="180" t="str">
        <x:v>ea1271a3927330045a38668bb5208bd4aace21b828afc3f535bb34593ec04458</x:v>
      </x:c>
    </x:row>
    <x:row r="675" ht="30" customHeight="1">
      <x:c r="A675" s="219" t="str">
        <x:v>ADC-01</x:v>
      </x:c>
      <x:c r="B675" s="219" t="str">
        <x:v>iterations/I06_harness_handoff/CANDIDATE_MANIFEST.json</x:v>
      </x:c>
      <x:c r="C675" s="219" t="str">
        <x:v>017aa6938b0cea4fcf5d02a0e28ba556e4a0c0485495f171a7d5aba15a703fc0</x:v>
      </x:c>
    </x:row>
    <x:row r="676" ht="30" customHeight="1">
      <x:c r="A676" s="180" t="str">
        <x:v>ADC-01</x:v>
      </x:c>
      <x:c r="B676" s="180" t="str">
        <x:v>lanes/firmware_oil/FINAL_I04_OIL_FIRMWARE_EFFECTIVITY.json</x:v>
      </x:c>
      <x:c r="C676" s="180" t="str">
        <x:v>17c9b0178b833a546a4f14b2f287574b8545d7a56e68db66a8a94f02634b394f</x:v>
      </x:c>
    </x:row>
    <x:row r="677" ht="30" customHeight="1">
      <x:c r="A677" s="219" t="str">
        <x:v>ADC-01</x:v>
      </x:c>
      <x:c r="B677" s="219" t="str">
        <x:v>current/SOURCE_EFFECTIVITY.json</x:v>
      </x:c>
      <x:c r="C677" s="219" t="str">
        <x:v>832fcdcc8cd7ebb9df2e169c8b9194011c37d138484da13fd5de05bd2657170d</x:v>
      </x:c>
    </x:row>
    <x:row r="678" ht="30" customHeight="1">
      <x:c r="A678" s="180" t="str">
        <x:v>ADC-02</x:v>
      </x:c>
      <x:c r="B678" s="180" t="str">
        <x:v>lanes/firmware_oil/RECOVERY_CALIBRATION_GAIN_REDLINE.json</x:v>
      </x:c>
      <x:c r="C678" s="180" t="str">
        <x:v>4156482b336bece382dae6dcf618b2f7a5c26456dc57aaa1b574e169bd04cd9c</x:v>
      </x:c>
    </x:row>
    <x:row r="679" ht="30" customHeight="1">
      <x:c r="A679" s="219" t="str">
        <x:v>ADC-02</x:v>
      </x:c>
      <x:c r="B679" s="219" t="str">
        <x:v>lanes/firmware_oil/RECOVERED_FIRMWARE_TEST_RESULTS.json</x:v>
      </x:c>
      <x:c r="C679" s="219" t="str">
        <x:v>c4c5df66ff54cba721fe8808062019f824df6e0b0c4869e78fd30626121dc725</x:v>
      </x:c>
    </x:row>
    <x:row r="680" ht="30" customHeight="1">
      <x:c r="A680" s="180" t="str">
        <x:v>ADC-02</x:v>
      </x:c>
      <x:c r="B680" s="180" t="str">
        <x:v>interfaces/OIL_HARNESS_ERROR_SWEEP.json</x:v>
      </x:c>
      <x:c r="C680" s="180" t="str">
        <x:v>1a0e3bbbfeb53fae48b38ab52575d6644f48d7ef4b534dd262f89c9cde0aa6a1</x:v>
      </x:c>
    </x:row>
    <x:row r="681" ht="30" customHeight="1">
      <x:c r="A681" s="219" t="str">
        <x:v>ADC-02</x:v>
      </x:c>
      <x:c r="B681" s="219" t="str">
        <x:v>lanes/firmware_oil/FINAL_I04_OIL_FIRMWARE_EFFECTIVITY.json</x:v>
      </x:c>
      <x:c r="C681" s="219" t="str">
        <x:v>17c9b0178b833a546a4f14b2f287574b8545d7a56e68db66a8a94f02634b394f</x:v>
      </x:c>
    </x:row>
    <x:row r="682" ht="30" customHeight="1">
      <x:c r="A682" s="180" t="str">
        <x:v>ADC-02</x:v>
      </x:c>
      <x:c r="B682" s="180" t="str">
        <x:v>lanes/oil_cap/FINAL_C532_SUBGRAPH_BINDING.json</x:v>
      </x:c>
      <x:c r="C682" s="180" t="str">
        <x:v>28967e7b5768764cc5528550516b41c0b77bee732da05d6a03bbde0e3ef6dc94</x:v>
      </x:c>
    </x:row>
    <x:row r="683" ht="30" customHeight="1">
      <x:c r="A683" s="219" t="str">
        <x:v>ADC-02</x:v>
      </x:c>
      <x:c r="B683" s="219" t="str">
        <x:v>current/SOURCE_EFFECTIVITY.json</x:v>
      </x:c>
      <x:c r="C683" s="219" t="str">
        <x:v>832fcdcc8cd7ebb9df2e169c8b9194011c37d138484da13fd5de05bd2657170d</x:v>
      </x:c>
    </x:row>
    <x:row r="684" ht="30" customHeight="1">
      <x:c r="A684" s="180" t="str">
        <x:v>ADC-03</x:v>
      </x:c>
      <x:c r="B684" s="180" t="str">
        <x:v>lanes/firmware_oil/RECOVERY_CALIBRATION_GAIN_REDLINE.json</x:v>
      </x:c>
      <x:c r="C684" s="180" t="str">
        <x:v>4156482b336bece382dae6dcf618b2f7a5c26456dc57aaa1b574e169bd04cd9c</x:v>
      </x:c>
    </x:row>
    <x:row r="685" ht="30" customHeight="1">
      <x:c r="A685" s="219" t="str">
        <x:v>ADC-03</x:v>
      </x:c>
      <x:c r="B685" s="219" t="str">
        <x:v>lanes/firmware_oil/RECOVERED_FIRMWARE_TEST_RESULTS.json</x:v>
      </x:c>
      <x:c r="C685" s="219" t="str">
        <x:v>c4c5df66ff54cba721fe8808062019f824df6e0b0c4869e78fd30626121dc725</x:v>
      </x:c>
    </x:row>
    <x:row r="686" ht="30" customHeight="1">
      <x:c r="A686" s="180" t="str">
        <x:v>ADC-03</x:v>
      </x:c>
      <x:c r="B686" s="180" t="str">
        <x:v>interfaces/OIL_HARNESS_ERROR_SWEEP.json</x:v>
      </x:c>
      <x:c r="C686" s="180" t="str">
        <x:v>1a0e3bbbfeb53fae48b38ab52575d6644f48d7ef4b534dd262f89c9cde0aa6a1</x:v>
      </x:c>
    </x:row>
    <x:row r="687" ht="30" customHeight="1">
      <x:c r="A687" s="219" t="str">
        <x:v>ADC-03</x:v>
      </x:c>
      <x:c r="B687" s="219" t="str">
        <x:v>lanes/firmware_oil/FINAL_I04_OIL_FIRMWARE_EFFECTIVITY.json</x:v>
      </x:c>
      <x:c r="C687" s="219" t="str">
        <x:v>17c9b0178b833a546a4f14b2f287574b8545d7a56e68db66a8a94f02634b394f</x:v>
      </x:c>
    </x:row>
    <x:row r="688" ht="30" customHeight="1">
      <x:c r="A688" s="180" t="str">
        <x:v>ADC-03</x:v>
      </x:c>
      <x:c r="B688" s="180" t="str">
        <x:v>lanes/oil_cap/FINAL_C532_SUBGRAPH_BINDING.json</x:v>
      </x:c>
      <x:c r="C688" s="180" t="str">
        <x:v>28967e7b5768764cc5528550516b41c0b77bee732da05d6a03bbde0e3ef6dc94</x:v>
      </x:c>
    </x:row>
    <x:row r="689" ht="30" customHeight="1">
      <x:c r="A689" s="219" t="str">
        <x:v>ADC-03</x:v>
      </x:c>
      <x:c r="B689" s="219" t="str">
        <x:v>current/SOURCE_EFFECTIVITY.json</x:v>
      </x:c>
      <x:c r="C689" s="219" t="str">
        <x:v>832fcdcc8cd7ebb9df2e169c8b9194011c37d138484da13fd5de05bd2657170d</x:v>
      </x:c>
    </x:row>
    <x:row r="690" ht="30" customHeight="1">
      <x:c r="A690" s="180" t="str">
        <x:v>ADC-04</x:v>
      </x:c>
      <x:c r="B690" s="180" t="str">
        <x:v>lanes/firmware_oil/RECOVERY_CALIBRATION_GAIN_REDLINE.json</x:v>
      </x:c>
      <x:c r="C690" s="180" t="str">
        <x:v>4156482b336bece382dae6dcf618b2f7a5c26456dc57aaa1b574e169bd04cd9c</x:v>
      </x:c>
    </x:row>
    <x:row r="691" ht="30" customHeight="1">
      <x:c r="A691" s="219" t="str">
        <x:v>ADC-04</x:v>
      </x:c>
      <x:c r="B691" s="219" t="str">
        <x:v>lanes/firmware_oil/RECOVERED_FIRMWARE_TEST_RESULTS.json</x:v>
      </x:c>
      <x:c r="C691" s="219" t="str">
        <x:v>c4c5df66ff54cba721fe8808062019f824df6e0b0c4869e78fd30626121dc725</x:v>
      </x:c>
    </x:row>
    <x:row r="692" ht="30" customHeight="1">
      <x:c r="A692" s="180" t="str">
        <x:v>ADC-04</x:v>
      </x:c>
      <x:c r="B692" s="180" t="str">
        <x:v>interfaces/OIL_HARNESS_ERROR_SWEEP.json</x:v>
      </x:c>
      <x:c r="C692" s="180" t="str">
        <x:v>1a0e3bbbfeb53fae48b38ab52575d6644f48d7ef4b534dd262f89c9cde0aa6a1</x:v>
      </x:c>
    </x:row>
    <x:row r="693" ht="30" customHeight="1">
      <x:c r="A693" s="219" t="str">
        <x:v>ADC-04</x:v>
      </x:c>
      <x:c r="B693" s="219" t="str">
        <x:v>lanes/firmware_oil/FINAL_I04_OIL_FIRMWARE_EFFECTIVITY.json</x:v>
      </x:c>
      <x:c r="C693" s="219" t="str">
        <x:v>17c9b0178b833a546a4f14b2f287574b8545d7a56e68db66a8a94f02634b394f</x:v>
      </x:c>
    </x:row>
    <x:row r="694" ht="30" customHeight="1">
      <x:c r="A694" s="180" t="str">
        <x:v>ADC-04</x:v>
      </x:c>
      <x:c r="B694" s="180" t="str">
        <x:v>lanes/oil_cap/FINAL_C532_SUBGRAPH_BINDING.json</x:v>
      </x:c>
      <x:c r="C694" s="180" t="str">
        <x:v>28967e7b5768764cc5528550516b41c0b77bee732da05d6a03bbde0e3ef6dc94</x:v>
      </x:c>
    </x:row>
    <x:row r="695" ht="30" customHeight="1">
      <x:c r="A695" s="219" t="str">
        <x:v>ADC-04</x:v>
      </x:c>
      <x:c r="B695" s="219" t="str">
        <x:v>current/SOURCE_EFFECTIVITY.json</x:v>
      </x:c>
      <x:c r="C695" s="219" t="str">
        <x:v>832fcdcc8cd7ebb9df2e169c8b9194011c37d138484da13fd5de05bd2657170d</x:v>
      </x:c>
    </x:row>
    <x:row r="696" ht="30" customHeight="1">
      <x:c r="A696" s="180" t="str">
        <x:v>ADC-05</x:v>
      </x:c>
      <x:c r="B696" s="180" t="str">
        <x:v>lanes/firmware_oil/RECOVERED_FIRMWARE_TEST_RESULTS.json</x:v>
      </x:c>
      <x:c r="C696" s="180" t="str">
        <x:v>c4c5df66ff54cba721fe8808062019f824df6e0b0c4869e78fd30626121dc725</x:v>
      </x:c>
    </x:row>
    <x:row r="697" ht="30" customHeight="1">
      <x:c r="A697" s="219" t="str">
        <x:v>ADC-05</x:v>
      </x:c>
      <x:c r="B697" s="219" t="str">
        <x:v>lanes/firmware_oil/RECOVERY_CALIBRATION_GAIN_REDLINE.json</x:v>
      </x:c>
      <x:c r="C697" s="219" t="str">
        <x:v>4156482b336bece382dae6dcf618b2f7a5c26456dc57aaa1b574e169bd04cd9c</x:v>
      </x:c>
    </x:row>
    <x:row r="698" ht="30" customHeight="1">
      <x:c r="A698" s="180" t="str">
        <x:v>ADC-05</x:v>
      </x:c>
      <x:c r="B698" s="180" t="str">
        <x:v>interfaces/OIL_HARNESS_ERROR_SWEEP.json</x:v>
      </x:c>
      <x:c r="C698" s="180" t="str">
        <x:v>1a0e3bbbfeb53fae48b38ab52575d6644f48d7ef4b534dd262f89c9cde0aa6a1</x:v>
      </x:c>
    </x:row>
    <x:row r="699" ht="30" customHeight="1">
      <x:c r="A699" s="219" t="str">
        <x:v>ADC-05</x:v>
      </x:c>
      <x:c r="B699" s="219" t="str">
        <x:v>lanes/firmware_oil/FINAL_I04_OIL_FIRMWARE_EFFECTIVITY.json</x:v>
      </x:c>
      <x:c r="C699" s="219" t="str">
        <x:v>17c9b0178b833a546a4f14b2f287574b8545d7a56e68db66a8a94f02634b394f</x:v>
      </x:c>
    </x:row>
    <x:row r="700" ht="30" customHeight="1">
      <x:c r="A700" s="180" t="str">
        <x:v>ADC-05</x:v>
      </x:c>
      <x:c r="B700" s="180" t="str">
        <x:v>current/SOURCE_EFFECTIVITY.json</x:v>
      </x:c>
      <x:c r="C700" s="180" t="str">
        <x:v>832fcdcc8cd7ebb9df2e169c8b9194011c37d138484da13fd5de05bd2657170d</x:v>
      </x:c>
    </x:row>
    <x:row r="701" ht="30" customHeight="1">
      <x:c r="A701" s="219" t="str">
        <x:v>ADC-06</x:v>
      </x:c>
      <x:c r="B701" s="219" t="str">
        <x:v>lanes/firmware_oil/RECOVERY_CALIBRATION_GAIN_REDLINE.json</x:v>
      </x:c>
      <x:c r="C701" s="219" t="str">
        <x:v>4156482b336bece382dae6dcf618b2f7a5c26456dc57aaa1b574e169bd04cd9c</x:v>
      </x:c>
    </x:row>
    <x:row r="702" ht="30" customHeight="1">
      <x:c r="A702" s="180" t="str">
        <x:v>ADC-06</x:v>
      </x:c>
      <x:c r="B702" s="180" t="str">
        <x:v>lanes/firmware_oil/RECOVERED_FIRMWARE_TEST_RESULTS.json</x:v>
      </x:c>
      <x:c r="C702" s="180" t="str">
        <x:v>c4c5df66ff54cba721fe8808062019f824df6e0b0c4869e78fd30626121dc725</x:v>
      </x:c>
    </x:row>
    <x:row r="703" ht="30" customHeight="1">
      <x:c r="A703" s="219" t="str">
        <x:v>ADC-06</x:v>
      </x:c>
      <x:c r="B703" s="219" t="str">
        <x:v>interfaces/OIL_HARNESS_ERROR_SWEEP.json</x:v>
      </x:c>
      <x:c r="C703" s="219" t="str">
        <x:v>1a0e3bbbfeb53fae48b38ab52575d6644f48d7ef4b534dd262f89c9cde0aa6a1</x:v>
      </x:c>
    </x:row>
    <x:row r="704" ht="30" customHeight="1">
      <x:c r="A704" s="180" t="str">
        <x:v>ADC-06</x:v>
      </x:c>
      <x:c r="B704" s="180" t="str">
        <x:v>lanes/firmware_oil/FINAL_I04_OIL_FIRMWARE_EFFECTIVITY.json</x:v>
      </x:c>
      <x:c r="C704" s="180" t="str">
        <x:v>17c9b0178b833a546a4f14b2f287574b8545d7a56e68db66a8a94f02634b394f</x:v>
      </x:c>
    </x:row>
    <x:row r="705" ht="30" customHeight="1">
      <x:c r="A705" s="219" t="str">
        <x:v>ADC-06</x:v>
      </x:c>
      <x:c r="B705" s="219" t="str">
        <x:v>lanes/oil_cap/FINAL_C532_SUBGRAPH_BINDING.json</x:v>
      </x:c>
      <x:c r="C705" s="219" t="str">
        <x:v>28967e7b5768764cc5528550516b41c0b77bee732da05d6a03bbde0e3ef6dc94</x:v>
      </x:c>
    </x:row>
    <x:row r="706" ht="30" customHeight="1">
      <x:c r="A706" s="180" t="str">
        <x:v>ADC-06</x:v>
      </x:c>
      <x:c r="B706" s="180" t="str">
        <x:v>current/SOURCE_EFFECTIVITY.json</x:v>
      </x:c>
      <x:c r="C706" s="180" t="str">
        <x:v>832fcdcc8cd7ebb9df2e169c8b9194011c37d138484da13fd5de05bd2657170d</x:v>
      </x:c>
    </x:row>
    <x:row r="707" ht="30" customHeight="1">
      <x:c r="A707" s="219" t="str">
        <x:v>ADC-07</x:v>
      </x:c>
      <x:c r="B707" s="219" t="str">
        <x:v>lanes/firmware_oil/RECOVERED_FIRMWARE_TEST_RESULTS.json</x:v>
      </x:c>
      <x:c r="C707" s="219" t="str">
        <x:v>c4c5df66ff54cba721fe8808062019f824df6e0b0c4869e78fd30626121dc725</x:v>
      </x:c>
    </x:row>
    <x:row r="708" ht="30" customHeight="1">
      <x:c r="A708" s="180" t="str">
        <x:v>ADC-07</x:v>
      </x:c>
      <x:c r="B708" s="180" t="str">
        <x:v>lanes/firmware_oil/RECOVERY_CALIBRATION_GAIN_REDLINE.json</x:v>
      </x:c>
      <x:c r="C708" s="180" t="str">
        <x:v>4156482b336bece382dae6dcf618b2f7a5c26456dc57aaa1b574e169bd04cd9c</x:v>
      </x:c>
    </x:row>
    <x:row r="709" ht="30" customHeight="1">
      <x:c r="A709" s="219" t="str">
        <x:v>ADC-07</x:v>
      </x:c>
      <x:c r="B709" s="219" t="str">
        <x:v>interfaces/OIL_HARNESS_ERROR_SWEEP.json</x:v>
      </x:c>
      <x:c r="C709" s="219" t="str">
        <x:v>1a0e3bbbfeb53fae48b38ab52575d6644f48d7ef4b534dd262f89c9cde0aa6a1</x:v>
      </x:c>
    </x:row>
    <x:row r="710" ht="30" customHeight="1">
      <x:c r="A710" s="180" t="str">
        <x:v>ADC-07</x:v>
      </x:c>
      <x:c r="B710" s="180" t="str">
        <x:v>lanes/firmware_oil/FINAL_I04_OIL_FIRMWARE_EFFECTIVITY.json</x:v>
      </x:c>
      <x:c r="C710" s="180" t="str">
        <x:v>17c9b0178b833a546a4f14b2f287574b8545d7a56e68db66a8a94f02634b394f</x:v>
      </x:c>
    </x:row>
    <x:row r="711" ht="30" customHeight="1">
      <x:c r="A711" s="219" t="str">
        <x:v>ADC-07</x:v>
      </x:c>
      <x:c r="B711" s="219" t="str">
        <x:v>current/SOURCE_EFFECTIVITY.json</x:v>
      </x:c>
      <x:c r="C711" s="219" t="str">
        <x:v>832fcdcc8cd7ebb9df2e169c8b9194011c37d138484da13fd5de05bd2657170d</x:v>
      </x:c>
    </x:row>
    <x:row r="712" ht="30" customHeight="1">
      <x:c r="A712" s="180" t="str">
        <x:v>ADC-08</x:v>
      </x:c>
      <x:c r="B712" s="180" t="str">
        <x:v>lanes/firmware_oil/RECOVERED_FIRMWARE_TEST_RESULTS.json</x:v>
      </x:c>
      <x:c r="C712" s="180" t="str">
        <x:v>c4c5df66ff54cba721fe8808062019f824df6e0b0c4869e78fd30626121dc725</x:v>
      </x:c>
    </x:row>
    <x:row r="713" ht="30" customHeight="1">
      <x:c r="A713" s="219" t="str">
        <x:v>ADC-08</x:v>
      </x:c>
      <x:c r="B713" s="219" t="str">
        <x:v>lanes/firmware_oil/RECOVERY_CALIBRATION_GAIN_REDLINE.json</x:v>
      </x:c>
      <x:c r="C713" s="219" t="str">
        <x:v>4156482b336bece382dae6dcf618b2f7a5c26456dc57aaa1b574e169bd04cd9c</x:v>
      </x:c>
    </x:row>
    <x:row r="714" ht="30" customHeight="1">
      <x:c r="A714" s="180" t="str">
        <x:v>ADC-08</x:v>
      </x:c>
      <x:c r="B714" s="180" t="str">
        <x:v>interfaces/OIL_HARNESS_ERROR_SWEEP.json</x:v>
      </x:c>
      <x:c r="C714" s="180" t="str">
        <x:v>1a0e3bbbfeb53fae48b38ab52575d6644f48d7ef4b534dd262f89c9cde0aa6a1</x:v>
      </x:c>
    </x:row>
    <x:row r="715" ht="30" customHeight="1">
      <x:c r="A715" s="219" t="str">
        <x:v>ADC-08</x:v>
      </x:c>
      <x:c r="B715" s="219" t="str">
        <x:v>lanes/firmware_oil/FINAL_I04_OIL_FIRMWARE_EFFECTIVITY.json</x:v>
      </x:c>
      <x:c r="C715" s="219" t="str">
        <x:v>17c9b0178b833a546a4f14b2f287574b8545d7a56e68db66a8a94f02634b394f</x:v>
      </x:c>
    </x:row>
    <x:row r="716" ht="30" customHeight="1">
      <x:c r="A716" s="180" t="str">
        <x:v>ADC-08</x:v>
      </x:c>
      <x:c r="B716" s="180" t="str">
        <x:v>current/SOURCE_EFFECTIVITY.json</x:v>
      </x:c>
      <x:c r="C716" s="180" t="str">
        <x:v>832fcdcc8cd7ebb9df2e169c8b9194011c37d138484da13fd5de05bd2657170d</x:v>
      </x:c>
    </x:row>
    <x:row r="717" ht="30" customHeight="1">
      <x:c r="A717" s="219" t="str">
        <x:v>ADC-09</x:v>
      </x:c>
      <x:c r="B717" s="219" t="str">
        <x:v>lanes/firmware_oil/RECOVERED_FIRMWARE_TEST_RESULTS.json</x:v>
      </x:c>
      <x:c r="C717" s="219" t="str">
        <x:v>c4c5df66ff54cba721fe8808062019f824df6e0b0c4869e78fd30626121dc725</x:v>
      </x:c>
    </x:row>
    <x:row r="718" ht="30" customHeight="1">
      <x:c r="A718" s="180" t="str">
        <x:v>ADC-09</x:v>
      </x:c>
      <x:c r="B718" s="180" t="str">
        <x:v>lanes/firmware_oil/RECOVERY_CALIBRATION_GAIN_REDLINE.json</x:v>
      </x:c>
      <x:c r="C718" s="180" t="str">
        <x:v>4156482b336bece382dae6dcf618b2f7a5c26456dc57aaa1b574e169bd04cd9c</x:v>
      </x:c>
    </x:row>
    <x:row r="719" ht="30" customHeight="1">
      <x:c r="A719" s="219" t="str">
        <x:v>ADC-09</x:v>
      </x:c>
      <x:c r="B719" s="219" t="str">
        <x:v>interfaces/OIL_HARNESS_ERROR_SWEEP.json</x:v>
      </x:c>
      <x:c r="C719" s="219" t="str">
        <x:v>1a0e3bbbfeb53fae48b38ab52575d6644f48d7ef4b534dd262f89c9cde0aa6a1</x:v>
      </x:c>
    </x:row>
    <x:row r="720" ht="30" customHeight="1">
      <x:c r="A720" s="180" t="str">
        <x:v>ADC-09</x:v>
      </x:c>
      <x:c r="B720" s="180" t="str">
        <x:v>lanes/firmware_oil/FINAL_I04_OIL_FIRMWARE_EFFECTIVITY.json</x:v>
      </x:c>
      <x:c r="C720" s="180" t="str">
        <x:v>17c9b0178b833a546a4f14b2f287574b8545d7a56e68db66a8a94f02634b394f</x:v>
      </x:c>
    </x:row>
    <x:row r="721" ht="30" customHeight="1">
      <x:c r="A721" s="219" t="str">
        <x:v>ADC-09</x:v>
      </x:c>
      <x:c r="B721" s="219" t="str">
        <x:v>current/SOURCE_EFFECTIVITY.json</x:v>
      </x:c>
      <x:c r="C721" s="219" t="str">
        <x:v>832fcdcc8cd7ebb9df2e169c8b9194011c37d138484da13fd5de05bd2657170d</x:v>
      </x:c>
    </x:row>
    <x:row r="722" ht="30" customHeight="1">
      <x:c r="A722" s="180" t="str">
        <x:v>ADC-10</x:v>
      </x:c>
      <x:c r="B722" s="180" t="str">
        <x:v>lanes/firmware_oil/RECOVERED_FIRMWARE_TEST_RESULTS.json</x:v>
      </x:c>
      <x:c r="C722" s="180" t="str">
        <x:v>c4c5df66ff54cba721fe8808062019f824df6e0b0c4869e78fd30626121dc725</x:v>
      </x:c>
    </x:row>
    <x:row r="723" ht="30" customHeight="1">
      <x:c r="A723" s="219" t="str">
        <x:v>ADC-10</x:v>
      </x:c>
      <x:c r="B723" s="219" t="str">
        <x:v>lanes/firmware_oil/RECOVERY_CALIBRATION_GAIN_REDLINE.json</x:v>
      </x:c>
      <x:c r="C723" s="219" t="str">
        <x:v>4156482b336bece382dae6dcf618b2f7a5c26456dc57aaa1b574e169bd04cd9c</x:v>
      </x:c>
    </x:row>
    <x:row r="724" ht="30" customHeight="1">
      <x:c r="A724" s="180" t="str">
        <x:v>ADC-10</x:v>
      </x:c>
      <x:c r="B724" s="180" t="str">
        <x:v>interfaces/OIL_HARNESS_ERROR_SWEEP.json</x:v>
      </x:c>
      <x:c r="C724" s="180" t="str">
        <x:v>1a0e3bbbfeb53fae48b38ab52575d6644f48d7ef4b534dd262f89c9cde0aa6a1</x:v>
      </x:c>
    </x:row>
    <x:row r="725" ht="30" customHeight="1">
      <x:c r="A725" s="219" t="str">
        <x:v>ADC-10</x:v>
      </x:c>
      <x:c r="B725" s="219" t="str">
        <x:v>lanes/firmware_oil/FINAL_I04_OIL_FIRMWARE_EFFECTIVITY.json</x:v>
      </x:c>
      <x:c r="C725" s="219" t="str">
        <x:v>17c9b0178b833a546a4f14b2f287574b8545d7a56e68db66a8a94f02634b394f</x:v>
      </x:c>
    </x:row>
    <x:row r="726" ht="30" customHeight="1">
      <x:c r="A726" s="180" t="str">
        <x:v>ADC-10</x:v>
      </x:c>
      <x:c r="B726" s="180" t="str">
        <x:v>current/SOURCE_EFFECTIVITY.json</x:v>
      </x:c>
      <x:c r="C726" s="180" t="str">
        <x:v>832fcdcc8cd7ebb9df2e169c8b9194011c37d138484da13fd5de05bd2657170d</x:v>
      </x:c>
    </x:row>
    <x:row r="727" ht="30" customHeight="1">
      <x:c r="A727" s="219" t="str">
        <x:v>ADC-11</x:v>
      </x:c>
      <x:c r="B727" s="219" t="str">
        <x:v>lanes/firmware_oil/RECOVERED_RELEASE_CHECKS.json</x:v>
      </x:c>
      <x:c r="C727" s="219" t="str">
        <x:v>9d36ebab30769a0293ff2fcbd194a54f113e5444f8680565da51558ccce9cdf8</x:v>
      </x:c>
    </x:row>
    <x:row r="728" ht="30" customHeight="1">
      <x:c r="A728" s="180" t="str">
        <x:v>ADC-11</x:v>
      </x:c>
      <x:c r="B728" s="180" t="str">
        <x:v>lanes/firmware_oil/RECOVERED_FIRMWARE_TEST_RESULTS.json</x:v>
      </x:c>
      <x:c r="C728" s="180" t="str">
        <x:v>c4c5df66ff54cba721fe8808062019f824df6e0b0c4869e78fd30626121dc725</x:v>
      </x:c>
    </x:row>
    <x:row r="729" ht="30" customHeight="1">
      <x:c r="A729" s="219" t="str">
        <x:v>ADC-11</x:v>
      </x:c>
      <x:c r="B729" s="219" t="str">
        <x:v>lanes/firmware_oil/FINAL_I04_OIL_FIRMWARE_EFFECTIVITY.json</x:v>
      </x:c>
      <x:c r="C729" s="219" t="str">
        <x:v>17c9b0178b833a546a4f14b2f287574b8545d7a56e68db66a8a94f02634b394f</x:v>
      </x:c>
    </x:row>
    <x:row r="730" ht="30" customHeight="1">
      <x:c r="A730" s="180" t="str">
        <x:v>ADC-11</x:v>
      </x:c>
      <x:c r="B730" s="180" t="str">
        <x:v>current/SOURCE_EFFECTIVITY.json</x:v>
      </x:c>
      <x:c r="C730" s="180" t="str">
        <x:v>832fcdcc8cd7ebb9df2e169c8b9194011c37d138484da13fd5de05bd2657170d</x:v>
      </x:c>
    </x:row>
    <x:row r="731" ht="30" customHeight="1">
      <x:c r="A731" s="219" t="str">
        <x:v>ADC-12</x:v>
      </x:c>
      <x:c r="B731" s="219" t="str">
        <x:v>lanes/emc/EMC_DESKTOP_REPORT.md</x:v>
      </x:c>
      <x:c r="C731" s="219" t="str">
        <x:v>101c4622a26e2d9d73f53b86453962ef79d56eb71cac11b7f0f3b03b8fd1248f</x:v>
      </x:c>
    </x:row>
    <x:row r="732" ht="30" customHeight="1">
      <x:c r="A732" s="180" t="str">
        <x:v>ADC-12</x:v>
      </x:c>
      <x:c r="B732" s="180" t="str">
        <x:v>lanes/emc/REDLINE_DISPOSITIONS.json</x:v>
      </x:c>
      <x:c r="C732" s="180" t="str">
        <x:v>1e44cc67b597f207b26b6ae31da1dcf5efa4d89b02e1df66c7f8b06b47f34be2</x:v>
      </x:c>
    </x:row>
    <x:row r="733" ht="30" customHeight="1">
      <x:c r="A733" s="219" t="str">
        <x:v>ADC-12</x:v>
      </x:c>
      <x:c r="B733" s="219" t="str">
        <x:v>lanes/emc/EMC_NUMERICAL_VERIFICATION.json</x:v>
      </x:c>
      <x:c r="C733" s="219" t="str">
        <x:v>dfcf84e50264ea556b24d61b6f41a0091682506644728ded71bea525a80f6b30</x:v>
      </x:c>
    </x:row>
    <x:row r="734" ht="30" customHeight="1">
      <x:c r="A734" s="180" t="str">
        <x:v>ADC-12</x:v>
      </x:c>
      <x:c r="B734" s="180" t="str">
        <x:v>lanes/firmware_oil/FINAL_I04_OIL_FIRMWARE_EFFECTIVITY.json</x:v>
      </x:c>
      <x:c r="C734" s="180" t="str">
        <x:v>17c9b0178b833a546a4f14b2f287574b8545d7a56e68db66a8a94f02634b394f</x:v>
      </x:c>
    </x:row>
    <x:row r="735" ht="30" customHeight="1">
      <x:c r="A735" s="219" t="str">
        <x:v>ADC-12</x:v>
      </x:c>
      <x:c r="B735" s="219" t="str">
        <x:v>current/SOURCE_EFFECTIVITY.json</x:v>
      </x:c>
      <x:c r="C735" s="219" t="str">
        <x:v>832fcdcc8cd7ebb9df2e169c8b9194011c37d138484da13fd5de05bd2657170d</x:v>
      </x:c>
    </x:row>
    <x:row r="736" ht="30" customHeight="1">
      <x:c r="A736" s="180" t="str">
        <x:v>ADC-13</x:v>
      </x:c>
      <x:c r="B736" s="180" t="str">
        <x:v>lanes/firmware_oil/RECOVERED_RELEASE_CHECKS.json</x:v>
      </x:c>
      <x:c r="C736" s="180" t="str">
        <x:v>9d36ebab30769a0293ff2fcbd194a54f113e5444f8680565da51558ccce9cdf8</x:v>
      </x:c>
    </x:row>
    <x:row r="737" ht="30" customHeight="1">
      <x:c r="A737" s="219" t="str">
        <x:v>ADC-13</x:v>
      </x:c>
      <x:c r="B737" s="219" t="str">
        <x:v>lanes/firmware_oil/RECOVERED_FIRMWARE_TEST_RESULTS.json</x:v>
      </x:c>
      <x:c r="C737" s="219" t="str">
        <x:v>c4c5df66ff54cba721fe8808062019f824df6e0b0c4869e78fd30626121dc725</x:v>
      </x:c>
    </x:row>
    <x:row r="738" ht="30" customHeight="1">
      <x:c r="A738" s="180" t="str">
        <x:v>ADC-13</x:v>
      </x:c>
      <x:c r="B738" s="180" t="str">
        <x:v>lanes/firmware_oil/FINAL_I04_OIL_FIRMWARE_EFFECTIVITY.json</x:v>
      </x:c>
      <x:c r="C738" s="180" t="str">
        <x:v>17c9b0178b833a546a4f14b2f287574b8545d7a56e68db66a8a94f02634b394f</x:v>
      </x:c>
    </x:row>
    <x:row r="739" ht="30" customHeight="1">
      <x:c r="A739" s="219" t="str">
        <x:v>ADC-13</x:v>
      </x:c>
      <x:c r="B739" s="219" t="str">
        <x:v>current/SOURCE_EFFECTIVITY.json</x:v>
      </x:c>
      <x:c r="C739" s="219" t="str">
        <x:v>832fcdcc8cd7ebb9df2e169c8b9194011c37d138484da13fd5de05bd2657170d</x:v>
      </x:c>
    </x:row>
    <x:row r="740" ht="30" customHeight="1">
      <x:c r="A740" s="180" t="str">
        <x:v>ADC-14</x:v>
      </x:c>
      <x:c r="B740" s="180" t="str">
        <x:v>control/FINAL_I04_BRINGUP_BINDING.json</x:v>
      </x:c>
      <x:c r="C740" s="180" t="str">
        <x:v>0a51eb793074e6b5eafbf20002325289bdd1e1b3a5174ae63fd79b937a76fd3f</x:v>
      </x:c>
    </x:row>
    <x:row r="741" ht="30" customHeight="1">
      <x:c r="A741" s="219" t="str">
        <x:v>ADC-14</x:v>
      </x:c>
      <x:c r="B741" s="219" t="str">
        <x:v>control/RVB22_BRING_UP_AND_MEASUREMENT_CONTRACT.md</x:v>
      </x:c>
      <x:c r="C741" s="219" t="str">
        <x:v>449d38b93d0d99ec35d3545af7b198e3430a19aa20cbf59b6de2b60b0215331f</x:v>
      </x:c>
    </x:row>
    <x:row r="742" ht="30" customHeight="1">
      <x:c r="A742" s="180" t="str">
        <x:v>ADC-14</x:v>
      </x:c>
      <x:c r="B742" s="180" t="str">
        <x:v>control/BRINGUP_ACTUAL_NODE_INDEX.json</x:v>
      </x:c>
      <x:c r="C742" s="180" t="str">
        <x:v>a63b8b544d5707e4ec2c6dcced8a01f7b216c553052681a5fa9f46bc3d7af6f8</x:v>
      </x:c>
    </x:row>
    <x:row r="743" ht="30" customHeight="1">
      <x:c r="A743" s="219" t="str">
        <x:v>ADC-14</x:v>
      </x:c>
      <x:c r="B743" s="219" t="str">
        <x:v>lanes/firmware_oil/FINAL_I04_OIL_FIRMWARE_EFFECTIVITY.json</x:v>
      </x:c>
      <x:c r="C743" s="219" t="str">
        <x:v>17c9b0178b833a546a4f14b2f287574b8545d7a56e68db66a8a94f02634b394f</x:v>
      </x:c>
    </x:row>
    <x:row r="744" ht="30" customHeight="1">
      <x:c r="A744" s="180" t="str">
        <x:v>ADC-14</x:v>
      </x:c>
      <x:c r="B744" s="180" t="str">
        <x:v>current/SOURCE_EFFECTIVITY.json</x:v>
      </x:c>
      <x:c r="C744" s="180" t="str">
        <x:v>832fcdcc8cd7ebb9df2e169c8b9194011c37d138484da13fd5de05bd2657170d</x:v>
      </x:c>
    </x:row>
    <x:row r="745" ht="30" customHeight="1">
      <x:c r="A745" s="219" t="str">
        <x:v>GPS-01</x:v>
      </x:c>
      <x:c r="B745" s="219" t="str">
        <x:v>runtime/run_native_candidate.py</x:v>
      </x:c>
      <x:c r="C745" s="219" t="str">
        <x:v>187d303cb103cef92143d53c099615a435ceef29c0458d7ac9521205d451f315</x:v>
      </x:c>
    </x:row>
    <x:row r="746" ht="30" customHeight="1">
      <x:c r="A746" s="180" t="str">
        <x:v>GPS-01</x:v>
      </x:c>
      <x:c r="B746" s="180" t="str">
        <x:v>runtime/final_I06_actual_preflight/RESULT.json</x:v>
      </x:c>
      <x:c r="C746" s="180" t="str">
        <x:v>47d1ac4057b92a6752abacf976768596bf4fa311d08c9fc08df2d276e8e1200f</x:v>
      </x:c>
    </x:row>
    <x:row r="747" ht="30" customHeight="1">
      <x:c r="A747" s="219" t="str">
        <x:v>GPS-01</x:v>
      </x:c>
      <x:c r="B747" s="219" t="str">
        <x:v>runtime/NATIVE_NEGATIVE_CONTROL_RECHECK.json</x:v>
      </x:c>
      <x:c r="C747" s="219" t="str">
        <x:v>c4c3531bdbbc221139a01a09a581b260ee9b9c28f55002b23dfac566a3b53e79</x:v>
      </x:c>
    </x:row>
    <x:row r="748" ht="30" customHeight="1">
      <x:c r="A748" s="180" t="str">
        <x:v>GPS-01</x:v>
      </x:c>
      <x:c r="B748" s="180" t="str">
        <x:v>iterations/I06_harness_handoff/CANDIDATE_MANIFEST.json</x:v>
      </x:c>
      <x:c r="C748" s="180" t="str">
        <x:v>017aa6938b0cea4fcf5d02a0e28ba556e4a0c0485495f171a7d5aba15a703fc0</x:v>
      </x:c>
    </x:row>
    <x:row r="749" ht="30" customHeight="1">
      <x:c r="A749" s="219" t="str">
        <x:v>GPS-01</x:v>
      </x:c>
      <x:c r="B749" s="219" t="str">
        <x:v>analyses/rf_i18/EXTENDED_NETWORK_RESULTS.json</x:v>
      </x:c>
      <x:c r="C749" s="219" t="str">
        <x:v>74c5bb43e910fb4145f5f2a8e72934d4fc36e6c5e6d00f7f8bf45b80fb486252</x:v>
      </x:c>
    </x:row>
    <x:row r="750" ht="30" customHeight="1">
      <x:c r="A750" s="180" t="str">
        <x:v>GPS-01</x:v>
      </x:c>
      <x:c r="B750" s="180" t="str">
        <x:v>analyses/mated_i18/RESULTS.json</x:v>
      </x:c>
      <x:c r="C750" s="180" t="str">
        <x:v>7466a6278a904f43d085330b5b6057d7fa92c8d24156eb7ea875f35bc42044d2</x:v>
      </x:c>
    </x:row>
    <x:row r="751" ht="30" customHeight="1">
      <x:c r="A751" s="219" t="str">
        <x:v>GPS-01</x:v>
      </x:c>
      <x:c r="B751" s="219" t="str">
        <x:v>iterations/I20_controlled_handoff/NATIVE_BINDING.json</x:v>
      </x:c>
      <x:c r="C751" s="219" t="str">
        <x:v>6f36235aab2349569f2cacf485912921762bc718e2a5fd5c4c72c2808ca2312b</x:v>
      </x:c>
    </x:row>
    <x:row r="752" ht="30" customHeight="1">
      <x:c r="A752" s="180" t="str">
        <x:v>GPS-02</x:v>
      </x:c>
      <x:c r="B752" s="180" t="str">
        <x:v>lanes/firmware_oil/RECOVERED_RELEASE_CHECKS.json</x:v>
      </x:c>
      <x:c r="C752" s="180" t="str">
        <x:v>9d36ebab30769a0293ff2fcbd194a54f113e5444f8680565da51558ccce9cdf8</x:v>
      </x:c>
    </x:row>
    <x:row r="753" ht="30" customHeight="1">
      <x:c r="A753" s="219" t="str">
        <x:v>GPS-02</x:v>
      </x:c>
      <x:c r="B753" s="219" t="str">
        <x:v>lanes/firmware_oil/RECOVERED_FIRMWARE_TEST_RESULTS.json</x:v>
      </x:c>
      <x:c r="C753" s="219" t="str">
        <x:v>c4c5df66ff54cba721fe8808062019f824df6e0b0c4869e78fd30626121dc725</x:v>
      </x:c>
    </x:row>
    <x:row r="754" ht="30" customHeight="1">
      <x:c r="A754" s="180" t="str">
        <x:v>GPS-02</x:v>
      </x:c>
      <x:c r="B754" s="180" t="str">
        <x:v>lanes/firmware_oil/FINAL_I04_OIL_FIRMWARE_EFFECTIVITY.json</x:v>
      </x:c>
      <x:c r="C754" s="180" t="str">
        <x:v>17c9b0178b833a546a4f14b2f287574b8545d7a56e68db66a8a94f02634b394f</x:v>
      </x:c>
    </x:row>
    <x:row r="755" ht="30" customHeight="1">
      <x:c r="A755" s="219" t="str">
        <x:v>GPS-02</x:v>
      </x:c>
      <x:c r="B755" s="219" t="str">
        <x:v>analyses/rf_i18/EXTENDED_NETWORK_RESULTS.json</x:v>
      </x:c>
      <x:c r="C755" s="219" t="str">
        <x:v>74c5bb43e910fb4145f5f2a8e72934d4fc36e6c5e6d00f7f8bf45b80fb486252</x:v>
      </x:c>
    </x:row>
    <x:row r="756" ht="30" customHeight="1">
      <x:c r="A756" s="180" t="str">
        <x:v>GPS-02</x:v>
      </x:c>
      <x:c r="B756" s="180" t="str">
        <x:v>analyses/mated_i18/RESULTS.json</x:v>
      </x:c>
      <x:c r="C756" s="180" t="str">
        <x:v>7466a6278a904f43d085330b5b6057d7fa92c8d24156eb7ea875f35bc42044d2</x:v>
      </x:c>
    </x:row>
    <x:row r="757" ht="30" customHeight="1">
      <x:c r="A757" s="219" t="str">
        <x:v>GPS-02</x:v>
      </x:c>
      <x:c r="B757" s="219" t="str">
        <x:v>iterations/I20_controlled_handoff/NATIVE_BINDING.json</x:v>
      </x:c>
      <x:c r="C757" s="219" t="str">
        <x:v>6f36235aab2349569f2cacf485912921762bc718e2a5fd5c4c72c2808ca2312b</x:v>
      </x:c>
    </x:row>
    <x:row r="758" ht="30" customHeight="1">
      <x:c r="A758" s="180" t="str">
        <x:v>GPS-03</x:v>
      </x:c>
      <x:c r="B758" s="180" t="str">
        <x:v>iterations/I06_harness_handoff/CANDIDATE_MANIFEST.json</x:v>
      </x:c>
      <x:c r="C758" s="180" t="str">
        <x:v>017aa6938b0cea4fcf5d02a0e28ba556e4a0c0485495f171a7d5aba15a703fc0</x:v>
      </x:c>
    </x:row>
    <x:row r="759" ht="30" customHeight="1">
      <x:c r="A759" s="219" t="str">
        <x:v>GPS-03</x:v>
      </x:c>
      <x:c r="B759" s="219" t="str">
        <x:v>analyses/rf_i18/EXTENDED_NETWORK_RESULTS.json</x:v>
      </x:c>
      <x:c r="C759" s="219" t="str">
        <x:v>74c5bb43e910fb4145f5f2a8e72934d4fc36e6c5e6d00f7f8bf45b80fb486252</x:v>
      </x:c>
    </x:row>
    <x:row r="760" ht="30" customHeight="1">
      <x:c r="A760" s="180" t="str">
        <x:v>GPS-03</x:v>
      </x:c>
      <x:c r="B760" s="180" t="str">
        <x:v>analyses/mated_i18/RESULTS.json</x:v>
      </x:c>
      <x:c r="C760" s="180" t="str">
        <x:v>7466a6278a904f43d085330b5b6057d7fa92c8d24156eb7ea875f35bc42044d2</x:v>
      </x:c>
    </x:row>
    <x:row r="761" ht="30" customHeight="1">
      <x:c r="A761" s="219" t="str">
        <x:v>GPS-03</x:v>
      </x:c>
      <x:c r="B761" s="219" t="str">
        <x:v>iterations/I20_controlled_handoff/NATIVE_BINDING.json</x:v>
      </x:c>
      <x:c r="C761" s="219" t="str">
        <x:v>6f36235aab2349569f2cacf485912921762bc718e2a5fd5c4c72c2808ca2312b</x:v>
      </x:c>
    </x:row>
    <x:row r="762" ht="30" customHeight="1">
      <x:c r="A762" s="180" t="str">
        <x:v>GPS-04</x:v>
      </x:c>
      <x:c r="B762" s="180" t="str">
        <x:v>lanes/firmware_oil/RECOVERED_RELEASE_CHECKS.json</x:v>
      </x:c>
      <x:c r="C762" s="180" t="str">
        <x:v>9d36ebab30769a0293ff2fcbd194a54f113e5444f8680565da51558ccce9cdf8</x:v>
      </x:c>
    </x:row>
    <x:row r="763" ht="30" customHeight="1">
      <x:c r="A763" s="219" t="str">
        <x:v>GPS-04</x:v>
      </x:c>
      <x:c r="B763" s="219" t="str">
        <x:v>lanes/firmware_oil/RECOVERED_FIRMWARE_TEST_RESULTS.json</x:v>
      </x:c>
      <x:c r="C763" s="219" t="str">
        <x:v>c4c5df66ff54cba721fe8808062019f824df6e0b0c4869e78fd30626121dc725</x:v>
      </x:c>
    </x:row>
    <x:row r="764" ht="30" customHeight="1">
      <x:c r="A764" s="180" t="str">
        <x:v>GPS-04</x:v>
      </x:c>
      <x:c r="B764" s="180" t="str">
        <x:v>analyses/rf_i18/EXTENDED_NETWORK_RESULTS.json</x:v>
      </x:c>
      <x:c r="C764" s="180" t="str">
        <x:v>74c5bb43e910fb4145f5f2a8e72934d4fc36e6c5e6d00f7f8bf45b80fb486252</x:v>
      </x:c>
    </x:row>
    <x:row r="765" ht="30" customHeight="1">
      <x:c r="A765" s="219" t="str">
        <x:v>GPS-04</x:v>
      </x:c>
      <x:c r="B765" s="219" t="str">
        <x:v>analyses/mated_i18/RESULTS.json</x:v>
      </x:c>
      <x:c r="C765" s="219" t="str">
        <x:v>7466a6278a904f43d085330b5b6057d7fa92c8d24156eb7ea875f35bc42044d2</x:v>
      </x:c>
    </x:row>
    <x:row r="766" ht="30" customHeight="1">
      <x:c r="A766" s="180" t="str">
        <x:v>GPS-04</x:v>
      </x:c>
      <x:c r="B766" s="180" t="str">
        <x:v>iterations/I20_controlled_handoff/NATIVE_BINDING.json</x:v>
      </x:c>
      <x:c r="C766" s="180" t="str">
        <x:v>6f36235aab2349569f2cacf485912921762bc718e2a5fd5c4c72c2808ca2312b</x:v>
      </x:c>
    </x:row>
    <x:row r="767" ht="30" customHeight="1">
      <x:c r="A767" s="219" t="str">
        <x:v>GPS-05</x:v>
      </x:c>
      <x:c r="B767" s="219" t="str">
        <x:v>lanes/firmware_oil/RECOVERED_RELEASE_CHECKS.json</x:v>
      </x:c>
      <x:c r="C767" s="219" t="str">
        <x:v>9d36ebab30769a0293ff2fcbd194a54f113e5444f8680565da51558ccce9cdf8</x:v>
      </x:c>
    </x:row>
    <x:row r="768" ht="30" customHeight="1">
      <x:c r="A768" s="180" t="str">
        <x:v>GPS-05</x:v>
      </x:c>
      <x:c r="B768" s="180" t="str">
        <x:v>lanes/firmware_oil/RECOVERED_FIRMWARE_TEST_RESULTS.json</x:v>
      </x:c>
      <x:c r="C768" s="180" t="str">
        <x:v>c4c5df66ff54cba721fe8808062019f824df6e0b0c4869e78fd30626121dc725</x:v>
      </x:c>
    </x:row>
    <x:row r="769" ht="30" customHeight="1">
      <x:c r="A769" s="219" t="str">
        <x:v>GPS-05</x:v>
      </x:c>
      <x:c r="B769" s="219" t="str">
        <x:v>analyses/rf_i18/EXTENDED_NETWORK_RESULTS.json</x:v>
      </x:c>
      <x:c r="C769" s="219" t="str">
        <x:v>74c5bb43e910fb4145f5f2a8e72934d4fc36e6c5e6d00f7f8bf45b80fb486252</x:v>
      </x:c>
    </x:row>
    <x:row r="770" ht="30" customHeight="1">
      <x:c r="A770" s="180" t="str">
        <x:v>GPS-05</x:v>
      </x:c>
      <x:c r="B770" s="180" t="str">
        <x:v>analyses/mated_i18/RESULTS.json</x:v>
      </x:c>
      <x:c r="C770" s="180" t="str">
        <x:v>7466a6278a904f43d085330b5b6057d7fa92c8d24156eb7ea875f35bc42044d2</x:v>
      </x:c>
    </x:row>
    <x:row r="771" ht="30" customHeight="1">
      <x:c r="A771" s="219" t="str">
        <x:v>GPS-05</x:v>
      </x:c>
      <x:c r="B771" s="219" t="str">
        <x:v>iterations/I20_controlled_handoff/NATIVE_BINDING.json</x:v>
      </x:c>
      <x:c r="C771" s="219" t="str">
        <x:v>6f36235aab2349569f2cacf485912921762bc718e2a5fd5c4c72c2808ca2312b</x:v>
      </x:c>
    </x:row>
    <x:row r="772" ht="30" customHeight="1">
      <x:c r="A772" s="180" t="str">
        <x:v>GPS-06</x:v>
      </x:c>
      <x:c r="B772" s="180" t="str">
        <x:v>lanes/firmware_oil/RECOVERED_RELEASE_CHECKS.json</x:v>
      </x:c>
      <x:c r="C772" s="180" t="str">
        <x:v>9d36ebab30769a0293ff2fcbd194a54f113e5444f8680565da51558ccce9cdf8</x:v>
      </x:c>
    </x:row>
    <x:row r="773" ht="30" customHeight="1">
      <x:c r="A773" s="219" t="str">
        <x:v>GPS-06</x:v>
      </x:c>
      <x:c r="B773" s="219" t="str">
        <x:v>lanes/firmware_oil/RECOVERED_FIRMWARE_TEST_RESULTS.json</x:v>
      </x:c>
      <x:c r="C773" s="219" t="str">
        <x:v>c4c5df66ff54cba721fe8808062019f824df6e0b0c4869e78fd30626121dc725</x:v>
      </x:c>
    </x:row>
    <x:row r="774" ht="30" customHeight="1">
      <x:c r="A774" s="180" t="str">
        <x:v>GPS-06</x:v>
      </x:c>
      <x:c r="B774" s="180" t="str">
        <x:v>analyses/rf_i18/EXTENDED_NETWORK_RESULTS.json</x:v>
      </x:c>
      <x:c r="C774" s="180" t="str">
        <x:v>74c5bb43e910fb4145f5f2a8e72934d4fc36e6c5e6d00f7f8bf45b80fb486252</x:v>
      </x:c>
    </x:row>
    <x:row r="775" ht="30" customHeight="1">
      <x:c r="A775" s="219" t="str">
        <x:v>GPS-06</x:v>
      </x:c>
      <x:c r="B775" s="219" t="str">
        <x:v>analyses/mated_i18/RESULTS.json</x:v>
      </x:c>
      <x:c r="C775" s="219" t="str">
        <x:v>7466a6278a904f43d085330b5b6057d7fa92c8d24156eb7ea875f35bc42044d2</x:v>
      </x:c>
    </x:row>
    <x:row r="776" ht="30" customHeight="1">
      <x:c r="A776" s="180" t="str">
        <x:v>GPS-06</x:v>
      </x:c>
      <x:c r="B776" s="180" t="str">
        <x:v>iterations/I20_controlled_handoff/NATIVE_BINDING.json</x:v>
      </x:c>
      <x:c r="C776" s="180" t="str">
        <x:v>6f36235aab2349569f2cacf485912921762bc718e2a5fd5c4c72c2808ca2312b</x:v>
      </x:c>
    </x:row>
    <x:row r="777" ht="30" customHeight="1">
      <x:c r="A777" s="219" t="str">
        <x:v>GPS-07</x:v>
      </x:c>
      <x:c r="B777" s="219" t="str">
        <x:v>lanes/firmware_oil/RECOVERED_RELEASE_CHECKS.json</x:v>
      </x:c>
      <x:c r="C777" s="219" t="str">
        <x:v>9d36ebab30769a0293ff2fcbd194a54f113e5444f8680565da51558ccce9cdf8</x:v>
      </x:c>
    </x:row>
    <x:row r="778" ht="30" customHeight="1">
      <x:c r="A778" s="180" t="str">
        <x:v>GPS-07</x:v>
      </x:c>
      <x:c r="B778" s="180" t="str">
        <x:v>lanes/firmware_oil/RECOVERED_FIRMWARE_TEST_RESULTS.json</x:v>
      </x:c>
      <x:c r="C778" s="180" t="str">
        <x:v>c4c5df66ff54cba721fe8808062019f824df6e0b0c4869e78fd30626121dc725</x:v>
      </x:c>
    </x:row>
    <x:row r="779" ht="30" customHeight="1">
      <x:c r="A779" s="219" t="str">
        <x:v>GPS-07</x:v>
      </x:c>
      <x:c r="B779" s="219" t="str">
        <x:v>analyses/rf_i18/EXTENDED_NETWORK_RESULTS.json</x:v>
      </x:c>
      <x:c r="C779" s="219" t="str">
        <x:v>74c5bb43e910fb4145f5f2a8e72934d4fc36e6c5e6d00f7f8bf45b80fb486252</x:v>
      </x:c>
    </x:row>
    <x:row r="780" ht="30" customHeight="1">
      <x:c r="A780" s="180" t="str">
        <x:v>GPS-07</x:v>
      </x:c>
      <x:c r="B780" s="180" t="str">
        <x:v>analyses/mated_i18/RESULTS.json</x:v>
      </x:c>
      <x:c r="C780" s="180" t="str">
        <x:v>7466a6278a904f43d085330b5b6057d7fa92c8d24156eb7ea875f35bc42044d2</x:v>
      </x:c>
    </x:row>
    <x:row r="781" ht="30" customHeight="1">
      <x:c r="A781" s="219" t="str">
        <x:v>GPS-07</x:v>
      </x:c>
      <x:c r="B781" s="219" t="str">
        <x:v>iterations/I20_controlled_handoff/NATIVE_BINDING.json</x:v>
      </x:c>
      <x:c r="C781" s="219" t="str">
        <x:v>6f36235aab2349569f2cacf485912921762bc718e2a5fd5c4c72c2808ca2312b</x:v>
      </x:c>
    </x:row>
    <x:row r="782" ht="30" customHeight="1">
      <x:c r="A782" s="180" t="str">
        <x:v>GPS-08</x:v>
      </x:c>
      <x:c r="B782" s="180" t="str">
        <x:v>lanes/firmware_oil/RECOVERED_RELEASE_CHECKS.json</x:v>
      </x:c>
      <x:c r="C782" s="180" t="str">
        <x:v>9d36ebab30769a0293ff2fcbd194a54f113e5444f8680565da51558ccce9cdf8</x:v>
      </x:c>
    </x:row>
    <x:row r="783" ht="30" customHeight="1">
      <x:c r="A783" s="219" t="str">
        <x:v>GPS-08</x:v>
      </x:c>
      <x:c r="B783" s="219" t="str">
        <x:v>lanes/firmware_oil/RECOVERED_FIRMWARE_TEST_RESULTS.json</x:v>
      </x:c>
      <x:c r="C783" s="219" t="str">
        <x:v>c4c5df66ff54cba721fe8808062019f824df6e0b0c4869e78fd30626121dc725</x:v>
      </x:c>
    </x:row>
    <x:row r="784" ht="30" customHeight="1">
      <x:c r="A784" s="180" t="str">
        <x:v>GPS-08</x:v>
      </x:c>
      <x:c r="B784" s="180" t="str">
        <x:v>analyses/rf_i18/EXTENDED_NETWORK_RESULTS.json</x:v>
      </x:c>
      <x:c r="C784" s="180" t="str">
        <x:v>74c5bb43e910fb4145f5f2a8e72934d4fc36e6c5e6d00f7f8bf45b80fb486252</x:v>
      </x:c>
    </x:row>
    <x:row r="785" ht="30" customHeight="1">
      <x:c r="A785" s="219" t="str">
        <x:v>GPS-08</x:v>
      </x:c>
      <x:c r="B785" s="219" t="str">
        <x:v>analyses/mated_i18/RESULTS.json</x:v>
      </x:c>
      <x:c r="C785" s="219" t="str">
        <x:v>7466a6278a904f43d085330b5b6057d7fa92c8d24156eb7ea875f35bc42044d2</x:v>
      </x:c>
    </x:row>
    <x:row r="786" ht="30" customHeight="1">
      <x:c r="A786" s="180" t="str">
        <x:v>GPS-08</x:v>
      </x:c>
      <x:c r="B786" s="180" t="str">
        <x:v>iterations/I20_controlled_handoff/NATIVE_BINDING.json</x:v>
      </x:c>
      <x:c r="C786" s="180" t="str">
        <x:v>6f36235aab2349569f2cacf485912921762bc718e2a5fd5c4c72c2808ca2312b</x:v>
      </x:c>
    </x:row>
    <x:row r="787" ht="30" customHeight="1">
      <x:c r="A787" s="219" t="str">
        <x:v>GPS-09</x:v>
      </x:c>
      <x:c r="B787" s="219" t="str">
        <x:v>lanes/rf/RF_FINAL_REPORT.md</x:v>
      </x:c>
      <x:c r="C787" s="219" t="str">
        <x:v>3fdd717e298f9671baa0d0bd7e612e526623cf035b1ff575a9a5dc8ba1536ce1</x:v>
      </x:c>
    </x:row>
    <x:row r="788" ht="30" customHeight="1">
      <x:c r="A788" s="180" t="str">
        <x:v>GPS-09</x:v>
      </x:c>
      <x:c r="B788" s="180" t="str">
        <x:v>lanes/rf/RF_FINAL_SUMMARY.json</x:v>
      </x:c>
      <x:c r="C788" s="180" t="str">
        <x:v>2bc67f3c75f646a9f78d6da59e201a8ce2bb511d46ca790af21525498545cd76</x:v>
      </x:c>
    </x:row>
    <x:row r="789" ht="30" customHeight="1">
      <x:c r="A789" s="219" t="str">
        <x:v>GPS-09</x:v>
      </x:c>
      <x:c r="B789" s="219" t="str">
        <x:v>lanes/rf/RF_I04_ADDENDUM.md</x:v>
      </x:c>
      <x:c r="C789" s="219" t="str">
        <x:v>a10485f6d1e16e37566e6ab1b7d8b6dc6b55d8e632ec8c2939f3a60188741b51</x:v>
      </x:c>
    </x:row>
    <x:row r="790" ht="30" customHeight="1">
      <x:c r="A790" s="180" t="str">
        <x:v>GPS-09</x:v>
      </x:c>
      <x:c r="B790" s="180" t="str">
        <x:v>lanes/rf/RF_I04_SUMMARY.json</x:v>
      </x:c>
      <x:c r="C790" s="180" t="str">
        <x:v>acfa57ec9f135bae0fc67b784b6851dfbb05847f7e383abf948d1c8d4d82f1ce</x:v>
      </x:c>
    </x:row>
    <x:row r="791" ht="30" customHeight="1">
      <x:c r="A791" s="219" t="str">
        <x:v>GPS-09</x:v>
      </x:c>
      <x:c r="B791" s="219" t="str">
        <x:v>lanes/emc/RF_STRIP_NETWORK.json</x:v>
      </x:c>
      <x:c r="C791" s="219" t="str">
        <x:v>136f177c0cb02f729dc78bb81db0419d7d9e60180a4bea2e288c16b5762d71ab</x:v>
      </x:c>
    </x:row>
    <x:row r="792" ht="30" customHeight="1">
      <x:c r="A792" s="180" t="str">
        <x:v>GPS-09</x:v>
      </x:c>
      <x:c r="B792" s="180" t="str">
        <x:v>analyses/rf_i18/EXTENDED_NETWORK_RESULTS.json</x:v>
      </x:c>
      <x:c r="C792" s="180" t="str">
        <x:v>74c5bb43e910fb4145f5f2a8e72934d4fc36e6c5e6d00f7f8bf45b80fb486252</x:v>
      </x:c>
    </x:row>
    <x:row r="793" ht="30" customHeight="1">
      <x:c r="A793" s="219" t="str">
        <x:v>GPS-09</x:v>
      </x:c>
      <x:c r="B793" s="219" t="str">
        <x:v>analyses/mated_i18/RESULTS.json</x:v>
      </x:c>
      <x:c r="C793" s="219" t="str">
        <x:v>7466a6278a904f43d085330b5b6057d7fa92c8d24156eb7ea875f35bc42044d2</x:v>
      </x:c>
    </x:row>
    <x:row r="794" ht="30" customHeight="1">
      <x:c r="A794" s="180" t="str">
        <x:v>GPS-09</x:v>
      </x:c>
      <x:c r="B794" s="180" t="str">
        <x:v>iterations/I20_controlled_handoff/NATIVE_BINDING.json</x:v>
      </x:c>
      <x:c r="C794" s="180" t="str">
        <x:v>6f36235aab2349569f2cacf485912921762bc718e2a5fd5c4c72c2808ca2312b</x:v>
      </x:c>
    </x:row>
    <x:row r="795" ht="30" customHeight="1">
      <x:c r="A795" s="219" t="str">
        <x:v>GPS-10</x:v>
      </x:c>
      <x:c r="B795" s="219" t="str">
        <x:v>lanes/rf/RF_FINAL_REPORT.md</x:v>
      </x:c>
      <x:c r="C795" s="219" t="str">
        <x:v>3fdd717e298f9671baa0d0bd7e612e526623cf035b1ff575a9a5dc8ba1536ce1</x:v>
      </x:c>
    </x:row>
    <x:row r="796" ht="30" customHeight="1">
      <x:c r="A796" s="180" t="str">
        <x:v>GPS-10</x:v>
      </x:c>
      <x:c r="B796" s="180" t="str">
        <x:v>lanes/rf/RF_FINAL_SUMMARY.json</x:v>
      </x:c>
      <x:c r="C796" s="180" t="str">
        <x:v>2bc67f3c75f646a9f78d6da59e201a8ce2bb511d46ca790af21525498545cd76</x:v>
      </x:c>
    </x:row>
    <x:row r="797" ht="30" customHeight="1">
      <x:c r="A797" s="219" t="str">
        <x:v>GPS-10</x:v>
      </x:c>
      <x:c r="B797" s="219" t="str">
        <x:v>lanes/rf/RF_I04_ADDENDUM.md</x:v>
      </x:c>
      <x:c r="C797" s="219" t="str">
        <x:v>a10485f6d1e16e37566e6ab1b7d8b6dc6b55d8e632ec8c2939f3a60188741b51</x:v>
      </x:c>
    </x:row>
    <x:row r="798" ht="30" customHeight="1">
      <x:c r="A798" s="180" t="str">
        <x:v>GPS-10</x:v>
      </x:c>
      <x:c r="B798" s="180" t="str">
        <x:v>lanes/rf/RF_I04_SUMMARY.json</x:v>
      </x:c>
      <x:c r="C798" s="180" t="str">
        <x:v>acfa57ec9f135bae0fc67b784b6851dfbb05847f7e383abf948d1c8d4d82f1ce</x:v>
      </x:c>
    </x:row>
    <x:row r="799" ht="30" customHeight="1">
      <x:c r="A799" s="219" t="str">
        <x:v>GPS-10</x:v>
      </x:c>
      <x:c r="B799" s="219" t="str">
        <x:v>lanes/emc/RF_STRIP_NETWORK.json</x:v>
      </x:c>
      <x:c r="C799" s="219" t="str">
        <x:v>136f177c0cb02f729dc78bb81db0419d7d9e60180a4bea2e288c16b5762d71ab</x:v>
      </x:c>
    </x:row>
    <x:row r="800" ht="30" customHeight="1">
      <x:c r="A800" s="180" t="str">
        <x:v>GPS-10</x:v>
      </x:c>
      <x:c r="B800" s="180" t="str">
        <x:v>analyses/rf_i18/EXTENDED_NETWORK_RESULTS.json</x:v>
      </x:c>
      <x:c r="C800" s="180" t="str">
        <x:v>74c5bb43e910fb4145f5f2a8e72934d4fc36e6c5e6d00f7f8bf45b80fb486252</x:v>
      </x:c>
    </x:row>
    <x:row r="801" ht="30" customHeight="1">
      <x:c r="A801" s="219" t="str">
        <x:v>GPS-10</x:v>
      </x:c>
      <x:c r="B801" s="219" t="str">
        <x:v>analyses/mated_i18/RESULTS.json</x:v>
      </x:c>
      <x:c r="C801" s="219" t="str">
        <x:v>7466a6278a904f43d085330b5b6057d7fa92c8d24156eb7ea875f35bc42044d2</x:v>
      </x:c>
    </x:row>
    <x:row r="802" ht="30" customHeight="1">
      <x:c r="A802" s="180" t="str">
        <x:v>GPS-10</x:v>
      </x:c>
      <x:c r="B802" s="180" t="str">
        <x:v>iterations/I20_controlled_handoff/NATIVE_BINDING.json</x:v>
      </x:c>
      <x:c r="C802" s="180" t="str">
        <x:v>6f36235aab2349569f2cacf485912921762bc718e2a5fd5c4c72c2808ca2312b</x:v>
      </x:c>
    </x:row>
    <x:row r="803" ht="30" customHeight="1">
      <x:c r="A803" s="219" t="str">
        <x:v>GPS-11</x:v>
      </x:c>
      <x:c r="B803" s="219" t="str">
        <x:v>lanes/rf/RF_FINAL_REPORT.md</x:v>
      </x:c>
      <x:c r="C803" s="219" t="str">
        <x:v>3fdd717e298f9671baa0d0bd7e612e526623cf035b1ff575a9a5dc8ba1536ce1</x:v>
      </x:c>
    </x:row>
    <x:row r="804" ht="30" customHeight="1">
      <x:c r="A804" s="180" t="str">
        <x:v>GPS-11</x:v>
      </x:c>
      <x:c r="B804" s="180" t="str">
        <x:v>lanes/rf/RF_FINAL_SUMMARY.json</x:v>
      </x:c>
      <x:c r="C804" s="180" t="str">
        <x:v>2bc67f3c75f646a9f78d6da59e201a8ce2bb511d46ca790af21525498545cd76</x:v>
      </x:c>
    </x:row>
    <x:row r="805" ht="30" customHeight="1">
      <x:c r="A805" s="219" t="str">
        <x:v>GPS-11</x:v>
      </x:c>
      <x:c r="B805" s="219" t="str">
        <x:v>lanes/rf/RF_I04_ADDENDUM.md</x:v>
      </x:c>
      <x:c r="C805" s="219" t="str">
        <x:v>a10485f6d1e16e37566e6ab1b7d8b6dc6b55d8e632ec8c2939f3a60188741b51</x:v>
      </x:c>
    </x:row>
    <x:row r="806" ht="30" customHeight="1">
      <x:c r="A806" s="180" t="str">
        <x:v>GPS-11</x:v>
      </x:c>
      <x:c r="B806" s="180" t="str">
        <x:v>lanes/rf/RF_I04_SUMMARY.json</x:v>
      </x:c>
      <x:c r="C806" s="180" t="str">
        <x:v>acfa57ec9f135bae0fc67b784b6851dfbb05847f7e383abf948d1c8d4d82f1ce</x:v>
      </x:c>
    </x:row>
    <x:row r="807" ht="30" customHeight="1">
      <x:c r="A807" s="219" t="str">
        <x:v>GPS-11</x:v>
      </x:c>
      <x:c r="B807" s="219" t="str">
        <x:v>lanes/rf/FINAL_I04_SOURCE_BINDING.json</x:v>
      </x:c>
      <x:c r="C807" s="219" t="str">
        <x:v>377d251ef846085d22e6ed6d8c955760b55da0e985fa2aa1b3e0bb4c0d5f6c63</x:v>
      </x:c>
    </x:row>
    <x:row r="808" ht="30" customHeight="1">
      <x:c r="A808" s="180" t="str">
        <x:v>GPS-11</x:v>
      </x:c>
      <x:c r="B808" s="180" t="str">
        <x:v>lanes/emc/EMC_SUMMARY.json</x:v>
      </x:c>
      <x:c r="C808" s="180" t="str">
        <x:v>07646b33a327ac54aec8026ed70ae457146b5918221fabc9022dee1f950b226d</x:v>
      </x:c>
    </x:row>
    <x:row r="809" ht="30" customHeight="1">
      <x:c r="A809" s="219" t="str">
        <x:v>GPS-11</x:v>
      </x:c>
      <x:c r="B809" s="219" t="str">
        <x:v>analyses/rf_i18/EXTENDED_NETWORK_RESULTS.json</x:v>
      </x:c>
      <x:c r="C809" s="219" t="str">
        <x:v>74c5bb43e910fb4145f5f2a8e72934d4fc36e6c5e6d00f7f8bf45b80fb486252</x:v>
      </x:c>
    </x:row>
    <x:row r="810" ht="30" customHeight="1">
      <x:c r="A810" s="180" t="str">
        <x:v>GPS-11</x:v>
      </x:c>
      <x:c r="B810" s="180" t="str">
        <x:v>analyses/mated_i18/RESULTS.json</x:v>
      </x:c>
      <x:c r="C810" s="180" t="str">
        <x:v>7466a6278a904f43d085330b5b6057d7fa92c8d24156eb7ea875f35bc42044d2</x:v>
      </x:c>
    </x:row>
    <x:row r="811" ht="30" customHeight="1">
      <x:c r="A811" s="219" t="str">
        <x:v>GPS-11</x:v>
      </x:c>
      <x:c r="B811" s="219" t="str">
        <x:v>iterations/I20_controlled_handoff/NATIVE_BINDING.json</x:v>
      </x:c>
      <x:c r="C811" s="219" t="str">
        <x:v>6f36235aab2349569f2cacf485912921762bc718e2a5fd5c4c72c2808ca2312b</x:v>
      </x:c>
    </x:row>
    <x:row r="812" ht="30" customHeight="1">
      <x:c r="A812" s="180" t="str">
        <x:v>GPS-12</x:v>
      </x:c>
      <x:c r="B812" s="180" t="str">
        <x:v>lanes/rf/RF_FINAL_REPORT.md</x:v>
      </x:c>
      <x:c r="C812" s="180" t="str">
        <x:v>3fdd717e298f9671baa0d0bd7e612e526623cf035b1ff575a9a5dc8ba1536ce1</x:v>
      </x:c>
    </x:row>
    <x:row r="813" ht="30" customHeight="1">
      <x:c r="A813" s="219" t="str">
        <x:v>GPS-12</x:v>
      </x:c>
      <x:c r="B813" s="219" t="str">
        <x:v>lanes/rf/RF_FINAL_SUMMARY.json</x:v>
      </x:c>
      <x:c r="C813" s="219" t="str">
        <x:v>2bc67f3c75f646a9f78d6da59e201a8ce2bb511d46ca790af21525498545cd76</x:v>
      </x:c>
    </x:row>
    <x:row r="814" ht="30" customHeight="1">
      <x:c r="A814" s="180" t="str">
        <x:v>GPS-12</x:v>
      </x:c>
      <x:c r="B814" s="180" t="str">
        <x:v>lanes/rf/RF_I04_ADDENDUM.md</x:v>
      </x:c>
      <x:c r="C814" s="180" t="str">
        <x:v>a10485f6d1e16e37566e6ab1b7d8b6dc6b55d8e632ec8c2939f3a60188741b51</x:v>
      </x:c>
    </x:row>
    <x:row r="815" ht="30" customHeight="1">
      <x:c r="A815" s="219" t="str">
        <x:v>GPS-12</x:v>
      </x:c>
      <x:c r="B815" s="219" t="str">
        <x:v>lanes/rf/RF_I04_SUMMARY.json</x:v>
      </x:c>
      <x:c r="C815" s="219" t="str">
        <x:v>acfa57ec9f135bae0fc67b784b6851dfbb05847f7e383abf948d1c8d4d82f1ce</x:v>
      </x:c>
    </x:row>
    <x:row r="816" ht="30" customHeight="1">
      <x:c r="A816" s="180" t="str">
        <x:v>GPS-12</x:v>
      </x:c>
      <x:c r="B816" s="180" t="str">
        <x:v>lanes/emc/RF_STRIP_NETWORK.json</x:v>
      </x:c>
      <x:c r="C816" s="180" t="str">
        <x:v>136f177c0cb02f729dc78bb81db0419d7d9e60180a4bea2e288c16b5762d71ab</x:v>
      </x:c>
    </x:row>
    <x:row r="817" ht="30" customHeight="1">
      <x:c r="A817" s="219" t="str">
        <x:v>GPS-12</x:v>
      </x:c>
      <x:c r="B817" s="219" t="str">
        <x:v>analyses/rf_i18/EXTENDED_NETWORK_RESULTS.json</x:v>
      </x:c>
      <x:c r="C817" s="219" t="str">
        <x:v>74c5bb43e910fb4145f5f2a8e72934d4fc36e6c5e6d00f7f8bf45b80fb486252</x:v>
      </x:c>
    </x:row>
    <x:row r="818" ht="30" customHeight="1">
      <x:c r="A818" s="180" t="str">
        <x:v>GPS-12</x:v>
      </x:c>
      <x:c r="B818" s="180" t="str">
        <x:v>analyses/mated_i18/RESULTS.json</x:v>
      </x:c>
      <x:c r="C818" s="180" t="str">
        <x:v>7466a6278a904f43d085330b5b6057d7fa92c8d24156eb7ea875f35bc42044d2</x:v>
      </x:c>
    </x:row>
    <x:row r="819" ht="30" customHeight="1">
      <x:c r="A819" s="219" t="str">
        <x:v>GPS-12</x:v>
      </x:c>
      <x:c r="B819" s="219" t="str">
        <x:v>iterations/I20_controlled_handoff/NATIVE_BINDING.json</x:v>
      </x:c>
      <x:c r="C819" s="219" t="str">
        <x:v>6f36235aab2349569f2cacf485912921762bc718e2a5fd5c4c72c2808ca2312b</x:v>
      </x:c>
    </x:row>
    <x:row r="820" ht="30" customHeight="1">
      <x:c r="A820" s="180" t="str">
        <x:v>GPS-13</x:v>
      </x:c>
      <x:c r="B820" s="180" t="str">
        <x:v>lanes/emc/EMC_DESKTOP_REPORT.md</x:v>
      </x:c>
      <x:c r="C820" s="180" t="str">
        <x:v>101c4622a26e2d9d73f53b86453962ef79d56eb71cac11b7f0f3b03b8fd1248f</x:v>
      </x:c>
    </x:row>
    <x:row r="821" ht="30" customHeight="1">
      <x:c r="A821" s="219" t="str">
        <x:v>GPS-13</x:v>
      </x:c>
      <x:c r="B821" s="219" t="str">
        <x:v>lanes/emc/REDLINE_DISPOSITIONS.json</x:v>
      </x:c>
      <x:c r="C821" s="219" t="str">
        <x:v>1e44cc67b597f207b26b6ae31da1dcf5efa4d89b02e1df66c7f8b06b47f34be2</x:v>
      </x:c>
    </x:row>
    <x:row r="822" ht="30" customHeight="1">
      <x:c r="A822" s="180" t="str">
        <x:v>GPS-13</x:v>
      </x:c>
      <x:c r="B822" s="180" t="str">
        <x:v>lanes/emc/EMC_NUMERICAL_VERIFICATION.json</x:v>
      </x:c>
      <x:c r="C822" s="180" t="str">
        <x:v>dfcf84e50264ea556b24d61b6f41a0091682506644728ded71bea525a80f6b30</x:v>
      </x:c>
    </x:row>
    <x:row r="823" ht="30" customHeight="1">
      <x:c r="A823" s="219" t="str">
        <x:v>GPS-13</x:v>
      </x:c>
      <x:c r="B823" s="219" t="str">
        <x:v>analyses/rf_i18/EXTENDED_NETWORK_RESULTS.json</x:v>
      </x:c>
      <x:c r="C823" s="219" t="str">
        <x:v>74c5bb43e910fb4145f5f2a8e72934d4fc36e6c5e6d00f7f8bf45b80fb486252</x:v>
      </x:c>
    </x:row>
    <x:row r="824" ht="30" customHeight="1">
      <x:c r="A824" s="180" t="str">
        <x:v>GPS-13</x:v>
      </x:c>
      <x:c r="B824" s="180" t="str">
        <x:v>analyses/mated_i18/RESULTS.json</x:v>
      </x:c>
      <x:c r="C824" s="180" t="str">
        <x:v>7466a6278a904f43d085330b5b6057d7fa92c8d24156eb7ea875f35bc42044d2</x:v>
      </x:c>
    </x:row>
    <x:row r="825" ht="30" customHeight="1">
      <x:c r="A825" s="219" t="str">
        <x:v>GPS-13</x:v>
      </x:c>
      <x:c r="B825" s="219" t="str">
        <x:v>iterations/I20_controlled_handoff/NATIVE_BINDING.json</x:v>
      </x:c>
      <x:c r="C825" s="219" t="str">
        <x:v>6f36235aab2349569f2cacf485912921762bc718e2a5fd5c4c72c2808ca2312b</x:v>
      </x:c>
    </x:row>
    <x:row r="826" ht="30" customHeight="1">
      <x:c r="A826" s="180" t="str">
        <x:v>GPS-14</x:v>
      </x:c>
      <x:c r="B826" s="180" t="str">
        <x:v>lanes/mechanics/FINAL_COMPONENT_ENVELOPES.json</x:v>
      </x:c>
      <x:c r="C826" s="180" t="str">
        <x:v>e9b8c89e865f53a93ed458ce690dc310f3fd9df0b8eaf39658492fbd2b4bbbd1</x:v>
      </x:c>
    </x:row>
    <x:row r="827" ht="30" customHeight="1">
      <x:c r="A827" s="219" t="str">
        <x:v>GPS-14</x:v>
      </x:c>
      <x:c r="B827" s="219" t="str">
        <x:v>lanes/mechanics/FINAL_SOURCE_BINDING.json</x:v>
      </x:c>
      <x:c r="C827" s="219" t="str">
        <x:v>4a607ecf994508b22f6099810cb7c5e4e778738782e1d7f7f64a47bf98eedce5</x:v>
      </x:c>
    </x:row>
    <x:row r="828" ht="30" customHeight="1">
      <x:c r="A828" s="180" t="str">
        <x:v>GPS-14</x:v>
      </x:c>
      <x:c r="B828" s="180" t="str">
        <x:v>lanes/mechanics/STRUCTURAL_SERVICE_MODEL.json</x:v>
      </x:c>
      <x:c r="C828" s="180" t="str">
        <x:v>e701cb8641ebef7f6ddd35a96acff390868b686cd32018fd59213fa1f32c5ecc</x:v>
      </x:c>
    </x:row>
    <x:row r="829" ht="30" customHeight="1">
      <x:c r="A829" s="219" t="str">
        <x:v>GPS-14</x:v>
      </x:c>
      <x:c r="B829" s="219" t="str">
        <x:v>analyses/assembly_handling/PRIMARY_BODY_HEIGHT_ADDENDUM.json</x:v>
      </x:c>
      <x:c r="C829" s="219" t="str">
        <x:v>7fdd606347fd74861dc3994a18d9bf8fe090e02b338c074a8d3502b6fb382bce</x:v>
      </x:c>
    </x:row>
    <x:row r="830" ht="30" customHeight="1">
      <x:c r="A830" s="180" t="str">
        <x:v>GPS-14</x:v>
      </x:c>
      <x:c r="B830" s="180" t="str">
        <x:v>lanes/mechanics/THERMAL_CONTACT_T01_MODEL.json</x:v>
      </x:c>
      <x:c r="C830" s="180" t="str">
        <x:v>a5fc11981a3bca81c2dc343bd87a0b618e391770088be932934004bc68df4f88</x:v>
      </x:c>
    </x:row>
    <x:row r="831" ht="30" customHeight="1">
      <x:c r="A831" s="219" t="str">
        <x:v>GPS-14</x:v>
      </x:c>
      <x:c r="B831" s="219" t="str">
        <x:v>lanes/mechanics/THERMAL_CONTACT_T01_REVIEW.md</x:v>
      </x:c>
      <x:c r="C831" s="219" t="str">
        <x:v>d3c23b6dc0e48a09471cc415981a3bfd6baa1235d81735f6085eb17c194bba4f</x:v>
      </x:c>
    </x:row>
    <x:row r="832" ht="30" customHeight="1">
      <x:c r="A832" s="180" t="str">
        <x:v>GPS-14</x:v>
      </x:c>
      <x:c r="B832" s="180" t="str">
        <x:v>lanes/mechanics/THERMAL_CONTACT_T01_INVERSE_REQUIREMENTS.json</x:v>
      </x:c>
      <x:c r="C832" s="180" t="str">
        <x:v>bf381e8241a51ea9e2eaf098c0cd03e2bb6e5ba870fbe88e6daa010cbeda8df9</x:v>
      </x:c>
    </x:row>
    <x:row r="833" ht="30" customHeight="1">
      <x:c r="A833" s="219" t="str">
        <x:v>GPS-14</x:v>
      </x:c>
      <x:c r="B833" s="219" t="str">
        <x:v>analyses/rf_i18/EXTENDED_NETWORK_RESULTS.json</x:v>
      </x:c>
      <x:c r="C833" s="219" t="str">
        <x:v>74c5bb43e910fb4145f5f2a8e72934d4fc36e6c5e6d00f7f8bf45b80fb486252</x:v>
      </x:c>
    </x:row>
    <x:row r="834" ht="30" customHeight="1">
      <x:c r="A834" s="180" t="str">
        <x:v>GPS-14</x:v>
      </x:c>
      <x:c r="B834" s="180" t="str">
        <x:v>analyses/mated_i18/RESULTS.json</x:v>
      </x:c>
      <x:c r="C834" s="180" t="str">
        <x:v>7466a6278a904f43d085330b5b6057d7fa92c8d24156eb7ea875f35bc42044d2</x:v>
      </x:c>
    </x:row>
    <x:row r="835" ht="30" customHeight="1">
      <x:c r="A835" s="219" t="str">
        <x:v>GPS-14</x:v>
      </x:c>
      <x:c r="B835" s="219" t="str">
        <x:v>iterations/I20_controlled_handoff/NATIVE_BINDING.json</x:v>
      </x:c>
      <x:c r="C835" s="219" t="str">
        <x:v>6f36235aab2349569f2cacf485912921762bc718e2a5fd5c4c72c2808ca2312b</x:v>
      </x:c>
    </x:row>
    <x:row r="836" ht="30" customHeight="1">
      <x:c r="A836" s="180" t="str">
        <x:v>BLE-01</x:v>
      </x:c>
      <x:c r="B836" s="180" t="str">
        <x:v>analyses/mated_i18/RESULTS.json</x:v>
      </x:c>
      <x:c r="C836" s="180" t="str">
        <x:v>7466a6278a904f43d085330b5b6057d7fa92c8d24156eb7ea875f35bc42044d2</x:v>
      </x:c>
    </x:row>
    <x:row r="837" ht="30" customHeight="1">
      <x:c r="A837" s="219" t="str">
        <x:v>BLE-01</x:v>
      </x:c>
      <x:c r="B837" s="219" t="str">
        <x:v>analyses/service_i19/RESULTS.json</x:v>
      </x:c>
      <x:c r="C837" s="219" t="str">
        <x:v>06cbb09e55a98a0039d0cab06f26b85f8af741c8b1c075991283a397f94f47fe</x:v>
      </x:c>
    </x:row>
    <x:row r="838" ht="30" customHeight="1">
      <x:c r="A838" s="180" t="str">
        <x:v>BLE-01</x:v>
      </x:c>
      <x:c r="B838" s="180" t="str">
        <x:v>current/SOURCE_EFFECTIVITY.json</x:v>
      </x:c>
      <x:c r="C838" s="180" t="str">
        <x:v>832fcdcc8cd7ebb9df2e169c8b9194011c37d138484da13fd5de05bd2657170d</x:v>
      </x:c>
    </x:row>
    <x:row r="839" ht="30" customHeight="1">
      <x:c r="A839" s="219" t="str">
        <x:v>BLE-02</x:v>
      </x:c>
      <x:c r="B839" s="219" t="str">
        <x:v>analyses/manufacturing_i20/RESULTS.json</x:v>
      </x:c>
      <x:c r="C839" s="219" t="str">
        <x:v>daa279f665dd6cad14f4ff36043abbce38c6ee51598e9ae7236d9974563476ac</x:v>
      </x:c>
    </x:row>
    <x:row r="840" ht="30" customHeight="1">
      <x:c r="A840" s="180" t="str">
        <x:v>BLE-02</x:v>
      </x:c>
      <x:c r="B840" s="180" t="str">
        <x:v>iterations/I20_controlled_handoff/NATIVE_BINDING.json</x:v>
      </x:c>
      <x:c r="C840" s="180" t="str">
        <x:v>6f36235aab2349569f2cacf485912921762bc718e2a5fd5c4c72c2808ca2312b</x:v>
      </x:c>
    </x:row>
    <x:row r="841" ht="30" customHeight="1">
      <x:c r="A841" s="219" t="str">
        <x:v>BLE-02</x:v>
      </x:c>
      <x:c r="B841" s="219" t="str">
        <x:v>current/SOURCE_EFFECTIVITY.json</x:v>
      </x:c>
      <x:c r="C841" s="219" t="str">
        <x:v>832fcdcc8cd7ebb9df2e169c8b9194011c37d138484da13fd5de05bd2657170d</x:v>
      </x:c>
    </x:row>
    <x:row r="842" ht="30" customHeight="1">
      <x:c r="A842" s="180" t="str">
        <x:v>BLE-03</x:v>
      </x:c>
      <x:c r="B842" s="180" t="str">
        <x:v>lanes/emc/EMC_DESKTOP_REPORT.md</x:v>
      </x:c>
      <x:c r="C842" s="180" t="str">
        <x:v>101c4622a26e2d9d73f53b86453962ef79d56eb71cac11b7f0f3b03b8fd1248f</x:v>
      </x:c>
    </x:row>
    <x:row r="843" ht="30" customHeight="1">
      <x:c r="A843" s="219" t="str">
        <x:v>BLE-03</x:v>
      </x:c>
      <x:c r="B843" s="219" t="str">
        <x:v>lanes/emc/REDLINE_DISPOSITIONS.json</x:v>
      </x:c>
      <x:c r="C843" s="219" t="str">
        <x:v>1e44cc67b597f207b26b6ae31da1dcf5efa4d89b02e1df66c7f8b06b47f34be2</x:v>
      </x:c>
    </x:row>
    <x:row r="844" ht="30" customHeight="1">
      <x:c r="A844" s="180" t="str">
        <x:v>BLE-03</x:v>
      </x:c>
      <x:c r="B844" s="180" t="str">
        <x:v>lanes/emc/EMC_NUMERICAL_VERIFICATION.json</x:v>
      </x:c>
      <x:c r="C844" s="180" t="str">
        <x:v>dfcf84e50264ea556b24d61b6f41a0091682506644728ded71bea525a80f6b30</x:v>
      </x:c>
    </x:row>
    <x:row r="845" ht="30" customHeight="1">
      <x:c r="A845" s="219" t="str">
        <x:v>BLE-03</x:v>
      </x:c>
      <x:c r="B845" s="219" t="str">
        <x:v>analyses/mated_i18/RESULTS.json</x:v>
      </x:c>
      <x:c r="C845" s="219" t="str">
        <x:v>7466a6278a904f43d085330b5b6057d7fa92c8d24156eb7ea875f35bc42044d2</x:v>
      </x:c>
    </x:row>
    <x:row r="846" ht="30" customHeight="1">
      <x:c r="A846" s="180" t="str">
        <x:v>BLE-03</x:v>
      </x:c>
      <x:c r="B846" s="180" t="str">
        <x:v>analyses/service_i19/RESULTS.json</x:v>
      </x:c>
      <x:c r="C846" s="180" t="str">
        <x:v>06cbb09e55a98a0039d0cab06f26b85f8af741c8b1c075991283a397f94f47fe</x:v>
      </x:c>
    </x:row>
    <x:row r="847" ht="30" customHeight="1">
      <x:c r="A847" s="219" t="str">
        <x:v>BLE-03</x:v>
      </x:c>
      <x:c r="B847" s="219" t="str">
        <x:v>analyses/manufacturing_i20/RESULTS.json</x:v>
      </x:c>
      <x:c r="C847" s="219" t="str">
        <x:v>daa279f665dd6cad14f4ff36043abbce38c6ee51598e9ae7236d9974563476ac</x:v>
      </x:c>
    </x:row>
    <x:row r="848" ht="30" customHeight="1">
      <x:c r="A848" s="180" t="str">
        <x:v>BLE-04</x:v>
      </x:c>
      <x:c r="B848" s="180" t="str">
        <x:v>lanes/firmware_oil/RECOVERED_RELEASE_CHECKS.json</x:v>
      </x:c>
      <x:c r="C848" s="180" t="str">
        <x:v>9d36ebab30769a0293ff2fcbd194a54f113e5444f8680565da51558ccce9cdf8</x:v>
      </x:c>
    </x:row>
    <x:row r="849" ht="30" customHeight="1">
      <x:c r="A849" s="219" t="str">
        <x:v>BLE-04</x:v>
      </x:c>
      <x:c r="B849" s="219" t="str">
        <x:v>lanes/firmware_oil/RECOVERED_FIRMWARE_TEST_RESULTS.json</x:v>
      </x:c>
      <x:c r="C849" s="219" t="str">
        <x:v>c4c5df66ff54cba721fe8808062019f824df6e0b0c4869e78fd30626121dc725</x:v>
      </x:c>
    </x:row>
    <x:row r="850" ht="30" customHeight="1">
      <x:c r="A850" s="180" t="str">
        <x:v>BLE-04</x:v>
      </x:c>
      <x:c r="B850" s="180" t="str">
        <x:v>analyses/mated_i18/RESULTS.json</x:v>
      </x:c>
      <x:c r="C850" s="180" t="str">
        <x:v>7466a6278a904f43d085330b5b6057d7fa92c8d24156eb7ea875f35bc42044d2</x:v>
      </x:c>
    </x:row>
    <x:row r="851" ht="30" customHeight="1">
      <x:c r="A851" s="219" t="str">
        <x:v>BLE-04</x:v>
      </x:c>
      <x:c r="B851" s="219" t="str">
        <x:v>analyses/service_i19/RESULTS.json</x:v>
      </x:c>
      <x:c r="C851" s="219" t="str">
        <x:v>06cbb09e55a98a0039d0cab06f26b85f8af741c8b1c075991283a397f94f47fe</x:v>
      </x:c>
    </x:row>
    <x:row r="852" ht="30" customHeight="1">
      <x:c r="A852" s="180" t="str">
        <x:v>BLE-04</x:v>
      </x:c>
      <x:c r="B852" s="180" t="str">
        <x:v>analyses/manufacturing_i20/RESULTS.json</x:v>
      </x:c>
      <x:c r="C852" s="180" t="str">
        <x:v>daa279f665dd6cad14f4ff36043abbce38c6ee51598e9ae7236d9974563476ac</x:v>
      </x:c>
    </x:row>
    <x:row r="853" ht="30" customHeight="1">
      <x:c r="A853" s="219" t="str">
        <x:v>BLE-05</x:v>
      </x:c>
      <x:c r="B853" s="219" t="str">
        <x:v>lanes/firmware_oil/RECOVERED_RELEASE_CHECKS.json</x:v>
      </x:c>
      <x:c r="C853" s="219" t="str">
        <x:v>9d36ebab30769a0293ff2fcbd194a54f113e5444f8680565da51558ccce9cdf8</x:v>
      </x:c>
    </x:row>
    <x:row r="854" ht="30" customHeight="1">
      <x:c r="A854" s="180" t="str">
        <x:v>BLE-05</x:v>
      </x:c>
      <x:c r="B854" s="180" t="str">
        <x:v>lanes/firmware_oil/RECOVERED_FIRMWARE_TEST_RESULTS.json</x:v>
      </x:c>
      <x:c r="C854" s="180" t="str">
        <x:v>c4c5df66ff54cba721fe8808062019f824df6e0b0c4869e78fd30626121dc725</x:v>
      </x:c>
    </x:row>
    <x:row r="855" ht="30" customHeight="1">
      <x:c r="A855" s="219" t="str">
        <x:v>BLE-05</x:v>
      </x:c>
      <x:c r="B855" s="219" t="str">
        <x:v>analyses/mated_i18/RESULTS.json</x:v>
      </x:c>
      <x:c r="C855" s="219" t="str">
        <x:v>7466a6278a904f43d085330b5b6057d7fa92c8d24156eb7ea875f35bc42044d2</x:v>
      </x:c>
    </x:row>
    <x:row r="856" ht="30" customHeight="1">
      <x:c r="A856" s="180" t="str">
        <x:v>BLE-05</x:v>
      </x:c>
      <x:c r="B856" s="180" t="str">
        <x:v>analyses/service_i19/RESULTS.json</x:v>
      </x:c>
      <x:c r="C856" s="180" t="str">
        <x:v>06cbb09e55a98a0039d0cab06f26b85f8af741c8b1c075991283a397f94f47fe</x:v>
      </x:c>
    </x:row>
    <x:row r="857" ht="30" customHeight="1">
      <x:c r="A857" s="219" t="str">
        <x:v>BLE-05</x:v>
      </x:c>
      <x:c r="B857" s="219" t="str">
        <x:v>analyses/manufacturing_i20/RESULTS.json</x:v>
      </x:c>
      <x:c r="C857" s="219" t="str">
        <x:v>daa279f665dd6cad14f4ff36043abbce38c6ee51598e9ae7236d9974563476ac</x:v>
      </x:c>
    </x:row>
    <x:row r="858" ht="30" customHeight="1">
      <x:c r="A858" s="180" t="str">
        <x:v>BLE-06</x:v>
      </x:c>
      <x:c r="B858" s="180" t="str">
        <x:v>lanes/firmware_oil/RECOVERED_RELEASE_CHECKS.json</x:v>
      </x:c>
      <x:c r="C858" s="180" t="str">
        <x:v>9d36ebab30769a0293ff2fcbd194a54f113e5444f8680565da51558ccce9cdf8</x:v>
      </x:c>
    </x:row>
    <x:row r="859" ht="30" customHeight="1">
      <x:c r="A859" s="219" t="str">
        <x:v>BLE-06</x:v>
      </x:c>
      <x:c r="B859" s="219" t="str">
        <x:v>lanes/firmware_oil/RECOVERED_FIRMWARE_TEST_RESULTS.json</x:v>
      </x:c>
      <x:c r="C859" s="219" t="str">
        <x:v>c4c5df66ff54cba721fe8808062019f824df6e0b0c4869e78fd30626121dc725</x:v>
      </x:c>
    </x:row>
    <x:row r="860" ht="30" customHeight="1">
      <x:c r="A860" s="180" t="str">
        <x:v>BLE-06</x:v>
      </x:c>
      <x:c r="B860" s="180" t="str">
        <x:v>analyses/mated_i18/RESULTS.json</x:v>
      </x:c>
      <x:c r="C860" s="180" t="str">
        <x:v>7466a6278a904f43d085330b5b6057d7fa92c8d24156eb7ea875f35bc42044d2</x:v>
      </x:c>
    </x:row>
    <x:row r="861" ht="30" customHeight="1">
      <x:c r="A861" s="219" t="str">
        <x:v>BLE-06</x:v>
      </x:c>
      <x:c r="B861" s="219" t="str">
        <x:v>analyses/service_i19/RESULTS.json</x:v>
      </x:c>
      <x:c r="C861" s="219" t="str">
        <x:v>06cbb09e55a98a0039d0cab06f26b85f8af741c8b1c075991283a397f94f47fe</x:v>
      </x:c>
    </x:row>
    <x:row r="862" ht="30" customHeight="1">
      <x:c r="A862" s="180" t="str">
        <x:v>BLE-06</x:v>
      </x:c>
      <x:c r="B862" s="180" t="str">
        <x:v>analyses/manufacturing_i20/RESULTS.json</x:v>
      </x:c>
      <x:c r="C862" s="180" t="str">
        <x:v>daa279f665dd6cad14f4ff36043abbce38c6ee51598e9ae7236d9974563476ac</x:v>
      </x:c>
    </x:row>
    <x:row r="863" ht="30" customHeight="1">
      <x:c r="A863" s="219" t="str">
        <x:v>BLE-07</x:v>
      </x:c>
      <x:c r="B863" s="219" t="str">
        <x:v>runtime/final_I06_actual_preflight/RESULT.json</x:v>
      </x:c>
      <x:c r="C863" s="219" t="str">
        <x:v>47d1ac4057b92a6752abacf976768596bf4fa311d08c9fc08df2d276e8e1200f</x:v>
      </x:c>
    </x:row>
    <x:row r="864" ht="30" customHeight="1">
      <x:c r="A864" s="180" t="str">
        <x:v>BLE-07</x:v>
      </x:c>
      <x:c r="B864" s="180" t="str">
        <x:v>runtime/run_native_candidate.py</x:v>
      </x:c>
      <x:c r="C864" s="180" t="str">
        <x:v>187d303cb103cef92143d53c099615a435ceef29c0458d7ac9521205d451f315</x:v>
      </x:c>
    </x:row>
    <x:row r="865" ht="30" customHeight="1">
      <x:c r="A865" s="219" t="str">
        <x:v>BLE-07</x:v>
      </x:c>
      <x:c r="B865" s="219" t="str">
        <x:v>analyses/mated_i18/RESULTS.json</x:v>
      </x:c>
      <x:c r="C865" s="219" t="str">
        <x:v>7466a6278a904f43d085330b5b6057d7fa92c8d24156eb7ea875f35bc42044d2</x:v>
      </x:c>
    </x:row>
    <x:row r="866" ht="30" customHeight="1">
      <x:c r="A866" s="180" t="str">
        <x:v>BLE-07</x:v>
      </x:c>
      <x:c r="B866" s="180" t="str">
        <x:v>analyses/service_i19/RESULTS.json</x:v>
      </x:c>
      <x:c r="C866" s="180" t="str">
        <x:v>06cbb09e55a98a0039d0cab06f26b85f8af741c8b1c075991283a397f94f47fe</x:v>
      </x:c>
    </x:row>
    <x:row r="867" ht="30" customHeight="1">
      <x:c r="A867" s="219" t="str">
        <x:v>BLE-07</x:v>
      </x:c>
      <x:c r="B867" s="219" t="str">
        <x:v>analyses/manufacturing_i20/RESULTS.json</x:v>
      </x:c>
      <x:c r="C867" s="219" t="str">
        <x:v>daa279f665dd6cad14f4ff36043abbce38c6ee51598e9ae7236d9974563476ac</x:v>
      </x:c>
    </x:row>
    <x:row r="868" ht="30" customHeight="1">
      <x:c r="A868" s="180" t="str">
        <x:v>BLE-08</x:v>
      </x:c>
      <x:c r="B868" s="180" t="str">
        <x:v>lanes/power/FINAL_I04_POWER_EFFECTIVITY.json</x:v>
      </x:c>
      <x:c r="C868" s="180" t="str">
        <x:v>7614948f0477b3872c1893f2c8071300dad9a76bed2163a98c302fc2b08f0b26</x:v>
      </x:c>
    </x:row>
    <x:row r="869" ht="30" customHeight="1">
      <x:c r="A869" s="219" t="str">
        <x:v>BLE-08</x:v>
      </x:c>
      <x:c r="B869" s="219" t="str">
        <x:v>lanes/power/COUPLED_STARTUP_ENVELOPE.json</x:v>
      </x:c>
      <x:c r="C869" s="219" t="str">
        <x:v>61403b7c7bb855edead8e74923d7d7aa3520f67e6ed50fb9e00818ee7fad28b5</x:v>
      </x:c>
    </x:row>
    <x:row r="870" ht="30" customHeight="1">
      <x:c r="A870" s="180" t="str">
        <x:v>BLE-08</x:v>
      </x:c>
      <x:c r="B870" s="180" t="str">
        <x:v>lanes/power_limits/POWER_LIMITS_SUMMARY.json</x:v>
      </x:c>
      <x:c r="C870" s="180" t="str">
        <x:v>7dff1f6f253807926f9a5bfb7717bc18ea30e47607cb990bcc9025f7fd9007ef</x:v>
      </x:c>
    </x:row>
    <x:row r="871" ht="30" customHeight="1">
      <x:c r="A871" s="219" t="str">
        <x:v>BLE-08</x:v>
      </x:c>
      <x:c r="B871" s="219" t="str">
        <x:v>analyses/mated_i18/RESULTS.json</x:v>
      </x:c>
      <x:c r="C871" s="219" t="str">
        <x:v>7466a6278a904f43d085330b5b6057d7fa92c8d24156eb7ea875f35bc42044d2</x:v>
      </x:c>
    </x:row>
    <x:row r="872" ht="30" customHeight="1">
      <x:c r="A872" s="180" t="str">
        <x:v>BLE-08</x:v>
      </x:c>
      <x:c r="B872" s="180" t="str">
        <x:v>analyses/service_i19/RESULTS.json</x:v>
      </x:c>
      <x:c r="C872" s="180" t="str">
        <x:v>06cbb09e55a98a0039d0cab06f26b85f8af741c8b1c075991283a397f94f47fe</x:v>
      </x:c>
    </x:row>
    <x:row r="873" ht="30" customHeight="1">
      <x:c r="A873" s="219" t="str">
        <x:v>BLE-08</x:v>
      </x:c>
      <x:c r="B873" s="219" t="str">
        <x:v>analyses/manufacturing_i20/RESULTS.json</x:v>
      </x:c>
      <x:c r="C873" s="219" t="str">
        <x:v>daa279f665dd6cad14f4ff36043abbce38c6ee51598e9ae7236d9974563476ac</x:v>
      </x:c>
    </x:row>
    <x:row r="874" ht="30" customHeight="1">
      <x:c r="A874" s="180" t="str">
        <x:v>BLE-09</x:v>
      </x:c>
      <x:c r="B874" s="180" t="str">
        <x:v>lanes/firmware_oil/RECOVERED_RELEASE_CHECKS.json</x:v>
      </x:c>
      <x:c r="C874" s="180" t="str">
        <x:v>9d36ebab30769a0293ff2fcbd194a54f113e5444f8680565da51558ccce9cdf8</x:v>
      </x:c>
    </x:row>
    <x:row r="875" ht="30" customHeight="1">
      <x:c r="A875" s="219" t="str">
        <x:v>BLE-09</x:v>
      </x:c>
      <x:c r="B875" s="219" t="str">
        <x:v>lanes/firmware_oil/RECOVERED_FIRMWARE_TEST_RESULTS.json</x:v>
      </x:c>
      <x:c r="C875" s="219" t="str">
        <x:v>c4c5df66ff54cba721fe8808062019f824df6e0b0c4869e78fd30626121dc725</x:v>
      </x:c>
    </x:row>
    <x:row r="876" ht="30" customHeight="1">
      <x:c r="A876" s="180" t="str">
        <x:v>BLE-09</x:v>
      </x:c>
      <x:c r="B876" s="180" t="str">
        <x:v>lanes/firmware_oil/FINAL_I04_OIL_FIRMWARE_EFFECTIVITY.json</x:v>
      </x:c>
      <x:c r="C876" s="180" t="str">
        <x:v>17c9b0178b833a546a4f14b2f287574b8545d7a56e68db66a8a94f02634b394f</x:v>
      </x:c>
    </x:row>
    <x:row r="877" ht="30" customHeight="1">
      <x:c r="A877" s="219" t="str">
        <x:v>BLE-09</x:v>
      </x:c>
      <x:c r="B877" s="219" t="str">
        <x:v>analyses/mated_i18/RESULTS.json</x:v>
      </x:c>
      <x:c r="C877" s="219" t="str">
        <x:v>7466a6278a904f43d085330b5b6057d7fa92c8d24156eb7ea875f35bc42044d2</x:v>
      </x:c>
    </x:row>
    <x:row r="878" ht="30" customHeight="1">
      <x:c r="A878" s="180" t="str">
        <x:v>BLE-09</x:v>
      </x:c>
      <x:c r="B878" s="180" t="str">
        <x:v>analyses/service_i19/RESULTS.json</x:v>
      </x:c>
      <x:c r="C878" s="180" t="str">
        <x:v>06cbb09e55a98a0039d0cab06f26b85f8af741c8b1c075991283a397f94f47fe</x:v>
      </x:c>
    </x:row>
    <x:row r="879" ht="30" customHeight="1">
      <x:c r="A879" s="219" t="str">
        <x:v>BLE-09</x:v>
      </x:c>
      <x:c r="B879" s="219" t="str">
        <x:v>analyses/manufacturing_i20/RESULTS.json</x:v>
      </x:c>
      <x:c r="C879" s="219" t="str">
        <x:v>daa279f665dd6cad14f4ff36043abbce38c6ee51598e9ae7236d9974563476ac</x:v>
      </x:c>
    </x:row>
    <x:row r="880" ht="30" customHeight="1">
      <x:c r="A880" s="180" t="str">
        <x:v>BLE-10</x:v>
      </x:c>
      <x:c r="B880" s="180" t="str">
        <x:v>analyses/installation/DASHBOARD_EXPOSURE_AND_SERVICE.md</x:v>
      </x:c>
      <x:c r="C880" s="180" t="str">
        <x:v>9875d08e5f9c94bc8a752d9f7372da234a2311a0a80bf4d7aa8ed15e9dbefd48</x:v>
      </x:c>
    </x:row>
    <x:row r="881" ht="30" customHeight="1">
      <x:c r="A881" s="219" t="str">
        <x:v>BLE-10</x:v>
      </x:c>
      <x:c r="B881" s="219" t="str">
        <x:v>lanes/mechanics/MECHANICAL_INSTALLATION_RVB22.md</x:v>
      </x:c>
      <x:c r="C881" s="219" t="str">
        <x:v>c537001620be1f1ddbec9d8ea77b9dc84cb5461fb1ffca843c448cf71d2b31d8</x:v>
      </x:c>
    </x:row>
    <x:row r="882" ht="30" customHeight="1">
      <x:c r="A882" s="180" t="str">
        <x:v>BLE-10</x:v>
      </x:c>
      <x:c r="B882" s="180" t="str">
        <x:v>analyses/mated_i18/RESULTS.json</x:v>
      </x:c>
      <x:c r="C882" s="180" t="str">
        <x:v>7466a6278a904f43d085330b5b6057d7fa92c8d24156eb7ea875f35bc42044d2</x:v>
      </x:c>
    </x:row>
    <x:row r="883" ht="30" customHeight="1">
      <x:c r="A883" s="219" t="str">
        <x:v>BLE-10</x:v>
      </x:c>
      <x:c r="B883" s="219" t="str">
        <x:v>analyses/service_i19/RESULTS.json</x:v>
      </x:c>
      <x:c r="C883" s="219" t="str">
        <x:v>06cbb09e55a98a0039d0cab06f26b85f8af741c8b1c075991283a397f94f47fe</x:v>
      </x:c>
    </x:row>
    <x:row r="884" ht="30" customHeight="1">
      <x:c r="A884" s="180" t="str">
        <x:v>BLE-10</x:v>
      </x:c>
      <x:c r="B884" s="180" t="str">
        <x:v>analyses/manufacturing_i20/RESULTS.json</x:v>
      </x:c>
      <x:c r="C884" s="180" t="str">
        <x:v>daa279f665dd6cad14f4ff36043abbce38c6ee51598e9ae7236d9974563476ac</x:v>
      </x:c>
    </x:row>
    <x:row r="885" ht="30" customHeight="1">
      <x:c r="A885" s="219" t="str">
        <x:v>MCU-01</x:v>
      </x:c>
      <x:c r="B885" s="219" t="str">
        <x:v>lanes/firmware_oil/RECOVERED_RELEASE_CHECKS.json</x:v>
      </x:c>
      <x:c r="C885" s="219" t="str">
        <x:v>9d36ebab30769a0293ff2fcbd194a54f113e5444f8680565da51558ccce9cdf8</x:v>
      </x:c>
    </x:row>
    <x:row r="886" ht="30" customHeight="1">
      <x:c r="A886" s="180" t="str">
        <x:v>MCU-01</x:v>
      </x:c>
      <x:c r="B886" s="180" t="str">
        <x:v>lanes/firmware_oil/RECOVERED_FIRMWARE_TEST_RESULTS.json</x:v>
      </x:c>
      <x:c r="C886" s="180" t="str">
        <x:v>c4c5df66ff54cba721fe8808062019f824df6e0b0c4869e78fd30626121dc725</x:v>
      </x:c>
    </x:row>
    <x:row r="887" ht="30" customHeight="1">
      <x:c r="A887" s="219" t="str">
        <x:v>MCU-01</x:v>
      </x:c>
      <x:c r="B887" s="219" t="str">
        <x:v>lanes/firmware_oil/FINAL_I04_OIL_FIRMWARE_EFFECTIVITY.json</x:v>
      </x:c>
      <x:c r="C887" s="219" t="str">
        <x:v>17c9b0178b833a546a4f14b2f287574b8545d7a56e68db66a8a94f02634b394f</x:v>
      </x:c>
    </x:row>
    <x:row r="888" ht="30" customHeight="1">
      <x:c r="A888" s="180" t="str">
        <x:v>MCU-01</x:v>
      </x:c>
      <x:c r="B888" s="180" t="str">
        <x:v>iterations/I20_controlled_handoff/NATIVE_BINDING.json</x:v>
      </x:c>
      <x:c r="C888" s="180" t="str">
        <x:v>6f36235aab2349569f2cacf485912921762bc718e2a5fd5c4c72c2808ca2312b</x:v>
      </x:c>
    </x:row>
    <x:row r="889" ht="30" customHeight="1">
      <x:c r="A889" s="219" t="str">
        <x:v>MCU-01</x:v>
      </x:c>
      <x:c r="B889" s="219" t="str">
        <x:v>current/SOURCE_EFFECTIVITY.json</x:v>
      </x:c>
      <x:c r="C889" s="219" t="str">
        <x:v>832fcdcc8cd7ebb9df2e169c8b9194011c37d138484da13fd5de05bd2657170d</x:v>
      </x:c>
    </x:row>
    <x:row r="890" ht="30" customHeight="1">
      <x:c r="A890" s="180" t="str">
        <x:v>MCU-01</x:v>
      </x:c>
      <x:c r="B890" s="180" t="str">
        <x:v>analyses/service_i19/RESULTS.json</x:v>
      </x:c>
      <x:c r="C890" s="180" t="str">
        <x:v>06cbb09e55a98a0039d0cab06f26b85f8af741c8b1c075991283a397f94f47fe</x:v>
      </x:c>
    </x:row>
    <x:row r="891" ht="30" customHeight="1">
      <x:c r="A891" s="219" t="str">
        <x:v>MCU-02</x:v>
      </x:c>
      <x:c r="B891" s="219" t="str">
        <x:v>interfaces/HARNESS_INTERFACE_CONTRACT.json</x:v>
      </x:c>
      <x:c r="C891" s="219" t="str">
        <x:v>8de240d9bfbc5862fae2984984929e0c086bc37a255289129d312548cac3576a</x:v>
      </x:c>
    </x:row>
    <x:row r="892" ht="30" customHeight="1">
      <x:c r="A892" s="180" t="str">
        <x:v>MCU-02</x:v>
      </x:c>
      <x:c r="B892" s="180" t="str">
        <x:v>interfaces/HARNESS_CHECKS.json</x:v>
      </x:c>
      <x:c r="C892" s="180" t="str">
        <x:v>c45fcc060f1cc5d87d9056329c8eac1e7a893cbae583086c5f0d3f5b43a29c9d</x:v>
      </x:c>
    </x:row>
    <x:row r="893" ht="30" customHeight="1">
      <x:c r="A893" s="219" t="str">
        <x:v>MCU-02</x:v>
      </x:c>
      <x:c r="B893" s="219" t="str">
        <x:v>analyses/harness_wire/HARNESS_WIRE_DELTA.json</x:v>
      </x:c>
      <x:c r="C893" s="219" t="str">
        <x:v>709bdb5ea3ca0ba32fc78b0da3a1845b1d597fa82b4b3ce17c9ef2774798babe</x:v>
      </x:c>
    </x:row>
    <x:row r="894" ht="30" customHeight="1">
      <x:c r="A894" s="180" t="str">
        <x:v>MCU-02</x:v>
      </x:c>
      <x:c r="B894" s="180" t="str">
        <x:v>iterations/I20_controlled_handoff/NATIVE_BINDING.json</x:v>
      </x:c>
      <x:c r="C894" s="180" t="str">
        <x:v>6f36235aab2349569f2cacf485912921762bc718e2a5fd5c4c72c2808ca2312b</x:v>
      </x:c>
    </x:row>
    <x:row r="895" ht="30" customHeight="1">
      <x:c r="A895" s="219" t="str">
        <x:v>MCU-02</x:v>
      </x:c>
      <x:c r="B895" s="219" t="str">
        <x:v>current/SOURCE_EFFECTIVITY.json</x:v>
      </x:c>
      <x:c r="C895" s="219" t="str">
        <x:v>832fcdcc8cd7ebb9df2e169c8b9194011c37d138484da13fd5de05bd2657170d</x:v>
      </x:c>
    </x:row>
    <x:row r="896" ht="30" customHeight="1">
      <x:c r="A896" s="180" t="str">
        <x:v>MCU-02</x:v>
      </x:c>
      <x:c r="B896" s="180" t="str">
        <x:v>analyses/service_i19/RESULTS.json</x:v>
      </x:c>
      <x:c r="C896" s="180" t="str">
        <x:v>06cbb09e55a98a0039d0cab06f26b85f8af741c8b1c075991283a397f94f47fe</x:v>
      </x:c>
    </x:row>
    <x:row r="897" ht="30" customHeight="1">
      <x:c r="A897" s="219" t="str">
        <x:v>MCU-03</x:v>
      </x:c>
      <x:c r="B897" s="219" t="str">
        <x:v>control/RVB22_BRING_UP_AND_MEASUREMENT_CONTRACT.md</x:v>
      </x:c>
      <x:c r="C897" s="219" t="str">
        <x:v>449d38b93d0d99ec35d3545af7b198e3430a19aa20cbf59b6de2b60b0215331f</x:v>
      </x:c>
    </x:row>
    <x:row r="898" ht="30" customHeight="1">
      <x:c r="A898" s="180" t="str">
        <x:v>MCU-03</x:v>
      </x:c>
      <x:c r="B898" s="180" t="str">
        <x:v>control/BRINGUP_SCHEMATIC_TEXT_DELTA.json</x:v>
      </x:c>
      <x:c r="C898" s="180" t="str">
        <x:v>b375d56d6cc12ce36313d7ee538c3bc384127c76eb41fea363ce7911556415ee</x:v>
      </x:c>
    </x:row>
    <x:row r="899" ht="30" customHeight="1">
      <x:c r="A899" s="219" t="str">
        <x:v>MCU-03</x:v>
      </x:c>
      <x:c r="B899" s="219" t="str">
        <x:v>control/BRINGUP_ACTUAL_NODE_INDEX.json</x:v>
      </x:c>
      <x:c r="C899" s="219" t="str">
        <x:v>a63b8b544d5707e4ec2c6dcced8a01f7b216c553052681a5fa9f46bc3d7af6f8</x:v>
      </x:c>
    </x:row>
    <x:row r="900" ht="30" customHeight="1">
      <x:c r="A900" s="180" t="str">
        <x:v>MCU-03</x:v>
      </x:c>
      <x:c r="B900" s="180" t="str">
        <x:v>control/FINAL_I04_BRINGUP_BINDING.json</x:v>
      </x:c>
      <x:c r="C900" s="180" t="str">
        <x:v>0a51eb793074e6b5eafbf20002325289bdd1e1b3a5174ae63fd79b937a76fd3f</x:v>
      </x:c>
    </x:row>
    <x:row r="901" ht="30" customHeight="1">
      <x:c r="A901" s="219" t="str">
        <x:v>MCU-03</x:v>
      </x:c>
      <x:c r="B901" s="219" t="str">
        <x:v>iterations/I20_controlled_handoff/NATIVE_BINDING.json</x:v>
      </x:c>
      <x:c r="C901" s="219" t="str">
        <x:v>6f36235aab2349569f2cacf485912921762bc718e2a5fd5c4c72c2808ca2312b</x:v>
      </x:c>
    </x:row>
    <x:row r="902" ht="30" customHeight="1">
      <x:c r="A902" s="180" t="str">
        <x:v>MCU-03</x:v>
      </x:c>
      <x:c r="B902" s="180" t="str">
        <x:v>current/SOURCE_EFFECTIVITY.json</x:v>
      </x:c>
      <x:c r="C902" s="180" t="str">
        <x:v>832fcdcc8cd7ebb9df2e169c8b9194011c37d138484da13fd5de05bd2657170d</x:v>
      </x:c>
    </x:row>
    <x:row r="903" ht="30" customHeight="1">
      <x:c r="A903" s="219" t="str">
        <x:v>MCU-03</x:v>
      </x:c>
      <x:c r="B903" s="219" t="str">
        <x:v>analyses/service_i19/RESULTS.json</x:v>
      </x:c>
      <x:c r="C903" s="219" t="str">
        <x:v>06cbb09e55a98a0039d0cab06f26b85f8af741c8b1c075991283a397f94f47fe</x:v>
      </x:c>
    </x:row>
    <x:row r="904" ht="30" customHeight="1">
      <x:c r="A904" s="180" t="str">
        <x:v>MCU-04</x:v>
      </x:c>
      <x:c r="B904" s="180" t="str">
        <x:v>control/FINAL_I04_BRINGUP_BINDING.json</x:v>
      </x:c>
      <x:c r="C904" s="180" t="str">
        <x:v>0a51eb793074e6b5eafbf20002325289bdd1e1b3a5174ae63fd79b937a76fd3f</x:v>
      </x:c>
    </x:row>
    <x:row r="905" ht="30" customHeight="1">
      <x:c r="A905" s="219" t="str">
        <x:v>MCU-04</x:v>
      </x:c>
      <x:c r="B905" s="219" t="str">
        <x:v>control/RVB22_BRING_UP_AND_MEASUREMENT_CONTRACT.md</x:v>
      </x:c>
      <x:c r="C905" s="219" t="str">
        <x:v>449d38b93d0d99ec35d3545af7b198e3430a19aa20cbf59b6de2b60b0215331f</x:v>
      </x:c>
    </x:row>
    <x:row r="906" ht="30" customHeight="1">
      <x:c r="A906" s="180" t="str">
        <x:v>MCU-04</x:v>
      </x:c>
      <x:c r="B906" s="180" t="str">
        <x:v>control/BRINGUP_ACTUAL_NODE_INDEX.json</x:v>
      </x:c>
      <x:c r="C906" s="180" t="str">
        <x:v>a63b8b544d5707e4ec2c6dcced8a01f7b216c553052681a5fa9f46bc3d7af6f8</x:v>
      </x:c>
    </x:row>
    <x:row r="907" ht="30" customHeight="1">
      <x:c r="A907" s="219" t="str">
        <x:v>MCU-04</x:v>
      </x:c>
      <x:c r="B907" s="219" t="str">
        <x:v>iterations/I20_controlled_handoff/NATIVE_BINDING.json</x:v>
      </x:c>
      <x:c r="C907" s="219" t="str">
        <x:v>6f36235aab2349569f2cacf485912921762bc718e2a5fd5c4c72c2808ca2312b</x:v>
      </x:c>
    </x:row>
    <x:row r="908" ht="30" customHeight="1">
      <x:c r="A908" s="180" t="str">
        <x:v>MCU-04</x:v>
      </x:c>
      <x:c r="B908" s="180" t="str">
        <x:v>current/SOURCE_EFFECTIVITY.json</x:v>
      </x:c>
      <x:c r="C908" s="180" t="str">
        <x:v>832fcdcc8cd7ebb9df2e169c8b9194011c37d138484da13fd5de05bd2657170d</x:v>
      </x:c>
    </x:row>
    <x:row r="909" ht="30" customHeight="1">
      <x:c r="A909" s="219" t="str">
        <x:v>MCU-04</x:v>
      </x:c>
      <x:c r="B909" s="219" t="str">
        <x:v>analyses/service_i19/RESULTS.json</x:v>
      </x:c>
      <x:c r="C909" s="219" t="str">
        <x:v>06cbb09e55a98a0039d0cab06f26b85f8af741c8b1c075991283a397f94f47fe</x:v>
      </x:c>
    </x:row>
    <x:row r="910" ht="30" customHeight="1">
      <x:c r="A910" s="180" t="str">
        <x:v>MCU-05</x:v>
      </x:c>
      <x:c r="B910" s="180" t="str">
        <x:v>lanes/mechanics/FINAL_COMPONENT_ENVELOPES.json</x:v>
      </x:c>
      <x:c r="C910" s="180" t="str">
        <x:v>e9b8c89e865f53a93ed458ce690dc310f3fd9df0b8eaf39658492fbd2b4bbbd1</x:v>
      </x:c>
    </x:row>
    <x:row r="911" ht="30" customHeight="1">
      <x:c r="A911" s="219" t="str">
        <x:v>MCU-05</x:v>
      </x:c>
      <x:c r="B911" s="219" t="str">
        <x:v>lanes/mechanics/FINAL_SOURCE_BINDING.json</x:v>
      </x:c>
      <x:c r="C911" s="219" t="str">
        <x:v>4a607ecf994508b22f6099810cb7c5e4e778738782e1d7f7f64a47bf98eedce5</x:v>
      </x:c>
    </x:row>
    <x:row r="912" ht="30" customHeight="1">
      <x:c r="A912" s="180" t="str">
        <x:v>MCU-05</x:v>
      </x:c>
      <x:c r="B912" s="180" t="str">
        <x:v>lanes/mechanics/STRUCTURAL_SERVICE_MODEL.json</x:v>
      </x:c>
      <x:c r="C912" s="180" t="str">
        <x:v>e701cb8641ebef7f6ddd35a96acff390868b686cd32018fd59213fa1f32c5ecc</x:v>
      </x:c>
    </x:row>
    <x:row r="913" ht="30" customHeight="1">
      <x:c r="A913" s="219" t="str">
        <x:v>MCU-05</x:v>
      </x:c>
      <x:c r="B913" s="219" t="str">
        <x:v>analyses/assembly_handling/PRIMARY_BODY_HEIGHT_ADDENDUM.json</x:v>
      </x:c>
      <x:c r="C913" s="219" t="str">
        <x:v>7fdd606347fd74861dc3994a18d9bf8fe090e02b338c074a8d3502b6fb382bce</x:v>
      </x:c>
    </x:row>
    <x:row r="914" ht="30" customHeight="1">
      <x:c r="A914" s="180" t="str">
        <x:v>MCU-05</x:v>
      </x:c>
      <x:c r="B914" s="180" t="str">
        <x:v>lanes/mechanics/THERMAL_CONTACT_T01_MODEL.json</x:v>
      </x:c>
      <x:c r="C914" s="180" t="str">
        <x:v>a5fc11981a3bca81c2dc343bd87a0b618e391770088be932934004bc68df4f88</x:v>
      </x:c>
    </x:row>
    <x:row r="915" ht="30" customHeight="1">
      <x:c r="A915" s="219" t="str">
        <x:v>MCU-05</x:v>
      </x:c>
      <x:c r="B915" s="219" t="str">
        <x:v>lanes/mechanics/THERMAL_CONTACT_T01_REVIEW.md</x:v>
      </x:c>
      <x:c r="C915" s="219" t="str">
        <x:v>d3c23b6dc0e48a09471cc415981a3bfd6baa1235d81735f6085eb17c194bba4f</x:v>
      </x:c>
    </x:row>
    <x:row r="916" ht="30" customHeight="1">
      <x:c r="A916" s="180" t="str">
        <x:v>MCU-05</x:v>
      </x:c>
      <x:c r="B916" s="180" t="str">
        <x:v>lanes/mechanics/THERMAL_CONTACT_T01_INVERSE_REQUIREMENTS.json</x:v>
      </x:c>
      <x:c r="C916" s="180" t="str">
        <x:v>bf381e8241a51ea9e2eaf098c0cd03e2bb6e5ba870fbe88e6daa010cbeda8df9</x:v>
      </x:c>
    </x:row>
    <x:row r="917" ht="30" customHeight="1">
      <x:c r="A917" s="219" t="str">
        <x:v>MCU-05</x:v>
      </x:c>
      <x:c r="B917" s="219" t="str">
        <x:v>iterations/I20_controlled_handoff/NATIVE_BINDING.json</x:v>
      </x:c>
      <x:c r="C917" s="219" t="str">
        <x:v>6f36235aab2349569f2cacf485912921762bc718e2a5fd5c4c72c2808ca2312b</x:v>
      </x:c>
    </x:row>
    <x:row r="918" ht="30" customHeight="1">
      <x:c r="A918" s="180" t="str">
        <x:v>MCU-05</x:v>
      </x:c>
      <x:c r="B918" s="180" t="str">
        <x:v>current/SOURCE_EFFECTIVITY.json</x:v>
      </x:c>
      <x:c r="C918" s="180" t="str">
        <x:v>832fcdcc8cd7ebb9df2e169c8b9194011c37d138484da13fd5de05bd2657170d</x:v>
      </x:c>
    </x:row>
    <x:row r="919" ht="30" customHeight="1">
      <x:c r="A919" s="219" t="str">
        <x:v>MCU-05</x:v>
      </x:c>
      <x:c r="B919" s="219" t="str">
        <x:v>analyses/service_i19/RESULTS.json</x:v>
      </x:c>
      <x:c r="C919" s="219" t="str">
        <x:v>06cbb09e55a98a0039d0cab06f26b85f8af741c8b1c075991283a397f94f47fe</x:v>
      </x:c>
    </x:row>
    <x:row r="920" ht="30" customHeight="1">
      <x:c r="A920" s="180" t="str">
        <x:v>MCU-06</x:v>
      </x:c>
      <x:c r="B920" s="180" t="str">
        <x:v>iterations/I06_harness_handoff/CANDIDATE_MANIFEST.json</x:v>
      </x:c>
      <x:c r="C920" s="180" t="str">
        <x:v>017aa6938b0cea4fcf5d02a0e28ba556e4a0c0485495f171a7d5aba15a703fc0</x:v>
      </x:c>
    </x:row>
    <x:row r="921" ht="30" customHeight="1">
      <x:c r="A921" s="219" t="str">
        <x:v>MCU-06</x:v>
      </x:c>
      <x:c r="B921" s="219" t="str">
        <x:v>iterations/I20_controlled_handoff/NATIVE_BINDING.json</x:v>
      </x:c>
      <x:c r="C921" s="219" t="str">
        <x:v>6f36235aab2349569f2cacf485912921762bc718e2a5fd5c4c72c2808ca2312b</x:v>
      </x:c>
    </x:row>
    <x:row r="922" ht="30" customHeight="1">
      <x:c r="A922" s="180" t="str">
        <x:v>MCU-06</x:v>
      </x:c>
      <x:c r="B922" s="180" t="str">
        <x:v>current/SOURCE_EFFECTIVITY.json</x:v>
      </x:c>
      <x:c r="C922" s="180" t="str">
        <x:v>832fcdcc8cd7ebb9df2e169c8b9194011c37d138484da13fd5de05bd2657170d</x:v>
      </x:c>
    </x:row>
    <x:row r="923" ht="30" customHeight="1">
      <x:c r="A923" s="219" t="str">
        <x:v>MCU-06</x:v>
      </x:c>
      <x:c r="B923" s="219" t="str">
        <x:v>analyses/service_i19/RESULTS.json</x:v>
      </x:c>
      <x:c r="C923" s="219" t="str">
        <x:v>06cbb09e55a98a0039d0cab06f26b85f8af741c8b1c075991283a397f94f47fe</x:v>
      </x:c>
    </x:row>
    <x:row r="924" ht="30" customHeight="1">
      <x:c r="A924" s="180" t="str">
        <x:v>MCU-07</x:v>
      </x:c>
      <x:c r="B924" s="180" t="str">
        <x:v>control/FINAL_I04_BRINGUP_BINDING.json</x:v>
      </x:c>
      <x:c r="C924" s="180" t="str">
        <x:v>0a51eb793074e6b5eafbf20002325289bdd1e1b3a5174ae63fd79b937a76fd3f</x:v>
      </x:c>
    </x:row>
    <x:row r="925" ht="30" customHeight="1">
      <x:c r="A925" s="219" t="str">
        <x:v>MCU-07</x:v>
      </x:c>
      <x:c r="B925" s="219" t="str">
        <x:v>control/RVB22_BRING_UP_AND_MEASUREMENT_CONTRACT.md</x:v>
      </x:c>
      <x:c r="C925" s="219" t="str">
        <x:v>449d38b93d0d99ec35d3545af7b198e3430a19aa20cbf59b6de2b60b0215331f</x:v>
      </x:c>
    </x:row>
    <x:row r="926" ht="30" customHeight="1">
      <x:c r="A926" s="180" t="str">
        <x:v>MCU-07</x:v>
      </x:c>
      <x:c r="B926" s="180" t="str">
        <x:v>control/BRINGUP_ACTUAL_NODE_INDEX.json</x:v>
      </x:c>
      <x:c r="C926" s="180" t="str">
        <x:v>a63b8b544d5707e4ec2c6dcced8a01f7b216c553052681a5fa9f46bc3d7af6f8</x:v>
      </x:c>
    </x:row>
    <x:row r="927" ht="30" customHeight="1">
      <x:c r="A927" s="219" t="str">
        <x:v>MCU-07</x:v>
      </x:c>
      <x:c r="B927" s="219" t="str">
        <x:v>iterations/I20_controlled_handoff/NATIVE_BINDING.json</x:v>
      </x:c>
      <x:c r="C927" s="219" t="str">
        <x:v>6f36235aab2349569f2cacf485912921762bc718e2a5fd5c4c72c2808ca2312b</x:v>
      </x:c>
    </x:row>
    <x:row r="928" ht="30" customHeight="1">
      <x:c r="A928" s="180" t="str">
        <x:v>MCU-07</x:v>
      </x:c>
      <x:c r="B928" s="180" t="str">
        <x:v>current/SOURCE_EFFECTIVITY.json</x:v>
      </x:c>
      <x:c r="C928" s="180" t="str">
        <x:v>832fcdcc8cd7ebb9df2e169c8b9194011c37d138484da13fd5de05bd2657170d</x:v>
      </x:c>
    </x:row>
    <x:row r="929" ht="30" customHeight="1">
      <x:c r="A929" s="219" t="str">
        <x:v>MCU-07</x:v>
      </x:c>
      <x:c r="B929" s="219" t="str">
        <x:v>analyses/service_i19/RESULTS.json</x:v>
      </x:c>
      <x:c r="C929" s="219" t="str">
        <x:v>06cbb09e55a98a0039d0cab06f26b85f8af741c8b1c075991283a397f94f47fe</x:v>
      </x:c>
    </x:row>
    <x:row r="930" ht="30" customHeight="1">
      <x:c r="A930" s="180" t="str">
        <x:v>MCU-08</x:v>
      </x:c>
      <x:c r="B930" s="180" t="str">
        <x:v>lanes/firmware_oil/RECOVERED_RELEASE_CHECKS.json</x:v>
      </x:c>
      <x:c r="C930" s="180" t="str">
        <x:v>9d36ebab30769a0293ff2fcbd194a54f113e5444f8680565da51558ccce9cdf8</x:v>
      </x:c>
    </x:row>
    <x:row r="931" ht="30" customHeight="1">
      <x:c r="A931" s="219" t="str">
        <x:v>MCU-08</x:v>
      </x:c>
      <x:c r="B931" s="219" t="str">
        <x:v>current/SOURCE_EFFECTIVITY.json</x:v>
      </x:c>
      <x:c r="C931" s="219" t="str">
        <x:v>832fcdcc8cd7ebb9df2e169c8b9194011c37d138484da13fd5de05bd2657170d</x:v>
      </x:c>
    </x:row>
    <x:row r="932" ht="30" customHeight="1">
      <x:c r="A932" s="180" t="str">
        <x:v>MCU-08</x:v>
      </x:c>
      <x:c r="B932" s="180" t="str">
        <x:v>iterations/I20_controlled_handoff/NATIVE_BINDING.json</x:v>
      </x:c>
      <x:c r="C932" s="180" t="str">
        <x:v>6f36235aab2349569f2cacf485912921762bc718e2a5fd5c4c72c2808ca2312b</x:v>
      </x:c>
    </x:row>
    <x:row r="933" ht="30" customHeight="1">
      <x:c r="A933" s="219" t="str">
        <x:v>MCU-09</x:v>
      </x:c>
      <x:c r="B933" s="219" t="str">
        <x:v>lanes/firmware_oil/RECOVERED_RELEASE_CHECKS.json</x:v>
      </x:c>
      <x:c r="C933" s="219" t="str">
        <x:v>9d36ebab30769a0293ff2fcbd194a54f113e5444f8680565da51558ccce9cdf8</x:v>
      </x:c>
    </x:row>
    <x:row r="934" ht="30" customHeight="1">
      <x:c r="A934" s="180" t="str">
        <x:v>MCU-09</x:v>
      </x:c>
      <x:c r="B934" s="180" t="str">
        <x:v>lanes/firmware_oil/RECOVERED_FIRMWARE_TEST_RESULTS.json</x:v>
      </x:c>
      <x:c r="C934" s="180" t="str">
        <x:v>c4c5df66ff54cba721fe8808062019f824df6e0b0c4869e78fd30626121dc725</x:v>
      </x:c>
    </x:row>
    <x:row r="935" ht="30" customHeight="1">
      <x:c r="A935" s="219" t="str">
        <x:v>MCU-09</x:v>
      </x:c>
      <x:c r="B935" s="219" t="str">
        <x:v>iterations/I20_controlled_handoff/NATIVE_BINDING.json</x:v>
      </x:c>
      <x:c r="C935" s="219" t="str">
        <x:v>6f36235aab2349569f2cacf485912921762bc718e2a5fd5c4c72c2808ca2312b</x:v>
      </x:c>
    </x:row>
    <x:row r="936" ht="30" customHeight="1">
      <x:c r="A936" s="180" t="str">
        <x:v>MCU-09</x:v>
      </x:c>
      <x:c r="B936" s="180" t="str">
        <x:v>current/SOURCE_EFFECTIVITY.json</x:v>
      </x:c>
      <x:c r="C936" s="180" t="str">
        <x:v>832fcdcc8cd7ebb9df2e169c8b9194011c37d138484da13fd5de05bd2657170d</x:v>
      </x:c>
    </x:row>
    <x:row r="937" ht="30" customHeight="1">
      <x:c r="A937" s="219" t="str">
        <x:v>MCU-09</x:v>
      </x:c>
      <x:c r="B937" s="219" t="str">
        <x:v>analyses/service_i19/RESULTS.json</x:v>
      </x:c>
      <x:c r="C937" s="219" t="str">
        <x:v>06cbb09e55a98a0039d0cab06f26b85f8af741c8b1c075991283a397f94f47fe</x:v>
      </x:c>
    </x:row>
    <x:row r="938" ht="30" customHeight="1">
      <x:c r="A938" s="180" t="str">
        <x:v>MCU-10</x:v>
      </x:c>
      <x:c r="B938" s="180" t="str">
        <x:v>lanes/firmware_oil/RECOVERED_RELEASE_CHECKS.json</x:v>
      </x:c>
      <x:c r="C938" s="180" t="str">
        <x:v>9d36ebab30769a0293ff2fcbd194a54f113e5444f8680565da51558ccce9cdf8</x:v>
      </x:c>
    </x:row>
    <x:row r="939" ht="30" customHeight="1">
      <x:c r="A939" s="219" t="str">
        <x:v>MCU-10</x:v>
      </x:c>
      <x:c r="B939" s="219" t="str">
        <x:v>lanes/firmware_oil/RECOVERED_FIRMWARE_TEST_RESULTS.json</x:v>
      </x:c>
      <x:c r="C939" s="219" t="str">
        <x:v>c4c5df66ff54cba721fe8808062019f824df6e0b0c4869e78fd30626121dc725</x:v>
      </x:c>
    </x:row>
    <x:row r="940" ht="30" customHeight="1">
      <x:c r="A940" s="180" t="str">
        <x:v>MCU-10</x:v>
      </x:c>
      <x:c r="B940" s="180" t="str">
        <x:v>iterations/I20_controlled_handoff/NATIVE_BINDING.json</x:v>
      </x:c>
      <x:c r="C940" s="180" t="str">
        <x:v>6f36235aab2349569f2cacf485912921762bc718e2a5fd5c4c72c2808ca2312b</x:v>
      </x:c>
    </x:row>
    <x:row r="941" ht="30" customHeight="1">
      <x:c r="A941" s="219" t="str">
        <x:v>MCU-10</x:v>
      </x:c>
      <x:c r="B941" s="219" t="str">
        <x:v>current/SOURCE_EFFECTIVITY.json</x:v>
      </x:c>
      <x:c r="C941" s="219" t="str">
        <x:v>832fcdcc8cd7ebb9df2e169c8b9194011c37d138484da13fd5de05bd2657170d</x:v>
      </x:c>
    </x:row>
    <x:row r="942" ht="30" customHeight="1">
      <x:c r="A942" s="180" t="str">
        <x:v>MCU-10</x:v>
      </x:c>
      <x:c r="B942" s="180" t="str">
        <x:v>analyses/service_i19/RESULTS.json</x:v>
      </x:c>
      <x:c r="C942" s="180" t="str">
        <x:v>06cbb09e55a98a0039d0cab06f26b85f8af741c8b1c075991283a397f94f47fe</x:v>
      </x:c>
    </x:row>
    <x:row r="943" ht="30" customHeight="1">
      <x:c r="A943" s="219" t="str">
        <x:v>FW-01</x:v>
      </x:c>
      <x:c r="B943" s="219" t="str">
        <x:v>lanes/firmware_oil/RECOVERED_RELEASE_CHECKS.json</x:v>
      </x:c>
      <x:c r="C943" s="219" t="str">
        <x:v>9d36ebab30769a0293ff2fcbd194a54f113e5444f8680565da51558ccce9cdf8</x:v>
      </x:c>
    </x:row>
    <x:row r="944" ht="30" customHeight="1">
      <x:c r="A944" s="180" t="str">
        <x:v>FW-01</x:v>
      </x:c>
      <x:c r="B944" s="180" t="str">
        <x:v>lanes/firmware_oil/RECOVERED_FIRMWARE_TEST_RESULTS.json</x:v>
      </x:c>
      <x:c r="C944" s="180" t="str">
        <x:v>c4c5df66ff54cba721fe8808062019f824df6e0b0c4869e78fd30626121dc725</x:v>
      </x:c>
    </x:row>
    <x:row r="945" ht="30" customHeight="1">
      <x:c r="A945" s="219" t="str">
        <x:v>FW-01</x:v>
      </x:c>
      <x:c r="B945" s="219" t="str">
        <x:v>lanes/firmware_oil/FINAL_I04_OIL_FIRMWARE_EFFECTIVITY.json</x:v>
      </x:c>
      <x:c r="C945" s="219" t="str">
        <x:v>17c9b0178b833a546a4f14b2f287574b8545d7a56e68db66a8a94f02634b394f</x:v>
      </x:c>
    </x:row>
    <x:row r="946" ht="30" customHeight="1">
      <x:c r="A946" s="180" t="str">
        <x:v>FW-01</x:v>
      </x:c>
      <x:c r="B946" s="180" t="str">
        <x:v>iterations/I20_controlled_handoff/NATIVE_BINDING.json</x:v>
      </x:c>
      <x:c r="C946" s="180" t="str">
        <x:v>6f36235aab2349569f2cacf485912921762bc718e2a5fd5c4c72c2808ca2312b</x:v>
      </x:c>
    </x:row>
    <x:row r="947" ht="30" customHeight="1">
      <x:c r="A947" s="219" t="str">
        <x:v>FW-01</x:v>
      </x:c>
      <x:c r="B947" s="219" t="str">
        <x:v>current/SOURCE_EFFECTIVITY.json</x:v>
      </x:c>
      <x:c r="C947" s="219" t="str">
        <x:v>832fcdcc8cd7ebb9df2e169c8b9194011c37d138484da13fd5de05bd2657170d</x:v>
      </x:c>
    </x:row>
    <x:row r="948" ht="30" customHeight="1">
      <x:c r="A948" s="180" t="str">
        <x:v>FW-02</x:v>
      </x:c>
      <x:c r="B948" s="180" t="str">
        <x:v>iterations/I20_controlled_handoff/NATIVE_BINDING.json</x:v>
      </x:c>
      <x:c r="C948" s="180" t="str">
        <x:v>6f36235aab2349569f2cacf485912921762bc718e2a5fd5c4c72c2808ca2312b</x:v>
      </x:c>
    </x:row>
    <x:row r="949" ht="30" customHeight="1">
      <x:c r="A949" s="219" t="str">
        <x:v>FW-02</x:v>
      </x:c>
      <x:c r="B949" s="219" t="str">
        <x:v>current/I21_SOURCE_VERIFICATION.json</x:v>
      </x:c>
      <x:c r="C949" s="219" t="str">
        <x:v>938ba171be55b8b6213eb00bc73cd52e90973449a35deda4dcf4c730e5b97993</x:v>
      </x:c>
    </x:row>
    <x:row r="950" ht="30" customHeight="1">
      <x:c r="A950" s="180" t="str">
        <x:v>FW-02</x:v>
      </x:c>
      <x:c r="B950" s="180" t="str">
        <x:v>current/SOURCE_EFFECTIVITY.json</x:v>
      </x:c>
      <x:c r="C950" s="180" t="str">
        <x:v>832fcdcc8cd7ebb9df2e169c8b9194011c37d138484da13fd5de05bd2657170d</x:v>
      </x:c>
    </x:row>
    <x:row r="951" ht="30" customHeight="1">
      <x:c r="A951" s="219" t="str">
        <x:v>FW-03</x:v>
      </x:c>
      <x:c r="B951" s="219" t="str">
        <x:v>lanes/firmware_oil/RECOVERED_RELEASE_CHECKS.json</x:v>
      </x:c>
      <x:c r="C951" s="219" t="str">
        <x:v>9d36ebab30769a0293ff2fcbd194a54f113e5444f8680565da51558ccce9cdf8</x:v>
      </x:c>
    </x:row>
    <x:row r="952" ht="30" customHeight="1">
      <x:c r="A952" s="180" t="str">
        <x:v>FW-03</x:v>
      </x:c>
      <x:c r="B952" s="180" t="str">
        <x:v>lanes/firmware_oil/RECOVERED_FIRMWARE_TEST_RESULTS.json</x:v>
      </x:c>
      <x:c r="C952" s="180" t="str">
        <x:v>c4c5df66ff54cba721fe8808062019f824df6e0b0c4869e78fd30626121dc725</x:v>
      </x:c>
    </x:row>
    <x:row r="953" ht="30" customHeight="1">
      <x:c r="A953" s="219" t="str">
        <x:v>FW-03</x:v>
      </x:c>
      <x:c r="B953" s="219" t="str">
        <x:v>iterations/I20_controlled_handoff/NATIVE_BINDING.json</x:v>
      </x:c>
      <x:c r="C953" s="219" t="str">
        <x:v>6f36235aab2349569f2cacf485912921762bc718e2a5fd5c4c72c2808ca2312b</x:v>
      </x:c>
    </x:row>
    <x:row r="954" ht="30" customHeight="1">
      <x:c r="A954" s="180" t="str">
        <x:v>FW-03</x:v>
      </x:c>
      <x:c r="B954" s="180" t="str">
        <x:v>current/SOURCE_EFFECTIVITY.json</x:v>
      </x:c>
      <x:c r="C954" s="180" t="str">
        <x:v>832fcdcc8cd7ebb9df2e169c8b9194011c37d138484da13fd5de05bd2657170d</x:v>
      </x:c>
    </x:row>
    <x:row r="955" ht="30" customHeight="1">
      <x:c r="A955" s="219" t="str">
        <x:v>FW-04</x:v>
      </x:c>
      <x:c r="B955" s="219" t="str">
        <x:v>lanes/firmware_oil/RECOVERED_RELEASE_CHECKS.json</x:v>
      </x:c>
      <x:c r="C955" s="219" t="str">
        <x:v>9d36ebab30769a0293ff2fcbd194a54f113e5444f8680565da51558ccce9cdf8</x:v>
      </x:c>
    </x:row>
    <x:row r="956" ht="30" customHeight="1">
      <x:c r="A956" s="180" t="str">
        <x:v>FW-04</x:v>
      </x:c>
      <x:c r="B956" s="180" t="str">
        <x:v>lanes/firmware_oil/RECOVERED_FIRMWARE_TEST_RESULTS.json</x:v>
      </x:c>
      <x:c r="C956" s="180" t="str">
        <x:v>c4c5df66ff54cba721fe8808062019f824df6e0b0c4869e78fd30626121dc725</x:v>
      </x:c>
    </x:row>
    <x:row r="957" ht="30" customHeight="1">
      <x:c r="A957" s="219" t="str">
        <x:v>FW-04</x:v>
      </x:c>
      <x:c r="B957" s="219" t="str">
        <x:v>iterations/I20_controlled_handoff/NATIVE_BINDING.json</x:v>
      </x:c>
      <x:c r="C957" s="219" t="str">
        <x:v>6f36235aab2349569f2cacf485912921762bc718e2a5fd5c4c72c2808ca2312b</x:v>
      </x:c>
    </x:row>
    <x:row r="958" ht="30" customHeight="1">
      <x:c r="A958" s="180" t="str">
        <x:v>FW-04</x:v>
      </x:c>
      <x:c r="B958" s="180" t="str">
        <x:v>current/SOURCE_EFFECTIVITY.json</x:v>
      </x:c>
      <x:c r="C958" s="180" t="str">
        <x:v>832fcdcc8cd7ebb9df2e169c8b9194011c37d138484da13fd5de05bd2657170d</x:v>
      </x:c>
    </x:row>
    <x:row r="959" ht="30" customHeight="1">
      <x:c r="A959" s="219" t="str">
        <x:v>FW-05</x:v>
      </x:c>
      <x:c r="B959" s="219" t="str">
        <x:v>lanes/firmware_oil/RECOVERED_RELEASE_CHECKS.json</x:v>
      </x:c>
      <x:c r="C959" s="219" t="str">
        <x:v>9d36ebab30769a0293ff2fcbd194a54f113e5444f8680565da51558ccce9cdf8</x:v>
      </x:c>
    </x:row>
    <x:row r="960" ht="30" customHeight="1">
      <x:c r="A960" s="180" t="str">
        <x:v>FW-05</x:v>
      </x:c>
      <x:c r="B960" s="180" t="str">
        <x:v>lanes/firmware_oil/RECOVERED_FIRMWARE_TEST_RESULTS.json</x:v>
      </x:c>
      <x:c r="C960" s="180" t="str">
        <x:v>c4c5df66ff54cba721fe8808062019f824df6e0b0c4869e78fd30626121dc725</x:v>
      </x:c>
    </x:row>
    <x:row r="961" ht="30" customHeight="1">
      <x:c r="A961" s="219" t="str">
        <x:v>FW-05</x:v>
      </x:c>
      <x:c r="B961" s="219" t="str">
        <x:v>iterations/I20_controlled_handoff/NATIVE_BINDING.json</x:v>
      </x:c>
      <x:c r="C961" s="219" t="str">
        <x:v>6f36235aab2349569f2cacf485912921762bc718e2a5fd5c4c72c2808ca2312b</x:v>
      </x:c>
    </x:row>
    <x:row r="962" ht="30" customHeight="1">
      <x:c r="A962" s="180" t="str">
        <x:v>FW-05</x:v>
      </x:c>
      <x:c r="B962" s="180" t="str">
        <x:v>current/SOURCE_EFFECTIVITY.json</x:v>
      </x:c>
      <x:c r="C962" s="180" t="str">
        <x:v>832fcdcc8cd7ebb9df2e169c8b9194011c37d138484da13fd5de05bd2657170d</x:v>
      </x:c>
    </x:row>
    <x:row r="963" ht="30" customHeight="1">
      <x:c r="A963" s="219" t="str">
        <x:v>FW-06</x:v>
      </x:c>
      <x:c r="B963" s="219" t="str">
        <x:v>lanes/firmware_oil/RECOVERED_RELEASE_CHECKS.json</x:v>
      </x:c>
      <x:c r="C963" s="219" t="str">
        <x:v>9d36ebab30769a0293ff2fcbd194a54f113e5444f8680565da51558ccce9cdf8</x:v>
      </x:c>
    </x:row>
    <x:row r="964" ht="30" customHeight="1">
      <x:c r="A964" s="180" t="str">
        <x:v>FW-06</x:v>
      </x:c>
      <x:c r="B964" s="180" t="str">
        <x:v>lanes/firmware_oil/RECOVERED_FIRMWARE_TEST_RESULTS.json</x:v>
      </x:c>
      <x:c r="C964" s="180" t="str">
        <x:v>c4c5df66ff54cba721fe8808062019f824df6e0b0c4869e78fd30626121dc725</x:v>
      </x:c>
    </x:row>
    <x:row r="965" ht="30" customHeight="1">
      <x:c r="A965" s="219" t="str">
        <x:v>FW-06</x:v>
      </x:c>
      <x:c r="B965" s="219" t="str">
        <x:v>iterations/I20_controlled_handoff/NATIVE_BINDING.json</x:v>
      </x:c>
      <x:c r="C965" s="219" t="str">
        <x:v>6f36235aab2349569f2cacf485912921762bc718e2a5fd5c4c72c2808ca2312b</x:v>
      </x:c>
    </x:row>
    <x:row r="966" ht="30" customHeight="1">
      <x:c r="A966" s="180" t="str">
        <x:v>FW-06</x:v>
      </x:c>
      <x:c r="B966" s="180" t="str">
        <x:v>current/SOURCE_EFFECTIVITY.json</x:v>
      </x:c>
      <x:c r="C966" s="180" t="str">
        <x:v>832fcdcc8cd7ebb9df2e169c8b9194011c37d138484da13fd5de05bd2657170d</x:v>
      </x:c>
    </x:row>
    <x:row r="967" ht="30" customHeight="1">
      <x:c r="A967" s="219" t="str">
        <x:v>FW-07</x:v>
      </x:c>
      <x:c r="B967" s="219" t="str">
        <x:v>lanes/firmware_oil/RECOVERED_RELEASE_CHECKS.json</x:v>
      </x:c>
      <x:c r="C967" s="219" t="str">
        <x:v>9d36ebab30769a0293ff2fcbd194a54f113e5444f8680565da51558ccce9cdf8</x:v>
      </x:c>
    </x:row>
    <x:row r="968" ht="30" customHeight="1">
      <x:c r="A968" s="180" t="str">
        <x:v>FW-07</x:v>
      </x:c>
      <x:c r="B968" s="180" t="str">
        <x:v>lanes/firmware_oil/RECOVERED_FIRMWARE_TEST_RESULTS.json</x:v>
      </x:c>
      <x:c r="C968" s="180" t="str">
        <x:v>c4c5df66ff54cba721fe8808062019f824df6e0b0c4869e78fd30626121dc725</x:v>
      </x:c>
    </x:row>
    <x:row r="969" ht="30" customHeight="1">
      <x:c r="A969" s="219" t="str">
        <x:v>FW-07</x:v>
      </x:c>
      <x:c r="B969" s="219" t="str">
        <x:v>iterations/I20_controlled_handoff/NATIVE_BINDING.json</x:v>
      </x:c>
      <x:c r="C969" s="219" t="str">
        <x:v>6f36235aab2349569f2cacf485912921762bc718e2a5fd5c4c72c2808ca2312b</x:v>
      </x:c>
    </x:row>
    <x:row r="970" ht="30" customHeight="1">
      <x:c r="A970" s="180" t="str">
        <x:v>FW-07</x:v>
      </x:c>
      <x:c r="B970" s="180" t="str">
        <x:v>current/SOURCE_EFFECTIVITY.json</x:v>
      </x:c>
      <x:c r="C970" s="180" t="str">
        <x:v>832fcdcc8cd7ebb9df2e169c8b9194011c37d138484da13fd5de05bd2657170d</x:v>
      </x:c>
    </x:row>
    <x:row r="971" ht="30" customHeight="1">
      <x:c r="A971" s="219" t="str">
        <x:v>FW-08</x:v>
      </x:c>
      <x:c r="B971" s="219" t="str">
        <x:v>lanes/firmware_oil/RECOVERED_RELEASE_CHECKS.json</x:v>
      </x:c>
      <x:c r="C971" s="219" t="str">
        <x:v>9d36ebab30769a0293ff2fcbd194a54f113e5444f8680565da51558ccce9cdf8</x:v>
      </x:c>
    </x:row>
    <x:row r="972" ht="30" customHeight="1">
      <x:c r="A972" s="180" t="str">
        <x:v>FW-08</x:v>
      </x:c>
      <x:c r="B972" s="180" t="str">
        <x:v>lanes/firmware_oil/RECOVERED_FIRMWARE_TEST_RESULTS.json</x:v>
      </x:c>
      <x:c r="C972" s="180" t="str">
        <x:v>c4c5df66ff54cba721fe8808062019f824df6e0b0c4869e78fd30626121dc725</x:v>
      </x:c>
    </x:row>
    <x:row r="973" ht="30" customHeight="1">
      <x:c r="A973" s="219" t="str">
        <x:v>FW-08</x:v>
      </x:c>
      <x:c r="B973" s="219" t="str">
        <x:v>iterations/I20_controlled_handoff/NATIVE_BINDING.json</x:v>
      </x:c>
      <x:c r="C973" s="219" t="str">
        <x:v>6f36235aab2349569f2cacf485912921762bc718e2a5fd5c4c72c2808ca2312b</x:v>
      </x:c>
    </x:row>
    <x:row r="974" ht="30" customHeight="1">
      <x:c r="A974" s="180" t="str">
        <x:v>FW-08</x:v>
      </x:c>
      <x:c r="B974" s="180" t="str">
        <x:v>current/SOURCE_EFFECTIVITY.json</x:v>
      </x:c>
      <x:c r="C974" s="180" t="str">
        <x:v>832fcdcc8cd7ebb9df2e169c8b9194011c37d138484da13fd5de05bd2657170d</x:v>
      </x:c>
    </x:row>
    <x:row r="975" ht="30" customHeight="1">
      <x:c r="A975" s="219" t="str">
        <x:v>FW-09</x:v>
      </x:c>
      <x:c r="B975" s="219" t="str">
        <x:v>lanes/firmware_oil/RECOVERED_RELEASE_CHECKS.json</x:v>
      </x:c>
      <x:c r="C975" s="219" t="str">
        <x:v>9d36ebab30769a0293ff2fcbd194a54f113e5444f8680565da51558ccce9cdf8</x:v>
      </x:c>
    </x:row>
    <x:row r="976" ht="30" customHeight="1">
      <x:c r="A976" s="180" t="str">
        <x:v>FW-09</x:v>
      </x:c>
      <x:c r="B976" s="180" t="str">
        <x:v>lanes/firmware_oil/RECOVERED_FIRMWARE_TEST_RESULTS.json</x:v>
      </x:c>
      <x:c r="C976" s="180" t="str">
        <x:v>c4c5df66ff54cba721fe8808062019f824df6e0b0c4869e78fd30626121dc725</x:v>
      </x:c>
    </x:row>
    <x:row r="977" ht="30" customHeight="1">
      <x:c r="A977" s="219" t="str">
        <x:v>FW-09</x:v>
      </x:c>
      <x:c r="B977" s="219" t="str">
        <x:v>iterations/I20_controlled_handoff/NATIVE_BINDING.json</x:v>
      </x:c>
      <x:c r="C977" s="219" t="str">
        <x:v>6f36235aab2349569f2cacf485912921762bc718e2a5fd5c4c72c2808ca2312b</x:v>
      </x:c>
    </x:row>
    <x:row r="978" ht="30" customHeight="1">
      <x:c r="A978" s="180" t="str">
        <x:v>FW-09</x:v>
      </x:c>
      <x:c r="B978" s="180" t="str">
        <x:v>current/SOURCE_EFFECTIVITY.json</x:v>
      </x:c>
      <x:c r="C978" s="180" t="str">
        <x:v>832fcdcc8cd7ebb9df2e169c8b9194011c37d138484da13fd5de05bd2657170d</x:v>
      </x:c>
    </x:row>
    <x:row r="979" ht="30" customHeight="1">
      <x:c r="A979" s="219" t="str">
        <x:v>FW-10</x:v>
      </x:c>
      <x:c r="B979" s="219" t="str">
        <x:v>lanes/firmware_oil/RECOVERED_RELEASE_CHECKS.json</x:v>
      </x:c>
      <x:c r="C979" s="219" t="str">
        <x:v>9d36ebab30769a0293ff2fcbd194a54f113e5444f8680565da51558ccce9cdf8</x:v>
      </x:c>
    </x:row>
    <x:row r="980" ht="30" customHeight="1">
      <x:c r="A980" s="180" t="str">
        <x:v>FW-10</x:v>
      </x:c>
      <x:c r="B980" s="180" t="str">
        <x:v>lanes/firmware_oil/RECOVERED_FIRMWARE_TEST_RESULTS.json</x:v>
      </x:c>
      <x:c r="C980" s="180" t="str">
        <x:v>c4c5df66ff54cba721fe8808062019f824df6e0b0c4869e78fd30626121dc725</x:v>
      </x:c>
    </x:row>
    <x:row r="981" ht="30" customHeight="1">
      <x:c r="A981" s="219" t="str">
        <x:v>FW-10</x:v>
      </x:c>
      <x:c r="B981" s="219" t="str">
        <x:v>iterations/I20_controlled_handoff/NATIVE_BINDING.json</x:v>
      </x:c>
      <x:c r="C981" s="219" t="str">
        <x:v>6f36235aab2349569f2cacf485912921762bc718e2a5fd5c4c72c2808ca2312b</x:v>
      </x:c>
    </x:row>
    <x:row r="982" ht="30" customHeight="1">
      <x:c r="A982" s="180" t="str">
        <x:v>FW-10</x:v>
      </x:c>
      <x:c r="B982" s="180" t="str">
        <x:v>current/SOURCE_EFFECTIVITY.json</x:v>
      </x:c>
      <x:c r="C982" s="180" t="str">
        <x:v>832fcdcc8cd7ebb9df2e169c8b9194011c37d138484da13fd5de05bd2657170d</x:v>
      </x:c>
    </x:row>
    <x:row r="983" ht="30" customHeight="1">
      <x:c r="A983" s="219" t="str">
        <x:v>FW-11</x:v>
      </x:c>
      <x:c r="B983" s="219" t="str">
        <x:v>lanes/firmware_oil/RECOVERED_RELEASE_CHECKS.json</x:v>
      </x:c>
      <x:c r="C983" s="219" t="str">
        <x:v>9d36ebab30769a0293ff2fcbd194a54f113e5444f8680565da51558ccce9cdf8</x:v>
      </x:c>
    </x:row>
    <x:row r="984" ht="30" customHeight="1">
      <x:c r="A984" s="180" t="str">
        <x:v>FW-11</x:v>
      </x:c>
      <x:c r="B984" s="180" t="str">
        <x:v>lanes/firmware_oil/RECOVERED_FIRMWARE_TEST_RESULTS.json</x:v>
      </x:c>
      <x:c r="C984" s="180" t="str">
        <x:v>c4c5df66ff54cba721fe8808062019f824df6e0b0c4869e78fd30626121dc725</x:v>
      </x:c>
    </x:row>
    <x:row r="985" ht="30" customHeight="1">
      <x:c r="A985" s="219" t="str">
        <x:v>FW-11</x:v>
      </x:c>
      <x:c r="B985" s="219" t="str">
        <x:v>iterations/I20_controlled_handoff/NATIVE_BINDING.json</x:v>
      </x:c>
      <x:c r="C985" s="219" t="str">
        <x:v>6f36235aab2349569f2cacf485912921762bc718e2a5fd5c4c72c2808ca2312b</x:v>
      </x:c>
    </x:row>
    <x:row r="986" ht="30" customHeight="1">
      <x:c r="A986" s="180" t="str">
        <x:v>FW-11</x:v>
      </x:c>
      <x:c r="B986" s="180" t="str">
        <x:v>current/SOURCE_EFFECTIVITY.json</x:v>
      </x:c>
      <x:c r="C986" s="180" t="str">
        <x:v>832fcdcc8cd7ebb9df2e169c8b9194011c37d138484da13fd5de05bd2657170d</x:v>
      </x:c>
    </x:row>
    <x:row r="987" ht="30" customHeight="1">
      <x:c r="A987" s="219" t="str">
        <x:v>FW-12</x:v>
      </x:c>
      <x:c r="B987" s="219" t="str">
        <x:v>lanes/firmware_oil/RECOVERED_RELEASE_CHECKS.json</x:v>
      </x:c>
      <x:c r="C987" s="219" t="str">
        <x:v>9d36ebab30769a0293ff2fcbd194a54f113e5444f8680565da51558ccce9cdf8</x:v>
      </x:c>
    </x:row>
    <x:row r="988" ht="30" customHeight="1">
      <x:c r="A988" s="180" t="str">
        <x:v>FW-12</x:v>
      </x:c>
      <x:c r="B988" s="180" t="str">
        <x:v>lanes/firmware_oil/RECOVERED_FIRMWARE_TEST_RESULTS.json</x:v>
      </x:c>
      <x:c r="C988" s="180" t="str">
        <x:v>c4c5df66ff54cba721fe8808062019f824df6e0b0c4869e78fd30626121dc725</x:v>
      </x:c>
    </x:row>
    <x:row r="989" ht="30" customHeight="1">
      <x:c r="A989" s="219" t="str">
        <x:v>FW-12</x:v>
      </x:c>
      <x:c r="B989" s="219" t="str">
        <x:v>lanes/firmware_oil/FINAL_I04_OIL_FIRMWARE_EFFECTIVITY.json</x:v>
      </x:c>
      <x:c r="C989" s="219" t="str">
        <x:v>17c9b0178b833a546a4f14b2f287574b8545d7a56e68db66a8a94f02634b394f</x:v>
      </x:c>
    </x:row>
    <x:row r="990" ht="30" customHeight="1">
      <x:c r="A990" s="180" t="str">
        <x:v>FW-12</x:v>
      </x:c>
      <x:c r="B990" s="180" t="str">
        <x:v>iterations/I20_controlled_handoff/NATIVE_BINDING.json</x:v>
      </x:c>
      <x:c r="C990" s="180" t="str">
        <x:v>6f36235aab2349569f2cacf485912921762bc718e2a5fd5c4c72c2808ca2312b</x:v>
      </x:c>
    </x:row>
    <x:row r="991" ht="30" customHeight="1">
      <x:c r="A991" s="219" t="str">
        <x:v>FW-12</x:v>
      </x:c>
      <x:c r="B991" s="219" t="str">
        <x:v>current/SOURCE_EFFECTIVITY.json</x:v>
      </x:c>
      <x:c r="C991" s="219" t="str">
        <x:v>832fcdcc8cd7ebb9df2e169c8b9194011c37d138484da13fd5de05bd2657170d</x:v>
      </x:c>
    </x:row>
    <x:row r="992" ht="30" customHeight="1">
      <x:c r="A992" s="180" t="str">
        <x:v>HAR-01</x:v>
      </x:c>
      <x:c r="B992" s="180" t="str">
        <x:v>interfaces/HARNESS_INTERFACE_CONTRACT.json</x:v>
      </x:c>
      <x:c r="C992" s="180" t="str">
        <x:v>8de240d9bfbc5862fae2984984929e0c086bc37a255289129d312548cac3576a</x:v>
      </x:c>
    </x:row>
    <x:row r="993" ht="30" customHeight="1">
      <x:c r="A993" s="219" t="str">
        <x:v>HAR-01</x:v>
      </x:c>
      <x:c r="B993" s="219" t="str">
        <x:v>interfaces/HARNESS_CHECKS.json</x:v>
      </x:c>
      <x:c r="C993" s="219" t="str">
        <x:v>c45fcc060f1cc5d87d9056329c8eac1e7a893cbae583086c5f0d3f5b43a29c9d</x:v>
      </x:c>
    </x:row>
    <x:row r="994" ht="30" customHeight="1">
      <x:c r="A994" s="180" t="str">
        <x:v>HAR-01</x:v>
      </x:c>
      <x:c r="B994" s="180" t="str">
        <x:v>analyses/harness_wire/HARNESS_WIRE_DELTA.json</x:v>
      </x:c>
      <x:c r="C994" s="180" t="str">
        <x:v>709bdb5ea3ca0ba32fc78b0da3a1845b1d597fa82b4b3ce17c9ef2774798babe</x:v>
      </x:c>
    </x:row>
    <x:row r="995" ht="30" customHeight="1">
      <x:c r="A995" s="219" t="str">
        <x:v>HAR-01</x:v>
      </x:c>
      <x:c r="B995" s="219" t="str">
        <x:v>interfaces/MOLEX_A1_HARNESS_REDLINE.json</x:v>
      </x:c>
      <x:c r="C995" s="219" t="str">
        <x:v>f7e6567d47cb426e6a19a6356f6dd1feda53c481c27e1631f39d4fe28174f28e</x:v>
      </x:c>
    </x:row>
    <x:row r="996" ht="30" customHeight="1">
      <x:c r="A996" s="180" t="str">
        <x:v>HAR-01</x:v>
      </x:c>
      <x:c r="B996" s="180" t="str">
        <x:v>interfaces/SINGLE_RETURN_EFFECTIVITY.json</x:v>
      </x:c>
      <x:c r="C996" s="180" t="str">
        <x:v>6c7af28cea00c2a54f0765cf157f3b8630e9799cf9ee615f2210552134ffe640</x:v>
      </x:c>
    </x:row>
    <x:row r="997" ht="30" customHeight="1">
      <x:c r="A997" s="219" t="str">
        <x:v>HAR-01</x:v>
      </x:c>
      <x:c r="B997" s="219" t="str">
        <x:v>interfaces/FINAL_I06_HARNESS_BINDING.json</x:v>
      </x:c>
      <x:c r="C997" s="219" t="str">
        <x:v>ea1271a3927330045a38668bb5208bd4aace21b828afc3f535bb34593ec04458</x:v>
      </x:c>
    </x:row>
    <x:row r="998" ht="30" customHeight="1">
      <x:c r="A998" s="180" t="str">
        <x:v>HAR-01</x:v>
      </x:c>
      <x:c r="B998" s="180" t="str">
        <x:v>iterations/I06_harness_handoff/CANDIDATE_MANIFEST.json</x:v>
      </x:c>
      <x:c r="C998" s="180" t="str">
        <x:v>017aa6938b0cea4fcf5d02a0e28ba556e4a0c0485495f171a7d5aba15a703fc0</x:v>
      </x:c>
    </x:row>
    <x:row r="999" ht="30" customHeight="1">
      <x:c r="A999" s="219" t="str">
        <x:v>HAR-02</x:v>
      </x:c>
      <x:c r="B999" s="219" t="str">
        <x:v>interfaces/HARNESS_INTERFACE_CONTRACT.json</x:v>
      </x:c>
      <x:c r="C999" s="219" t="str">
        <x:v>8de240d9bfbc5862fae2984984929e0c086bc37a255289129d312548cac3576a</x:v>
      </x:c>
    </x:row>
    <x:row r="1000" ht="30" customHeight="1">
      <x:c r="A1000" s="180" t="str">
        <x:v>HAR-02</x:v>
      </x:c>
      <x:c r="B1000" s="180" t="str">
        <x:v>interfaces/HARNESS_CHECKS.json</x:v>
      </x:c>
      <x:c r="C1000" s="180" t="str">
        <x:v>c45fcc060f1cc5d87d9056329c8eac1e7a893cbae583086c5f0d3f5b43a29c9d</x:v>
      </x:c>
    </x:row>
    <x:row r="1001" ht="30" customHeight="1">
      <x:c r="A1001" s="219" t="str">
        <x:v>HAR-02</x:v>
      </x:c>
      <x:c r="B1001" s="219" t="str">
        <x:v>analyses/harness_wire/HARNESS_WIRE_DELTA.json</x:v>
      </x:c>
      <x:c r="C1001" s="219" t="str">
        <x:v>709bdb5ea3ca0ba32fc78b0da3a1845b1d597fa82b4b3ce17c9ef2774798babe</x:v>
      </x:c>
    </x:row>
    <x:row r="1002" ht="30" customHeight="1">
      <x:c r="A1002" s="180" t="str">
        <x:v>HAR-02</x:v>
      </x:c>
      <x:c r="B1002" s="180" t="str">
        <x:v>interfaces/SINGLE_RETURN_EFFECTIVITY.json</x:v>
      </x:c>
      <x:c r="C1002" s="180" t="str">
        <x:v>6c7af28cea00c2a54f0765cf157f3b8630e9799cf9ee615f2210552134ffe640</x:v>
      </x:c>
    </x:row>
    <x:row r="1003" ht="30" customHeight="1">
      <x:c r="A1003" s="219" t="str">
        <x:v>HAR-03</x:v>
      </x:c>
      <x:c r="B1003" s="219" t="str">
        <x:v>interfaces/HARNESS_INTERFACE_CONTRACT.json</x:v>
      </x:c>
      <x:c r="C1003" s="219" t="str">
        <x:v>8de240d9bfbc5862fae2984984929e0c086bc37a255289129d312548cac3576a</x:v>
      </x:c>
    </x:row>
    <x:row r="1004" ht="30" customHeight="1">
      <x:c r="A1004" s="180" t="str">
        <x:v>HAR-03</x:v>
      </x:c>
      <x:c r="B1004" s="180" t="str">
        <x:v>interfaces/HARNESS_CHECKS.json</x:v>
      </x:c>
      <x:c r="C1004" s="180" t="str">
        <x:v>c45fcc060f1cc5d87d9056329c8eac1e7a893cbae583086c5f0d3f5b43a29c9d</x:v>
      </x:c>
    </x:row>
    <x:row r="1005" ht="30" customHeight="1">
      <x:c r="A1005" s="219" t="str">
        <x:v>HAR-03</x:v>
      </x:c>
      <x:c r="B1005" s="219" t="str">
        <x:v>analyses/harness_wire/HARNESS_WIRE_DELTA.json</x:v>
      </x:c>
      <x:c r="C1005" s="219" t="str">
        <x:v>709bdb5ea3ca0ba32fc78b0da3a1845b1d597fa82b4b3ce17c9ef2774798babe</x:v>
      </x:c>
    </x:row>
    <x:row r="1006" ht="30" customHeight="1">
      <x:c r="A1006" s="180" t="str">
        <x:v>HAR-03</x:v>
      </x:c>
      <x:c r="B1006" s="180" t="str">
        <x:v>interfaces/MOLEX_A1_HARNESS_REDLINE.json</x:v>
      </x:c>
      <x:c r="C1006" s="180" t="str">
        <x:v>f7e6567d47cb426e6a19a6356f6dd1feda53c481c27e1631f39d4fe28174f28e</x:v>
      </x:c>
    </x:row>
    <x:row r="1007" ht="30" customHeight="1">
      <x:c r="A1007" s="219" t="str">
        <x:v>HAR-03</x:v>
      </x:c>
      <x:c r="B1007" s="219" t="str">
        <x:v>interfaces/SINGLE_RETURN_EFFECTIVITY.json</x:v>
      </x:c>
      <x:c r="C1007" s="219" t="str">
        <x:v>6c7af28cea00c2a54f0765cf157f3b8630e9799cf9ee615f2210552134ffe640</x:v>
      </x:c>
    </x:row>
    <x:row r="1008" ht="30" customHeight="1">
      <x:c r="A1008" s="180" t="str">
        <x:v>HAR-03</x:v>
      </x:c>
      <x:c r="B1008" s="180" t="str">
        <x:v>interfaces/FINAL_I06_HARNESS_BINDING.json</x:v>
      </x:c>
      <x:c r="C1008" s="180" t="str">
        <x:v>ea1271a3927330045a38668bb5208bd4aace21b828afc3f535bb34593ec04458</x:v>
      </x:c>
    </x:row>
    <x:row r="1009" ht="30" customHeight="1">
      <x:c r="A1009" s="219" t="str">
        <x:v>HAR-03</x:v>
      </x:c>
      <x:c r="B1009" s="219" t="str">
        <x:v>iterations/I06_harness_handoff/CANDIDATE_MANIFEST.json</x:v>
      </x:c>
      <x:c r="C1009" s="219" t="str">
        <x:v>017aa6938b0cea4fcf5d02a0e28ba556e4a0c0485495f171a7d5aba15a703fc0</x:v>
      </x:c>
    </x:row>
    <x:row r="1010" ht="30" customHeight="1">
      <x:c r="A1010" s="180" t="str">
        <x:v>HAR-04</x:v>
      </x:c>
      <x:c r="B1010" s="180" t="str">
        <x:v>interfaces/HARNESS_INTERFACE_CONTRACT.json</x:v>
      </x:c>
      <x:c r="C1010" s="180" t="str">
        <x:v>8de240d9bfbc5862fae2984984929e0c086bc37a255289129d312548cac3576a</x:v>
      </x:c>
    </x:row>
    <x:row r="1011" ht="30" customHeight="1">
      <x:c r="A1011" s="219" t="str">
        <x:v>HAR-04</x:v>
      </x:c>
      <x:c r="B1011" s="219" t="str">
        <x:v>interfaces/HARNESS_CHECKS.json</x:v>
      </x:c>
      <x:c r="C1011" s="219" t="str">
        <x:v>c45fcc060f1cc5d87d9056329c8eac1e7a893cbae583086c5f0d3f5b43a29c9d</x:v>
      </x:c>
    </x:row>
    <x:row r="1012" ht="30" customHeight="1">
      <x:c r="A1012" s="180" t="str">
        <x:v>HAR-04</x:v>
      </x:c>
      <x:c r="B1012" s="180" t="str">
        <x:v>analyses/harness_wire/HARNESS_WIRE_DELTA.json</x:v>
      </x:c>
      <x:c r="C1012" s="180" t="str">
        <x:v>709bdb5ea3ca0ba32fc78b0da3a1845b1d597fa82b4b3ce17c9ef2774798babe</x:v>
      </x:c>
    </x:row>
    <x:row r="1013" ht="30" customHeight="1">
      <x:c r="A1013" s="219" t="str">
        <x:v>HAR-04</x:v>
      </x:c>
      <x:c r="B1013" s="219" t="str">
        <x:v>interfaces/SINGLE_RETURN_EFFECTIVITY.json</x:v>
      </x:c>
      <x:c r="C1013" s="219" t="str">
        <x:v>6c7af28cea00c2a54f0765cf157f3b8630e9799cf9ee615f2210552134ffe640</x:v>
      </x:c>
    </x:row>
    <x:row r="1014" ht="30" customHeight="1">
      <x:c r="A1014" s="180" t="str">
        <x:v>HAR-05</x:v>
      </x:c>
      <x:c r="B1014" s="180" t="str">
        <x:v>interfaces/HARNESS_INTERFACE_CONTRACT.json</x:v>
      </x:c>
      <x:c r="C1014" s="180" t="str">
        <x:v>8de240d9bfbc5862fae2984984929e0c086bc37a255289129d312548cac3576a</x:v>
      </x:c>
    </x:row>
    <x:row r="1015" ht="30" customHeight="1">
      <x:c r="A1015" s="219" t="str">
        <x:v>HAR-05</x:v>
      </x:c>
      <x:c r="B1015" s="219" t="str">
        <x:v>interfaces/HARNESS_CHECKS.json</x:v>
      </x:c>
      <x:c r="C1015" s="219" t="str">
        <x:v>c45fcc060f1cc5d87d9056329c8eac1e7a893cbae583086c5f0d3f5b43a29c9d</x:v>
      </x:c>
    </x:row>
    <x:row r="1016" ht="30" customHeight="1">
      <x:c r="A1016" s="180" t="str">
        <x:v>HAR-05</x:v>
      </x:c>
      <x:c r="B1016" s="180" t="str">
        <x:v>analyses/harness_wire/HARNESS_WIRE_DELTA.json</x:v>
      </x:c>
      <x:c r="C1016" s="180" t="str">
        <x:v>709bdb5ea3ca0ba32fc78b0da3a1845b1d597fa82b4b3ce17c9ef2774798babe</x:v>
      </x:c>
    </x:row>
    <x:row r="1017" ht="30" customHeight="1">
      <x:c r="A1017" s="219" t="str">
        <x:v>HAR-05</x:v>
      </x:c>
      <x:c r="B1017" s="219" t="str">
        <x:v>interfaces/SINGLE_RETURN_EFFECTIVITY.json</x:v>
      </x:c>
      <x:c r="C1017" s="219" t="str">
        <x:v>6c7af28cea00c2a54f0765cf157f3b8630e9799cf9ee615f2210552134ffe640</x:v>
      </x:c>
    </x:row>
    <x:row r="1018" ht="30" customHeight="1">
      <x:c r="A1018" s="180" t="str">
        <x:v>HAR-06</x:v>
      </x:c>
      <x:c r="B1018" s="180" t="str">
        <x:v>interfaces/HARNESS_INTERFACE_CONTRACT.json</x:v>
      </x:c>
      <x:c r="C1018" s="180" t="str">
        <x:v>8de240d9bfbc5862fae2984984929e0c086bc37a255289129d312548cac3576a</x:v>
      </x:c>
    </x:row>
    <x:row r="1019" ht="30" customHeight="1">
      <x:c r="A1019" s="219" t="str">
        <x:v>HAR-06</x:v>
      </x:c>
      <x:c r="B1019" s="219" t="str">
        <x:v>interfaces/HARNESS_CHECKS.json</x:v>
      </x:c>
      <x:c r="C1019" s="219" t="str">
        <x:v>c45fcc060f1cc5d87d9056329c8eac1e7a893cbae583086c5f0d3f5b43a29c9d</x:v>
      </x:c>
    </x:row>
    <x:row r="1020" ht="30" customHeight="1">
      <x:c r="A1020" s="180" t="str">
        <x:v>HAR-06</x:v>
      </x:c>
      <x:c r="B1020" s="180" t="str">
        <x:v>analyses/harness_wire/HARNESS_WIRE_DELTA.json</x:v>
      </x:c>
      <x:c r="C1020" s="180" t="str">
        <x:v>709bdb5ea3ca0ba32fc78b0da3a1845b1d597fa82b4b3ce17c9ef2774798babe</x:v>
      </x:c>
    </x:row>
    <x:row r="1021" ht="30" customHeight="1">
      <x:c r="A1021" s="219" t="str">
        <x:v>HAR-06</x:v>
      </x:c>
      <x:c r="B1021" s="219" t="str">
        <x:v>interfaces/MOLEX_A1_HARNESS_REDLINE.json</x:v>
      </x:c>
      <x:c r="C1021" s="219" t="str">
        <x:v>f7e6567d47cb426e6a19a6356f6dd1feda53c481c27e1631f39d4fe28174f28e</x:v>
      </x:c>
    </x:row>
    <x:row r="1022" ht="30" customHeight="1">
      <x:c r="A1022" s="180" t="str">
        <x:v>HAR-06</x:v>
      </x:c>
      <x:c r="B1022" s="180" t="str">
        <x:v>interfaces/SINGLE_RETURN_EFFECTIVITY.json</x:v>
      </x:c>
      <x:c r="C1022" s="180" t="str">
        <x:v>6c7af28cea00c2a54f0765cf157f3b8630e9799cf9ee615f2210552134ffe640</x:v>
      </x:c>
    </x:row>
    <x:row r="1023" ht="30" customHeight="1">
      <x:c r="A1023" s="219" t="str">
        <x:v>HAR-06</x:v>
      </x:c>
      <x:c r="B1023" s="219" t="str">
        <x:v>interfaces/FINAL_I06_HARNESS_BINDING.json</x:v>
      </x:c>
      <x:c r="C1023" s="219" t="str">
        <x:v>ea1271a3927330045a38668bb5208bd4aace21b828afc3f535bb34593ec04458</x:v>
      </x:c>
    </x:row>
    <x:row r="1024" ht="30" customHeight="1">
      <x:c r="A1024" s="180" t="str">
        <x:v>HAR-06</x:v>
      </x:c>
      <x:c r="B1024" s="180" t="str">
        <x:v>iterations/I06_harness_handoff/CANDIDATE_MANIFEST.json</x:v>
      </x:c>
      <x:c r="C1024" s="180" t="str">
        <x:v>017aa6938b0cea4fcf5d02a0e28ba556e4a0c0485495f171a7d5aba15a703fc0</x:v>
      </x:c>
    </x:row>
    <x:row r="1025" ht="30" customHeight="1">
      <x:c r="A1025" s="219" t="str">
        <x:v>HAR-07</x:v>
      </x:c>
      <x:c r="B1025" s="219" t="str">
        <x:v>interfaces/HARNESS_INTERFACE_CONTRACT.json</x:v>
      </x:c>
      <x:c r="C1025" s="219" t="str">
        <x:v>8de240d9bfbc5862fae2984984929e0c086bc37a255289129d312548cac3576a</x:v>
      </x:c>
    </x:row>
    <x:row r="1026" ht="30" customHeight="1">
      <x:c r="A1026" s="180" t="str">
        <x:v>HAR-07</x:v>
      </x:c>
      <x:c r="B1026" s="180" t="str">
        <x:v>interfaces/HARNESS_CHECKS.json</x:v>
      </x:c>
      <x:c r="C1026" s="180" t="str">
        <x:v>c45fcc060f1cc5d87d9056329c8eac1e7a893cbae583086c5f0d3f5b43a29c9d</x:v>
      </x:c>
    </x:row>
    <x:row r="1027" ht="30" customHeight="1">
      <x:c r="A1027" s="219" t="str">
        <x:v>HAR-07</x:v>
      </x:c>
      <x:c r="B1027" s="219" t="str">
        <x:v>analyses/harness_wire/HARNESS_WIRE_DELTA.json</x:v>
      </x:c>
      <x:c r="C1027" s="219" t="str">
        <x:v>709bdb5ea3ca0ba32fc78b0da3a1845b1d597fa82b4b3ce17c9ef2774798babe</x:v>
      </x:c>
    </x:row>
    <x:row r="1028" ht="30" customHeight="1">
      <x:c r="A1028" s="180" t="str">
        <x:v>HAR-07</x:v>
      </x:c>
      <x:c r="B1028" s="180" t="str">
        <x:v>interfaces/SINGLE_RETURN_EFFECTIVITY.json</x:v>
      </x:c>
      <x:c r="C1028" s="180" t="str">
        <x:v>6c7af28cea00c2a54f0765cf157f3b8630e9799cf9ee615f2210552134ffe640</x:v>
      </x:c>
    </x:row>
    <x:row r="1029" ht="30" customHeight="1">
      <x:c r="A1029" s="219" t="str">
        <x:v>HAR-08</x:v>
      </x:c>
      <x:c r="B1029" s="219" t="str">
        <x:v>interfaces/HARNESS_INTERFACE_CONTRACT.json</x:v>
      </x:c>
      <x:c r="C1029" s="219" t="str">
        <x:v>8de240d9bfbc5862fae2984984929e0c086bc37a255289129d312548cac3576a</x:v>
      </x:c>
    </x:row>
    <x:row r="1030" ht="30" customHeight="1">
      <x:c r="A1030" s="180" t="str">
        <x:v>HAR-08</x:v>
      </x:c>
      <x:c r="B1030" s="180" t="str">
        <x:v>interfaces/HARNESS_CHECKS.json</x:v>
      </x:c>
      <x:c r="C1030" s="180" t="str">
        <x:v>c45fcc060f1cc5d87d9056329c8eac1e7a893cbae583086c5f0d3f5b43a29c9d</x:v>
      </x:c>
    </x:row>
    <x:row r="1031" ht="30" customHeight="1">
      <x:c r="A1031" s="219" t="str">
        <x:v>HAR-08</x:v>
      </x:c>
      <x:c r="B1031" s="219" t="str">
        <x:v>analyses/harness_wire/HARNESS_WIRE_DELTA.json</x:v>
      </x:c>
      <x:c r="C1031" s="219" t="str">
        <x:v>709bdb5ea3ca0ba32fc78b0da3a1845b1d597fa82b4b3ce17c9ef2774798babe</x:v>
      </x:c>
    </x:row>
    <x:row r="1032" ht="30" customHeight="1">
      <x:c r="A1032" s="180" t="str">
        <x:v>HAR-08</x:v>
      </x:c>
      <x:c r="B1032" s="180" t="str">
        <x:v>interfaces/MOLEX_A1_HARNESS_REDLINE.json</x:v>
      </x:c>
      <x:c r="C1032" s="180" t="str">
        <x:v>f7e6567d47cb426e6a19a6356f6dd1feda53c481c27e1631f39d4fe28174f28e</x:v>
      </x:c>
    </x:row>
    <x:row r="1033" ht="30" customHeight="1">
      <x:c r="A1033" s="219" t="str">
        <x:v>HAR-08</x:v>
      </x:c>
      <x:c r="B1033" s="219" t="str">
        <x:v>interfaces/SINGLE_RETURN_EFFECTIVITY.json</x:v>
      </x:c>
      <x:c r="C1033" s="219" t="str">
        <x:v>6c7af28cea00c2a54f0765cf157f3b8630e9799cf9ee615f2210552134ffe640</x:v>
      </x:c>
    </x:row>
    <x:row r="1034" ht="30" customHeight="1">
      <x:c r="A1034" s="180" t="str">
        <x:v>HAR-08</x:v>
      </x:c>
      <x:c r="B1034" s="180" t="str">
        <x:v>interfaces/FINAL_I06_HARNESS_BINDING.json</x:v>
      </x:c>
      <x:c r="C1034" s="180" t="str">
        <x:v>ea1271a3927330045a38668bb5208bd4aace21b828afc3f535bb34593ec04458</x:v>
      </x:c>
    </x:row>
    <x:row r="1035" ht="30" customHeight="1">
      <x:c r="A1035" s="219" t="str">
        <x:v>HAR-08</x:v>
      </x:c>
      <x:c r="B1035" s="219" t="str">
        <x:v>iterations/I06_harness_handoff/CANDIDATE_MANIFEST.json</x:v>
      </x:c>
      <x:c r="C1035" s="219" t="str">
        <x:v>017aa6938b0cea4fcf5d02a0e28ba556e4a0c0485495f171a7d5aba15a703fc0</x:v>
      </x:c>
    </x:row>
    <x:row r="1036" ht="30" customHeight="1">
      <x:c r="A1036" s="180" t="str">
        <x:v>HAR-09</x:v>
      </x:c>
      <x:c r="B1036" s="180" t="str">
        <x:v>lanes/mechanics/FINAL_COMPONENT_ENVELOPES.json</x:v>
      </x:c>
      <x:c r="C1036" s="180" t="str">
        <x:v>e9b8c89e865f53a93ed458ce690dc310f3fd9df0b8eaf39658492fbd2b4bbbd1</x:v>
      </x:c>
    </x:row>
    <x:row r="1037" ht="30" customHeight="1">
      <x:c r="A1037" s="219" t="str">
        <x:v>HAR-09</x:v>
      </x:c>
      <x:c r="B1037" s="219" t="str">
        <x:v>lanes/mechanics/FINAL_SOURCE_BINDING.json</x:v>
      </x:c>
      <x:c r="C1037" s="219" t="str">
        <x:v>4a607ecf994508b22f6099810cb7c5e4e778738782e1d7f7f64a47bf98eedce5</x:v>
      </x:c>
    </x:row>
    <x:row r="1038" ht="30" customHeight="1">
      <x:c r="A1038" s="180" t="str">
        <x:v>HAR-09</x:v>
      </x:c>
      <x:c r="B1038" s="180" t="str">
        <x:v>lanes/mechanics/STRUCTURAL_SERVICE_MODEL.json</x:v>
      </x:c>
      <x:c r="C1038" s="180" t="str">
        <x:v>e701cb8641ebef7f6ddd35a96acff390868b686cd32018fd59213fa1f32c5ecc</x:v>
      </x:c>
    </x:row>
    <x:row r="1039" ht="30" customHeight="1">
      <x:c r="A1039" s="219" t="str">
        <x:v>HAR-09</x:v>
      </x:c>
      <x:c r="B1039" s="219" t="str">
        <x:v>analyses/assembly_handling/PRIMARY_BODY_HEIGHT_ADDENDUM.json</x:v>
      </x:c>
      <x:c r="C1039" s="219" t="str">
        <x:v>7fdd606347fd74861dc3994a18d9bf8fe090e02b338c074a8d3502b6fb382bce</x:v>
      </x:c>
    </x:row>
    <x:row r="1040" ht="30" customHeight="1">
      <x:c r="A1040" s="180" t="str">
        <x:v>HAR-09</x:v>
      </x:c>
      <x:c r="B1040" s="180" t="str">
        <x:v>lanes/mechanics/THERMAL_CONTACT_T01_MODEL.json</x:v>
      </x:c>
      <x:c r="C1040" s="180" t="str">
        <x:v>a5fc11981a3bca81c2dc343bd87a0b618e391770088be932934004bc68df4f88</x:v>
      </x:c>
    </x:row>
    <x:row r="1041" ht="30" customHeight="1">
      <x:c r="A1041" s="219" t="str">
        <x:v>HAR-09</x:v>
      </x:c>
      <x:c r="B1041" s="219" t="str">
        <x:v>lanes/mechanics/THERMAL_CONTACT_T01_REVIEW.md</x:v>
      </x:c>
      <x:c r="C1041" s="219" t="str">
        <x:v>d3c23b6dc0e48a09471cc415981a3bfd6baa1235d81735f6085eb17c194bba4f</x:v>
      </x:c>
    </x:row>
    <x:row r="1042" ht="30" customHeight="1">
      <x:c r="A1042" s="180" t="str">
        <x:v>HAR-09</x:v>
      </x:c>
      <x:c r="B1042" s="180" t="str">
        <x:v>lanes/mechanics/THERMAL_CONTACT_T01_INVERSE_REQUIREMENTS.json</x:v>
      </x:c>
      <x:c r="C1042" s="180" t="str">
        <x:v>bf381e8241a51ea9e2eaf098c0cd03e2bb6e5ba870fbe88e6daa010cbeda8df9</x:v>
      </x:c>
    </x:row>
    <x:row r="1043" ht="30" customHeight="1">
      <x:c r="A1043" s="219" t="str">
        <x:v>HAR-09</x:v>
      </x:c>
      <x:c r="B1043" s="219" t="str">
        <x:v>interfaces/HARNESS_CHECKS.json</x:v>
      </x:c>
      <x:c r="C1043" s="219" t="str">
        <x:v>c45fcc060f1cc5d87d9056329c8eac1e7a893cbae583086c5f0d3f5b43a29c9d</x:v>
      </x:c>
    </x:row>
    <x:row r="1044" ht="30" customHeight="1">
      <x:c r="A1044" s="180" t="str">
        <x:v>HAR-09</x:v>
      </x:c>
      <x:c r="B1044" s="180" t="str">
        <x:v>interfaces/SINGLE_RETURN_EFFECTIVITY.json</x:v>
      </x:c>
      <x:c r="C1044" s="180" t="str">
        <x:v>6c7af28cea00c2a54f0765cf157f3b8630e9799cf9ee615f2210552134ffe640</x:v>
      </x:c>
    </x:row>
    <x:row r="1045" ht="30" customHeight="1">
      <x:c r="A1045" s="219" t="str">
        <x:v>HAR-10</x:v>
      </x:c>
      <x:c r="B1045" s="219" t="str">
        <x:v>lanes/mechanics/FINAL_COMPONENT_ENVELOPES.json</x:v>
      </x:c>
      <x:c r="C1045" s="219" t="str">
        <x:v>e9b8c89e865f53a93ed458ce690dc310f3fd9df0b8eaf39658492fbd2b4bbbd1</x:v>
      </x:c>
    </x:row>
    <x:row r="1046" ht="30" customHeight="1">
      <x:c r="A1046" s="180" t="str">
        <x:v>HAR-10</x:v>
      </x:c>
      <x:c r="B1046" s="180" t="str">
        <x:v>lanes/mechanics/FINAL_SOURCE_BINDING.json</x:v>
      </x:c>
      <x:c r="C1046" s="180" t="str">
        <x:v>4a607ecf994508b22f6099810cb7c5e4e778738782e1d7f7f64a47bf98eedce5</x:v>
      </x:c>
    </x:row>
    <x:row r="1047" ht="30" customHeight="1">
      <x:c r="A1047" s="219" t="str">
        <x:v>HAR-10</x:v>
      </x:c>
      <x:c r="B1047" s="219" t="str">
        <x:v>lanes/mechanics/STRUCTURAL_SERVICE_MODEL.json</x:v>
      </x:c>
      <x:c r="C1047" s="219" t="str">
        <x:v>e701cb8641ebef7f6ddd35a96acff390868b686cd32018fd59213fa1f32c5ecc</x:v>
      </x:c>
    </x:row>
    <x:row r="1048" ht="30" customHeight="1">
      <x:c r="A1048" s="180" t="str">
        <x:v>HAR-10</x:v>
      </x:c>
      <x:c r="B1048" s="180" t="str">
        <x:v>analyses/assembly_handling/PRIMARY_BODY_HEIGHT_ADDENDUM.json</x:v>
      </x:c>
      <x:c r="C1048" s="180" t="str">
        <x:v>7fdd606347fd74861dc3994a18d9bf8fe090e02b338c074a8d3502b6fb382bce</x:v>
      </x:c>
    </x:row>
    <x:row r="1049" ht="30" customHeight="1">
      <x:c r="A1049" s="219" t="str">
        <x:v>HAR-10</x:v>
      </x:c>
      <x:c r="B1049" s="219" t="str">
        <x:v>lanes/mechanics/THERMAL_CONTACT_T01_MODEL.json</x:v>
      </x:c>
      <x:c r="C1049" s="219" t="str">
        <x:v>a5fc11981a3bca81c2dc343bd87a0b618e391770088be932934004bc68df4f88</x:v>
      </x:c>
    </x:row>
    <x:row r="1050" ht="30" customHeight="1">
      <x:c r="A1050" s="180" t="str">
        <x:v>HAR-10</x:v>
      </x:c>
      <x:c r="B1050" s="180" t="str">
        <x:v>lanes/mechanics/THERMAL_CONTACT_T01_REVIEW.md</x:v>
      </x:c>
      <x:c r="C1050" s="180" t="str">
        <x:v>d3c23b6dc0e48a09471cc415981a3bfd6baa1235d81735f6085eb17c194bba4f</x:v>
      </x:c>
    </x:row>
    <x:row r="1051" ht="30" customHeight="1">
      <x:c r="A1051" s="219" t="str">
        <x:v>HAR-10</x:v>
      </x:c>
      <x:c r="B1051" s="219" t="str">
        <x:v>lanes/mechanics/THERMAL_CONTACT_T01_INVERSE_REQUIREMENTS.json</x:v>
      </x:c>
      <x:c r="C1051" s="219" t="str">
        <x:v>bf381e8241a51ea9e2eaf098c0cd03e2bb6e5ba870fbe88e6daa010cbeda8df9</x:v>
      </x:c>
    </x:row>
    <x:row r="1052" ht="30" customHeight="1">
      <x:c r="A1052" s="180" t="str">
        <x:v>HAR-10</x:v>
      </x:c>
      <x:c r="B1052" s="180" t="str">
        <x:v>interfaces/HARNESS_CHECKS.json</x:v>
      </x:c>
      <x:c r="C1052" s="180" t="str">
        <x:v>c45fcc060f1cc5d87d9056329c8eac1e7a893cbae583086c5f0d3f5b43a29c9d</x:v>
      </x:c>
    </x:row>
    <x:row r="1053" ht="30" customHeight="1">
      <x:c r="A1053" s="219" t="str">
        <x:v>HAR-10</x:v>
      </x:c>
      <x:c r="B1053" s="219" t="str">
        <x:v>interfaces/SINGLE_RETURN_EFFECTIVITY.json</x:v>
      </x:c>
      <x:c r="C1053" s="219" t="str">
        <x:v>6c7af28cea00c2a54f0765cf157f3b8630e9799cf9ee615f2210552134ffe640</x:v>
      </x:c>
    </x:row>
    <x:row r="1054" ht="30" customHeight="1">
      <x:c r="A1054" s="180" t="str">
        <x:v>MECH-01</x:v>
      </x:c>
      <x:c r="B1054" s="180" t="str">
        <x:v>lanes/mechanics/FINAL_COMPONENT_ENVELOPES.json</x:v>
      </x:c>
      <x:c r="C1054" s="180" t="str">
        <x:v>e9b8c89e865f53a93ed458ce690dc310f3fd9df0b8eaf39658492fbd2b4bbbd1</x:v>
      </x:c>
    </x:row>
    <x:row r="1055" ht="30" customHeight="1">
      <x:c r="A1055" s="219" t="str">
        <x:v>MECH-01</x:v>
      </x:c>
      <x:c r="B1055" s="219" t="str">
        <x:v>lanes/mechanics/FINAL_SOURCE_BINDING.json</x:v>
      </x:c>
      <x:c r="C1055" s="219" t="str">
        <x:v>4a607ecf994508b22f6099810cb7c5e4e778738782e1d7f7f64a47bf98eedce5</x:v>
      </x:c>
    </x:row>
    <x:row r="1056" ht="30" customHeight="1">
      <x:c r="A1056" s="180" t="str">
        <x:v>MECH-01</x:v>
      </x:c>
      <x:c r="B1056" s="180" t="str">
        <x:v>lanes/mechanics/STRUCTURAL_SERVICE_MODEL.json</x:v>
      </x:c>
      <x:c r="C1056" s="180" t="str">
        <x:v>e701cb8641ebef7f6ddd35a96acff390868b686cd32018fd59213fa1f32c5ecc</x:v>
      </x:c>
    </x:row>
    <x:row r="1057" ht="30" customHeight="1">
      <x:c r="A1057" s="219" t="str">
        <x:v>MECH-01</x:v>
      </x:c>
      <x:c r="B1057" s="219" t="str">
        <x:v>analyses/assembly_handling/PRIMARY_BODY_HEIGHT_ADDENDUM.json</x:v>
      </x:c>
      <x:c r="C1057" s="219" t="str">
        <x:v>7fdd606347fd74861dc3994a18d9bf8fe090e02b338c074a8d3502b6fb382bce</x:v>
      </x:c>
    </x:row>
    <x:row r="1058" ht="30" customHeight="1">
      <x:c r="A1058" s="180" t="str">
        <x:v>MECH-01</x:v>
      </x:c>
      <x:c r="B1058" s="180" t="str">
        <x:v>lanes/mechanics/THERMAL_CONTACT_T01_MODEL.json</x:v>
      </x:c>
      <x:c r="C1058" s="180" t="str">
        <x:v>a5fc11981a3bca81c2dc343bd87a0b618e391770088be932934004bc68df4f88</x:v>
      </x:c>
    </x:row>
    <x:row r="1059" ht="30" customHeight="1">
      <x:c r="A1059" s="219" t="str">
        <x:v>MECH-01</x:v>
      </x:c>
      <x:c r="B1059" s="219" t="str">
        <x:v>lanes/mechanics/THERMAL_CONTACT_T01_REVIEW.md</x:v>
      </x:c>
      <x:c r="C1059" s="219" t="str">
        <x:v>d3c23b6dc0e48a09471cc415981a3bfd6baa1235d81735f6085eb17c194bba4f</x:v>
      </x:c>
    </x:row>
    <x:row r="1060" ht="30" customHeight="1">
      <x:c r="A1060" s="180" t="str">
        <x:v>MECH-01</x:v>
      </x:c>
      <x:c r="B1060" s="180" t="str">
        <x:v>lanes/mechanics/THERMAL_CONTACT_T01_INVERSE_REQUIREMENTS.json</x:v>
      </x:c>
      <x:c r="C1060" s="180" t="str">
        <x:v>bf381e8241a51ea9e2eaf098c0cd03e2bb6e5ba870fbe88e6daa010cbeda8df9</x:v>
      </x:c>
    </x:row>
    <x:row r="1061" ht="30" customHeight="1">
      <x:c r="A1061" s="219" t="str">
        <x:v>MECH-01</x:v>
      </x:c>
      <x:c r="B1061" s="219" t="str">
        <x:v>analyses/mated_i18/RESULTS.json</x:v>
      </x:c>
      <x:c r="C1061" s="219" t="str">
        <x:v>7466a6278a904f43d085330b5b6057d7fa92c8d24156eb7ea875f35bc42044d2</x:v>
      </x:c>
    </x:row>
    <x:row r="1062" ht="30" customHeight="1">
      <x:c r="A1062" s="180" t="str">
        <x:v>MECH-01</x:v>
      </x:c>
      <x:c r="B1062" s="180" t="str">
        <x:v>analyses/service_i19/RESULTS.json</x:v>
      </x:c>
      <x:c r="C1062" s="180" t="str">
        <x:v>06cbb09e55a98a0039d0cab06f26b85f8af741c8b1c075991283a397f94f47fe</x:v>
      </x:c>
    </x:row>
    <x:row r="1063" ht="30" customHeight="1">
      <x:c r="A1063" s="219" t="str">
        <x:v>MECH-01</x:v>
      </x:c>
      <x:c r="B1063" s="219" t="str">
        <x:v>current/MANUFACTURING_AND_ASSEMBLY.md</x:v>
      </x:c>
      <x:c r="C1063" s="219" t="str">
        <x:v>5b7bbc8bc09607b8d282663da0a184df3605dfb68d3f5ea0269e241842184c4d</x:v>
      </x:c>
    </x:row>
    <x:row r="1064" ht="30" customHeight="1">
      <x:c r="A1064" s="180" t="str">
        <x:v>MECH-02</x:v>
      </x:c>
      <x:c r="B1064" s="180" t="str">
        <x:v>lanes/mechanics/C03_CARRIER_CHECKS.json</x:v>
      </x:c>
      <x:c r="C1064" s="180" t="str">
        <x:v>3166345cfe697fbffdd4b0449248aad9422e63cac200a4f14f1d5ccadc1cf255</x:v>
      </x:c>
    </x:row>
    <x:row r="1065" ht="30" customHeight="1">
      <x:c r="A1065" s="219" t="str">
        <x:v>MECH-02</x:v>
      </x:c>
      <x:c r="B1065" s="219" t="str">
        <x:v>lanes/mechanics/RF_ACCESSORY_ISOLATION_CHECKS.json</x:v>
      </x:c>
      <x:c r="C1065" s="219" t="str">
        <x:v>7a18845ed0186f4fac17d2f51e3625d3570557b8b78ffc92e173e875fe6c3a1c</x:v>
      </x:c>
    </x:row>
    <x:row r="1066" ht="30" customHeight="1">
      <x:c r="A1066" s="180" t="str">
        <x:v>MECH-02</x:v>
      </x:c>
      <x:c r="B1066" s="180" t="str">
        <x:v>analyses/assembly_handling/PRIMARY_BODY_HEIGHT_ADDENDUM.json</x:v>
      </x:c>
      <x:c r="C1066" s="180" t="str">
        <x:v>7fdd606347fd74861dc3994a18d9bf8fe090e02b338c074a8d3502b6fb382bce</x:v>
      </x:c>
    </x:row>
    <x:row r="1067" ht="30" customHeight="1">
      <x:c r="A1067" s="219" t="str">
        <x:v>MECH-02</x:v>
      </x:c>
      <x:c r="B1067" s="219" t="str">
        <x:v>lanes/mechanics/FINAL_COMPONENT_ENVELOPES.json</x:v>
      </x:c>
      <x:c r="C1067" s="219" t="str">
        <x:v>e9b8c89e865f53a93ed458ce690dc310f3fd9df0b8eaf39658492fbd2b4bbbd1</x:v>
      </x:c>
    </x:row>
    <x:row r="1068" ht="30" customHeight="1">
      <x:c r="A1068" s="180" t="str">
        <x:v>MECH-02</x:v>
      </x:c>
      <x:c r="B1068" s="180" t="str">
        <x:v>lanes/mechanics/MECHANICAL_INSTALLATION_RVB22.md</x:v>
      </x:c>
      <x:c r="C1068" s="180" t="str">
        <x:v>c537001620be1f1ddbec9d8ea77b9dc84cb5461fb1ffca843c448cf71d2b31d8</x:v>
      </x:c>
    </x:row>
    <x:row r="1069" ht="30" customHeight="1">
      <x:c r="A1069" s="219" t="str">
        <x:v>MECH-02</x:v>
      </x:c>
      <x:c r="B1069" s="219" t="str">
        <x:v>lanes/mechanics/FINAL_SOURCE_BINDING.json</x:v>
      </x:c>
      <x:c r="C1069" s="219" t="str">
        <x:v>4a607ecf994508b22f6099810cb7c5e4e778738782e1d7f7f64a47bf98eedce5</x:v>
      </x:c>
    </x:row>
    <x:row r="1070" ht="30" customHeight="1">
      <x:c r="A1070" s="180" t="str">
        <x:v>MECH-02</x:v>
      </x:c>
      <x:c r="B1070" s="180" t="str">
        <x:v>analyses/mated_i18/RESULTS.json</x:v>
      </x:c>
      <x:c r="C1070" s="180" t="str">
        <x:v>7466a6278a904f43d085330b5b6057d7fa92c8d24156eb7ea875f35bc42044d2</x:v>
      </x:c>
    </x:row>
    <x:row r="1071" ht="30" customHeight="1">
      <x:c r="A1071" s="219" t="str">
        <x:v>MECH-02</x:v>
      </x:c>
      <x:c r="B1071" s="219" t="str">
        <x:v>analyses/service_i19/RESULTS.json</x:v>
      </x:c>
      <x:c r="C1071" s="219" t="str">
        <x:v>06cbb09e55a98a0039d0cab06f26b85f8af741c8b1c075991283a397f94f47fe</x:v>
      </x:c>
    </x:row>
    <x:row r="1072" ht="30" customHeight="1">
      <x:c r="A1072" s="180" t="str">
        <x:v>MECH-02</x:v>
      </x:c>
      <x:c r="B1072" s="180" t="str">
        <x:v>current/MANUFACTURING_AND_ASSEMBLY.md</x:v>
      </x:c>
      <x:c r="C1072" s="180" t="str">
        <x:v>5b7bbc8bc09607b8d282663da0a184df3605dfb68d3f5ea0269e241842184c4d</x:v>
      </x:c>
    </x:row>
    <x:row r="1073" ht="30" customHeight="1">
      <x:c r="A1073" s="219" t="str">
        <x:v>MECH-03</x:v>
      </x:c>
      <x:c r="B1073" s="219" t="str">
        <x:v>lanes/mechanics/FINAL_COMPONENT_ENVELOPES.json</x:v>
      </x:c>
      <x:c r="C1073" s="219" t="str">
        <x:v>e9b8c89e865f53a93ed458ce690dc310f3fd9df0b8eaf39658492fbd2b4bbbd1</x:v>
      </x:c>
    </x:row>
    <x:row r="1074" ht="30" customHeight="1">
      <x:c r="A1074" s="180" t="str">
        <x:v>MECH-03</x:v>
      </x:c>
      <x:c r="B1074" s="180" t="str">
        <x:v>lanes/mechanics/FINAL_SOURCE_BINDING.json</x:v>
      </x:c>
      <x:c r="C1074" s="180" t="str">
        <x:v>4a607ecf994508b22f6099810cb7c5e4e778738782e1d7f7f64a47bf98eedce5</x:v>
      </x:c>
    </x:row>
    <x:row r="1075" ht="30" customHeight="1">
      <x:c r="A1075" s="219" t="str">
        <x:v>MECH-03</x:v>
      </x:c>
      <x:c r="B1075" s="219" t="str">
        <x:v>lanes/mechanics/STRUCTURAL_SERVICE_MODEL.json</x:v>
      </x:c>
      <x:c r="C1075" s="219" t="str">
        <x:v>e701cb8641ebef7f6ddd35a96acff390868b686cd32018fd59213fa1f32c5ecc</x:v>
      </x:c>
    </x:row>
    <x:row r="1076" ht="30" customHeight="1">
      <x:c r="A1076" s="180" t="str">
        <x:v>MECH-03</x:v>
      </x:c>
      <x:c r="B1076" s="180" t="str">
        <x:v>analyses/assembly_handling/PRIMARY_BODY_HEIGHT_ADDENDUM.json</x:v>
      </x:c>
      <x:c r="C1076" s="180" t="str">
        <x:v>7fdd606347fd74861dc3994a18d9bf8fe090e02b338c074a8d3502b6fb382bce</x:v>
      </x:c>
    </x:row>
    <x:row r="1077" ht="30" customHeight="1">
      <x:c r="A1077" s="219" t="str">
        <x:v>MECH-03</x:v>
      </x:c>
      <x:c r="B1077" s="219" t="str">
        <x:v>lanes/mechanics/THERMAL_CONTACT_T01_MODEL.json</x:v>
      </x:c>
      <x:c r="C1077" s="219" t="str">
        <x:v>a5fc11981a3bca81c2dc343bd87a0b618e391770088be932934004bc68df4f88</x:v>
      </x:c>
    </x:row>
    <x:row r="1078" ht="30" customHeight="1">
      <x:c r="A1078" s="180" t="str">
        <x:v>MECH-03</x:v>
      </x:c>
      <x:c r="B1078" s="180" t="str">
        <x:v>lanes/mechanics/THERMAL_CONTACT_T01_REVIEW.md</x:v>
      </x:c>
      <x:c r="C1078" s="180" t="str">
        <x:v>d3c23b6dc0e48a09471cc415981a3bfd6baa1235d81735f6085eb17c194bba4f</x:v>
      </x:c>
    </x:row>
    <x:row r="1079" ht="30" customHeight="1">
      <x:c r="A1079" s="219" t="str">
        <x:v>MECH-03</x:v>
      </x:c>
      <x:c r="B1079" s="219" t="str">
        <x:v>lanes/mechanics/THERMAL_CONTACT_T01_INVERSE_REQUIREMENTS.json</x:v>
      </x:c>
      <x:c r="C1079" s="219" t="str">
        <x:v>bf381e8241a51ea9e2eaf098c0cd03e2bb6e5ba870fbe88e6daa010cbeda8df9</x:v>
      </x:c>
    </x:row>
    <x:row r="1080" ht="30" customHeight="1">
      <x:c r="A1080" s="180" t="str">
        <x:v>MECH-03</x:v>
      </x:c>
      <x:c r="B1080" s="180" t="str">
        <x:v>analyses/mated_i18/RESULTS.json</x:v>
      </x:c>
      <x:c r="C1080" s="180" t="str">
        <x:v>7466a6278a904f43d085330b5b6057d7fa92c8d24156eb7ea875f35bc42044d2</x:v>
      </x:c>
    </x:row>
    <x:row r="1081" ht="30" customHeight="1">
      <x:c r="A1081" s="219" t="str">
        <x:v>MECH-03</x:v>
      </x:c>
      <x:c r="B1081" s="219" t="str">
        <x:v>analyses/service_i19/RESULTS.json</x:v>
      </x:c>
      <x:c r="C1081" s="219" t="str">
        <x:v>06cbb09e55a98a0039d0cab06f26b85f8af741c8b1c075991283a397f94f47fe</x:v>
      </x:c>
    </x:row>
    <x:row r="1082" ht="30" customHeight="1">
      <x:c r="A1082" s="180" t="str">
        <x:v>MECH-03</x:v>
      </x:c>
      <x:c r="B1082" s="180" t="str">
        <x:v>current/MANUFACTURING_AND_ASSEMBLY.md</x:v>
      </x:c>
      <x:c r="C1082" s="180" t="str">
        <x:v>5b7bbc8bc09607b8d282663da0a184df3605dfb68d3f5ea0269e241842184c4d</x:v>
      </x:c>
    </x:row>
    <x:row r="1083" ht="30" customHeight="1">
      <x:c r="A1083" s="219" t="str">
        <x:v>MECH-04</x:v>
      </x:c>
      <x:c r="B1083" s="219" t="str">
        <x:v>analyses/assembly_handling/EXACT_MPN_HANDLING_REGISTER.json</x:v>
      </x:c>
      <x:c r="C1083" s="219" t="str">
        <x:v>8b75ad02a30de0d34ab9ac955fc38228d618ae520889c8d6955a7b978bdd9e06</x:v>
      </x:c>
    </x:row>
    <x:row r="1084" ht="30" customHeight="1">
      <x:c r="A1084" s="180" t="str">
        <x:v>MECH-04</x:v>
      </x:c>
      <x:c r="B1084" s="180" t="str">
        <x:v>analyses/assembly_handling/PROCESS_RECONCILIATION.md</x:v>
      </x:c>
      <x:c r="C1084" s="180" t="str">
        <x:v>238614f0abeea7b3234c431093d78679c59a5ae4b5b9b15c55e0d39de7561305</x:v>
      </x:c>
    </x:row>
    <x:row r="1085" ht="30" customHeight="1">
      <x:c r="A1085" s="219" t="str">
        <x:v>MECH-04</x:v>
      </x:c>
      <x:c r="B1085" s="219" t="str">
        <x:v>lanes/mechanics/ASSEMBLY_PROCESS_RVB22.md</x:v>
      </x:c>
      <x:c r="C1085" s="219" t="str">
        <x:v>e9f510a20e18d6d8a2cf6b264640d7c7aec0445b876b6c7b2a70f247197d20e7</x:v>
      </x:c>
    </x:row>
    <x:row r="1086" ht="30" customHeight="1">
      <x:c r="A1086" s="180" t="str">
        <x:v>MECH-04</x:v>
      </x:c>
      <x:c r="B1086" s="180" t="str">
        <x:v>analyses/mated_i18/RESULTS.json</x:v>
      </x:c>
      <x:c r="C1086" s="180" t="str">
        <x:v>7466a6278a904f43d085330b5b6057d7fa92c8d24156eb7ea875f35bc42044d2</x:v>
      </x:c>
    </x:row>
    <x:row r="1087" ht="30" customHeight="1">
      <x:c r="A1087" s="219" t="str">
        <x:v>MECH-04</x:v>
      </x:c>
      <x:c r="B1087" s="219" t="str">
        <x:v>analyses/service_i19/RESULTS.json</x:v>
      </x:c>
      <x:c r="C1087" s="219" t="str">
        <x:v>06cbb09e55a98a0039d0cab06f26b85f8af741c8b1c075991283a397f94f47fe</x:v>
      </x:c>
    </x:row>
    <x:row r="1088" ht="30" customHeight="1">
      <x:c r="A1088" s="180" t="str">
        <x:v>MECH-04</x:v>
      </x:c>
      <x:c r="B1088" s="180" t="str">
        <x:v>current/MANUFACTURING_AND_ASSEMBLY.md</x:v>
      </x:c>
      <x:c r="C1088" s="180" t="str">
        <x:v>5b7bbc8bc09607b8d282663da0a184df3605dfb68d3f5ea0269e241842184c4d</x:v>
      </x:c>
    </x:row>
    <x:row r="1089" ht="30" customHeight="1">
      <x:c r="A1089" s="219" t="str">
        <x:v>MECH-05</x:v>
      </x:c>
      <x:c r="B1089" s="219" t="str">
        <x:v>lanes/mechanics/FINAL_COMPONENT_ENVELOPES.json</x:v>
      </x:c>
      <x:c r="C1089" s="219" t="str">
        <x:v>e9b8c89e865f53a93ed458ce690dc310f3fd9df0b8eaf39658492fbd2b4bbbd1</x:v>
      </x:c>
    </x:row>
    <x:row r="1090" ht="30" customHeight="1">
      <x:c r="A1090" s="180" t="str">
        <x:v>MECH-05</x:v>
      </x:c>
      <x:c r="B1090" s="180" t="str">
        <x:v>lanes/mechanics/FINAL_SOURCE_BINDING.json</x:v>
      </x:c>
      <x:c r="C1090" s="180" t="str">
        <x:v>4a607ecf994508b22f6099810cb7c5e4e778738782e1d7f7f64a47bf98eedce5</x:v>
      </x:c>
    </x:row>
    <x:row r="1091" ht="30" customHeight="1">
      <x:c r="A1091" s="219" t="str">
        <x:v>MECH-05</x:v>
      </x:c>
      <x:c r="B1091" s="219" t="str">
        <x:v>lanes/mechanics/STRUCTURAL_SERVICE_MODEL.json</x:v>
      </x:c>
      <x:c r="C1091" s="219" t="str">
        <x:v>e701cb8641ebef7f6ddd35a96acff390868b686cd32018fd59213fa1f32c5ecc</x:v>
      </x:c>
    </x:row>
    <x:row r="1092" ht="30" customHeight="1">
      <x:c r="A1092" s="180" t="str">
        <x:v>MECH-05</x:v>
      </x:c>
      <x:c r="B1092" s="180" t="str">
        <x:v>analyses/assembly_handling/PRIMARY_BODY_HEIGHT_ADDENDUM.json</x:v>
      </x:c>
      <x:c r="C1092" s="180" t="str">
        <x:v>7fdd606347fd74861dc3994a18d9bf8fe090e02b338c074a8d3502b6fb382bce</x:v>
      </x:c>
    </x:row>
    <x:row r="1093" ht="30" customHeight="1">
      <x:c r="A1093" s="219" t="str">
        <x:v>MECH-05</x:v>
      </x:c>
      <x:c r="B1093" s="219" t="str">
        <x:v>lanes/mechanics/THERMAL_CONTACT_T01_MODEL.json</x:v>
      </x:c>
      <x:c r="C1093" s="219" t="str">
        <x:v>a5fc11981a3bca81c2dc343bd87a0b618e391770088be932934004bc68df4f88</x:v>
      </x:c>
    </x:row>
    <x:row r="1094" ht="30" customHeight="1">
      <x:c r="A1094" s="180" t="str">
        <x:v>MECH-05</x:v>
      </x:c>
      <x:c r="B1094" s="180" t="str">
        <x:v>lanes/mechanics/THERMAL_CONTACT_T01_REVIEW.md</x:v>
      </x:c>
      <x:c r="C1094" s="180" t="str">
        <x:v>d3c23b6dc0e48a09471cc415981a3bfd6baa1235d81735f6085eb17c194bba4f</x:v>
      </x:c>
    </x:row>
    <x:row r="1095" ht="30" customHeight="1">
      <x:c r="A1095" s="219" t="str">
        <x:v>MECH-05</x:v>
      </x:c>
      <x:c r="B1095" s="219" t="str">
        <x:v>lanes/mechanics/THERMAL_CONTACT_T01_INVERSE_REQUIREMENTS.json</x:v>
      </x:c>
      <x:c r="C1095" s="219" t="str">
        <x:v>bf381e8241a51ea9e2eaf098c0cd03e2bb6e5ba870fbe88e6daa010cbeda8df9</x:v>
      </x:c>
    </x:row>
    <x:row r="1096" ht="30" customHeight="1">
      <x:c r="A1096" s="180" t="str">
        <x:v>MECH-05</x:v>
      </x:c>
      <x:c r="B1096" s="180" t="str">
        <x:v>analyses/mated_i18/RESULTS.json</x:v>
      </x:c>
      <x:c r="C1096" s="180" t="str">
        <x:v>7466a6278a904f43d085330b5b6057d7fa92c8d24156eb7ea875f35bc42044d2</x:v>
      </x:c>
    </x:row>
    <x:row r="1097" ht="30" customHeight="1">
      <x:c r="A1097" s="219" t="str">
        <x:v>MECH-05</x:v>
      </x:c>
      <x:c r="B1097" s="219" t="str">
        <x:v>analyses/service_i19/RESULTS.json</x:v>
      </x:c>
      <x:c r="C1097" s="219" t="str">
        <x:v>06cbb09e55a98a0039d0cab06f26b85f8af741c8b1c075991283a397f94f47fe</x:v>
      </x:c>
    </x:row>
    <x:row r="1098" ht="30" customHeight="1">
      <x:c r="A1098" s="180" t="str">
        <x:v>MECH-05</x:v>
      </x:c>
      <x:c r="B1098" s="180" t="str">
        <x:v>current/MANUFACTURING_AND_ASSEMBLY.md</x:v>
      </x:c>
      <x:c r="C1098" s="180" t="str">
        <x:v>5b7bbc8bc09607b8d282663da0a184df3605dfb68d3f5ea0269e241842184c4d</x:v>
      </x:c>
    </x:row>
    <x:row r="1099" ht="30" customHeight="1">
      <x:c r="A1099" s="219" t="str">
        <x:v>MECH-06</x:v>
      </x:c>
      <x:c r="B1099" s="219" t="str">
        <x:v>lanes/mechanics/FINAL_COMPONENT_ENVELOPES.json</x:v>
      </x:c>
      <x:c r="C1099" s="219" t="str">
        <x:v>e9b8c89e865f53a93ed458ce690dc310f3fd9df0b8eaf39658492fbd2b4bbbd1</x:v>
      </x:c>
    </x:row>
    <x:row r="1100" ht="30" customHeight="1">
      <x:c r="A1100" s="180" t="str">
        <x:v>MECH-06</x:v>
      </x:c>
      <x:c r="B1100" s="180" t="str">
        <x:v>lanes/mechanics/FINAL_SOURCE_BINDING.json</x:v>
      </x:c>
      <x:c r="C1100" s="180" t="str">
        <x:v>4a607ecf994508b22f6099810cb7c5e4e778738782e1d7f7f64a47bf98eedce5</x:v>
      </x:c>
    </x:row>
    <x:row r="1101" ht="30" customHeight="1">
      <x:c r="A1101" s="219" t="str">
        <x:v>MECH-06</x:v>
      </x:c>
      <x:c r="B1101" s="219" t="str">
        <x:v>lanes/mechanics/STRUCTURAL_SERVICE_MODEL.json</x:v>
      </x:c>
      <x:c r="C1101" s="219" t="str">
        <x:v>e701cb8641ebef7f6ddd35a96acff390868b686cd32018fd59213fa1f32c5ecc</x:v>
      </x:c>
    </x:row>
    <x:row r="1102" ht="30" customHeight="1">
      <x:c r="A1102" s="180" t="str">
        <x:v>MECH-06</x:v>
      </x:c>
      <x:c r="B1102" s="180" t="str">
        <x:v>analyses/assembly_handling/PRIMARY_BODY_HEIGHT_ADDENDUM.json</x:v>
      </x:c>
      <x:c r="C1102" s="180" t="str">
        <x:v>7fdd606347fd74861dc3994a18d9bf8fe090e02b338c074a8d3502b6fb382bce</x:v>
      </x:c>
    </x:row>
    <x:row r="1103" ht="30" customHeight="1">
      <x:c r="A1103" s="219" t="str">
        <x:v>MECH-06</x:v>
      </x:c>
      <x:c r="B1103" s="219" t="str">
        <x:v>lanes/mechanics/THERMAL_CONTACT_T01_MODEL.json</x:v>
      </x:c>
      <x:c r="C1103" s="219" t="str">
        <x:v>a5fc11981a3bca81c2dc343bd87a0b618e391770088be932934004bc68df4f88</x:v>
      </x:c>
    </x:row>
    <x:row r="1104" ht="30" customHeight="1">
      <x:c r="A1104" s="180" t="str">
        <x:v>MECH-06</x:v>
      </x:c>
      <x:c r="B1104" s="180" t="str">
        <x:v>lanes/mechanics/THERMAL_CONTACT_T01_REVIEW.md</x:v>
      </x:c>
      <x:c r="C1104" s="180" t="str">
        <x:v>d3c23b6dc0e48a09471cc415981a3bfd6baa1235d81735f6085eb17c194bba4f</x:v>
      </x:c>
    </x:row>
    <x:row r="1105" ht="30" customHeight="1">
      <x:c r="A1105" s="219" t="str">
        <x:v>MECH-06</x:v>
      </x:c>
      <x:c r="B1105" s="219" t="str">
        <x:v>lanes/mechanics/THERMAL_CONTACT_T01_INVERSE_REQUIREMENTS.json</x:v>
      </x:c>
      <x:c r="C1105" s="219" t="str">
        <x:v>bf381e8241a51ea9e2eaf098c0cd03e2bb6e5ba870fbe88e6daa010cbeda8df9</x:v>
      </x:c>
    </x:row>
    <x:row r="1106" ht="30" customHeight="1">
      <x:c r="A1106" s="180" t="str">
        <x:v>MECH-06</x:v>
      </x:c>
      <x:c r="B1106" s="180" t="str">
        <x:v>analyses/mated_i18/RESULTS.json</x:v>
      </x:c>
      <x:c r="C1106" s="180" t="str">
        <x:v>7466a6278a904f43d085330b5b6057d7fa92c8d24156eb7ea875f35bc42044d2</x:v>
      </x:c>
    </x:row>
    <x:row r="1107" ht="30" customHeight="1">
      <x:c r="A1107" s="219" t="str">
        <x:v>MECH-06</x:v>
      </x:c>
      <x:c r="B1107" s="219" t="str">
        <x:v>analyses/service_i19/RESULTS.json</x:v>
      </x:c>
      <x:c r="C1107" s="219" t="str">
        <x:v>06cbb09e55a98a0039d0cab06f26b85f8af741c8b1c075991283a397f94f47fe</x:v>
      </x:c>
    </x:row>
    <x:row r="1108" ht="30" customHeight="1">
      <x:c r="A1108" s="180" t="str">
        <x:v>MECH-06</x:v>
      </x:c>
      <x:c r="B1108" s="180" t="str">
        <x:v>current/MANUFACTURING_AND_ASSEMBLY.md</x:v>
      </x:c>
      <x:c r="C1108" s="180" t="str">
        <x:v>5b7bbc8bc09607b8d282663da0a184df3605dfb68d3f5ea0269e241842184c4d</x:v>
      </x:c>
    </x:row>
    <x:row r="1109" ht="30" customHeight="1">
      <x:c r="A1109" s="219" t="str">
        <x:v>MECH-07</x:v>
      </x:c>
      <x:c r="B1109" s="219" t="str">
        <x:v>lanes/mechanics/FINAL_COMPONENT_ENVELOPES.json</x:v>
      </x:c>
      <x:c r="C1109" s="219" t="str">
        <x:v>e9b8c89e865f53a93ed458ce690dc310f3fd9df0b8eaf39658492fbd2b4bbbd1</x:v>
      </x:c>
    </x:row>
    <x:row r="1110" ht="30" customHeight="1">
      <x:c r="A1110" s="180" t="str">
        <x:v>MECH-07</x:v>
      </x:c>
      <x:c r="B1110" s="180" t="str">
        <x:v>lanes/mechanics/FINAL_SOURCE_BINDING.json</x:v>
      </x:c>
      <x:c r="C1110" s="180" t="str">
        <x:v>4a607ecf994508b22f6099810cb7c5e4e778738782e1d7f7f64a47bf98eedce5</x:v>
      </x:c>
    </x:row>
    <x:row r="1111" ht="30" customHeight="1">
      <x:c r="A1111" s="219" t="str">
        <x:v>MECH-07</x:v>
      </x:c>
      <x:c r="B1111" s="219" t="str">
        <x:v>lanes/mechanics/STRUCTURAL_SERVICE_MODEL.json</x:v>
      </x:c>
      <x:c r="C1111" s="219" t="str">
        <x:v>e701cb8641ebef7f6ddd35a96acff390868b686cd32018fd59213fa1f32c5ecc</x:v>
      </x:c>
    </x:row>
    <x:row r="1112" ht="30" customHeight="1">
      <x:c r="A1112" s="180" t="str">
        <x:v>MECH-07</x:v>
      </x:c>
      <x:c r="B1112" s="180" t="str">
        <x:v>analyses/assembly_handling/PRIMARY_BODY_HEIGHT_ADDENDUM.json</x:v>
      </x:c>
      <x:c r="C1112" s="180" t="str">
        <x:v>7fdd606347fd74861dc3994a18d9bf8fe090e02b338c074a8d3502b6fb382bce</x:v>
      </x:c>
    </x:row>
    <x:row r="1113" ht="30" customHeight="1">
      <x:c r="A1113" s="219" t="str">
        <x:v>MECH-07</x:v>
      </x:c>
      <x:c r="B1113" s="219" t="str">
        <x:v>lanes/mechanics/THERMAL_CONTACT_T01_MODEL.json</x:v>
      </x:c>
      <x:c r="C1113" s="219" t="str">
        <x:v>a5fc11981a3bca81c2dc343bd87a0b618e391770088be932934004bc68df4f88</x:v>
      </x:c>
    </x:row>
    <x:row r="1114" ht="30" customHeight="1">
      <x:c r="A1114" s="180" t="str">
        <x:v>MECH-07</x:v>
      </x:c>
      <x:c r="B1114" s="180" t="str">
        <x:v>lanes/mechanics/THERMAL_CONTACT_T01_REVIEW.md</x:v>
      </x:c>
      <x:c r="C1114" s="180" t="str">
        <x:v>d3c23b6dc0e48a09471cc415981a3bfd6baa1235d81735f6085eb17c194bba4f</x:v>
      </x:c>
    </x:row>
    <x:row r="1115" ht="30" customHeight="1">
      <x:c r="A1115" s="219" t="str">
        <x:v>MECH-07</x:v>
      </x:c>
      <x:c r="B1115" s="219" t="str">
        <x:v>lanes/mechanics/THERMAL_CONTACT_T01_INVERSE_REQUIREMENTS.json</x:v>
      </x:c>
      <x:c r="C1115" s="219" t="str">
        <x:v>bf381e8241a51ea9e2eaf098c0cd03e2bb6e5ba870fbe88e6daa010cbeda8df9</x:v>
      </x:c>
    </x:row>
    <x:row r="1116" ht="30" customHeight="1">
      <x:c r="A1116" s="180" t="str">
        <x:v>MECH-07</x:v>
      </x:c>
      <x:c r="B1116" s="180" t="str">
        <x:v>analyses/mated_i18/RESULTS.json</x:v>
      </x:c>
      <x:c r="C1116" s="180" t="str">
        <x:v>7466a6278a904f43d085330b5b6057d7fa92c8d24156eb7ea875f35bc42044d2</x:v>
      </x:c>
    </x:row>
    <x:row r="1117" ht="30" customHeight="1">
      <x:c r="A1117" s="219" t="str">
        <x:v>MECH-07</x:v>
      </x:c>
      <x:c r="B1117" s="219" t="str">
        <x:v>analyses/service_i19/RESULTS.json</x:v>
      </x:c>
      <x:c r="C1117" s="219" t="str">
        <x:v>06cbb09e55a98a0039d0cab06f26b85f8af741c8b1c075991283a397f94f47fe</x:v>
      </x:c>
    </x:row>
    <x:row r="1118" ht="30" customHeight="1">
      <x:c r="A1118" s="180" t="str">
        <x:v>MECH-07</x:v>
      </x:c>
      <x:c r="B1118" s="180" t="str">
        <x:v>current/MANUFACTURING_AND_ASSEMBLY.md</x:v>
      </x:c>
      <x:c r="C1118" s="180" t="str">
        <x:v>5b7bbc8bc09607b8d282663da0a184df3605dfb68d3f5ea0269e241842184c4d</x:v>
      </x:c>
    </x:row>
    <x:row r="1119" ht="30" customHeight="1">
      <x:c r="A1119" s="219" t="str">
        <x:v>MECH-08</x:v>
      </x:c>
      <x:c r="B1119" s="219" t="str">
        <x:v>lanes/mechanics/FINAL_COMPONENT_ENVELOPES.json</x:v>
      </x:c>
      <x:c r="C1119" s="219" t="str">
        <x:v>e9b8c89e865f53a93ed458ce690dc310f3fd9df0b8eaf39658492fbd2b4bbbd1</x:v>
      </x:c>
    </x:row>
    <x:row r="1120" ht="30" customHeight="1">
      <x:c r="A1120" s="180" t="str">
        <x:v>MECH-08</x:v>
      </x:c>
      <x:c r="B1120" s="180" t="str">
        <x:v>lanes/mechanics/FINAL_SOURCE_BINDING.json</x:v>
      </x:c>
      <x:c r="C1120" s="180" t="str">
        <x:v>4a607ecf994508b22f6099810cb7c5e4e778738782e1d7f7f64a47bf98eedce5</x:v>
      </x:c>
    </x:row>
    <x:row r="1121" ht="30" customHeight="1">
      <x:c r="A1121" s="219" t="str">
        <x:v>MECH-08</x:v>
      </x:c>
      <x:c r="B1121" s="219" t="str">
        <x:v>lanes/mechanics/STRUCTURAL_SERVICE_MODEL.json</x:v>
      </x:c>
      <x:c r="C1121" s="219" t="str">
        <x:v>e701cb8641ebef7f6ddd35a96acff390868b686cd32018fd59213fa1f32c5ecc</x:v>
      </x:c>
    </x:row>
    <x:row r="1122" ht="30" customHeight="1">
      <x:c r="A1122" s="180" t="str">
        <x:v>MECH-08</x:v>
      </x:c>
      <x:c r="B1122" s="180" t="str">
        <x:v>analyses/assembly_handling/PRIMARY_BODY_HEIGHT_ADDENDUM.json</x:v>
      </x:c>
      <x:c r="C1122" s="180" t="str">
        <x:v>7fdd606347fd74861dc3994a18d9bf8fe090e02b338c074a8d3502b6fb382bce</x:v>
      </x:c>
    </x:row>
    <x:row r="1123" ht="30" customHeight="1">
      <x:c r="A1123" s="219" t="str">
        <x:v>MECH-08</x:v>
      </x:c>
      <x:c r="B1123" s="219" t="str">
        <x:v>lanes/mechanics/THERMAL_CONTACT_T01_MODEL.json</x:v>
      </x:c>
      <x:c r="C1123" s="219" t="str">
        <x:v>a5fc11981a3bca81c2dc343bd87a0b618e391770088be932934004bc68df4f88</x:v>
      </x:c>
    </x:row>
    <x:row r="1124" ht="30" customHeight="1">
      <x:c r="A1124" s="180" t="str">
        <x:v>MECH-08</x:v>
      </x:c>
      <x:c r="B1124" s="180" t="str">
        <x:v>lanes/mechanics/THERMAL_CONTACT_T01_REVIEW.md</x:v>
      </x:c>
      <x:c r="C1124" s="180" t="str">
        <x:v>d3c23b6dc0e48a09471cc415981a3bfd6baa1235d81735f6085eb17c194bba4f</x:v>
      </x:c>
    </x:row>
    <x:row r="1125" ht="30" customHeight="1">
      <x:c r="A1125" s="219" t="str">
        <x:v>MECH-08</x:v>
      </x:c>
      <x:c r="B1125" s="219" t="str">
        <x:v>lanes/mechanics/THERMAL_CONTACT_T01_INVERSE_REQUIREMENTS.json</x:v>
      </x:c>
      <x:c r="C1125" s="219" t="str">
        <x:v>bf381e8241a51ea9e2eaf098c0cd03e2bb6e5ba870fbe88e6daa010cbeda8df9</x:v>
      </x:c>
    </x:row>
    <x:row r="1126" ht="30" customHeight="1">
      <x:c r="A1126" s="180" t="str">
        <x:v>MECH-08</x:v>
      </x:c>
      <x:c r="B1126" s="180" t="str">
        <x:v>analyses/mated_i18/RESULTS.json</x:v>
      </x:c>
      <x:c r="C1126" s="180" t="str">
        <x:v>7466a6278a904f43d085330b5b6057d7fa92c8d24156eb7ea875f35bc42044d2</x:v>
      </x:c>
    </x:row>
    <x:row r="1127" ht="30" customHeight="1">
      <x:c r="A1127" s="219" t="str">
        <x:v>MECH-08</x:v>
      </x:c>
      <x:c r="B1127" s="219" t="str">
        <x:v>analyses/service_i19/RESULTS.json</x:v>
      </x:c>
      <x:c r="C1127" s="219" t="str">
        <x:v>06cbb09e55a98a0039d0cab06f26b85f8af741c8b1c075991283a397f94f47fe</x:v>
      </x:c>
    </x:row>
    <x:row r="1128" ht="30" customHeight="1">
      <x:c r="A1128" s="180" t="str">
        <x:v>MECH-08</x:v>
      </x:c>
      <x:c r="B1128" s="180" t="str">
        <x:v>current/MANUFACTURING_AND_ASSEMBLY.md</x:v>
      </x:c>
      <x:c r="C1128" s="180" t="str">
        <x:v>5b7bbc8bc09607b8d282663da0a184df3605dfb68d3f5ea0269e241842184c4d</x:v>
      </x:c>
    </x:row>
    <x:row r="1129" ht="30" customHeight="1">
      <x:c r="A1129" s="219" t="str">
        <x:v>MECH-09</x:v>
      </x:c>
      <x:c r="B1129" s="219" t="str">
        <x:v>lanes/mechanics/FINAL_COMPONENT_ENVELOPES.json</x:v>
      </x:c>
      <x:c r="C1129" s="219" t="str">
        <x:v>e9b8c89e865f53a93ed458ce690dc310f3fd9df0b8eaf39658492fbd2b4bbbd1</x:v>
      </x:c>
    </x:row>
    <x:row r="1130" ht="30" customHeight="1">
      <x:c r="A1130" s="180" t="str">
        <x:v>MECH-09</x:v>
      </x:c>
      <x:c r="B1130" s="180" t="str">
        <x:v>lanes/mechanics/FINAL_SOURCE_BINDING.json</x:v>
      </x:c>
      <x:c r="C1130" s="180" t="str">
        <x:v>4a607ecf994508b22f6099810cb7c5e4e778738782e1d7f7f64a47bf98eedce5</x:v>
      </x:c>
    </x:row>
    <x:row r="1131" ht="30" customHeight="1">
      <x:c r="A1131" s="219" t="str">
        <x:v>MECH-09</x:v>
      </x:c>
      <x:c r="B1131" s="219" t="str">
        <x:v>lanes/mechanics/STRUCTURAL_SERVICE_MODEL.json</x:v>
      </x:c>
      <x:c r="C1131" s="219" t="str">
        <x:v>e701cb8641ebef7f6ddd35a96acff390868b686cd32018fd59213fa1f32c5ecc</x:v>
      </x:c>
    </x:row>
    <x:row r="1132" ht="30" customHeight="1">
      <x:c r="A1132" s="180" t="str">
        <x:v>MECH-09</x:v>
      </x:c>
      <x:c r="B1132" s="180" t="str">
        <x:v>analyses/assembly_handling/PRIMARY_BODY_HEIGHT_ADDENDUM.json</x:v>
      </x:c>
      <x:c r="C1132" s="180" t="str">
        <x:v>7fdd606347fd74861dc3994a18d9bf8fe090e02b338c074a8d3502b6fb382bce</x:v>
      </x:c>
    </x:row>
    <x:row r="1133" ht="30" customHeight="1">
      <x:c r="A1133" s="219" t="str">
        <x:v>MECH-09</x:v>
      </x:c>
      <x:c r="B1133" s="219" t="str">
        <x:v>lanes/mechanics/THERMAL_CONTACT_T01_MODEL.json</x:v>
      </x:c>
      <x:c r="C1133" s="219" t="str">
        <x:v>a5fc11981a3bca81c2dc343bd87a0b618e391770088be932934004bc68df4f88</x:v>
      </x:c>
    </x:row>
    <x:row r="1134" ht="30" customHeight="1">
      <x:c r="A1134" s="180" t="str">
        <x:v>MECH-09</x:v>
      </x:c>
      <x:c r="B1134" s="180" t="str">
        <x:v>lanes/mechanics/THERMAL_CONTACT_T01_REVIEW.md</x:v>
      </x:c>
      <x:c r="C1134" s="180" t="str">
        <x:v>d3c23b6dc0e48a09471cc415981a3bfd6baa1235d81735f6085eb17c194bba4f</x:v>
      </x:c>
    </x:row>
    <x:row r="1135" ht="30" customHeight="1">
      <x:c r="A1135" s="219" t="str">
        <x:v>MECH-09</x:v>
      </x:c>
      <x:c r="B1135" s="219" t="str">
        <x:v>lanes/mechanics/THERMAL_CONTACT_T01_INVERSE_REQUIREMENTS.json</x:v>
      </x:c>
      <x:c r="C1135" s="219" t="str">
        <x:v>bf381e8241a51ea9e2eaf098c0cd03e2bb6e5ba870fbe88e6daa010cbeda8df9</x:v>
      </x:c>
    </x:row>
    <x:row r="1136" ht="30" customHeight="1">
      <x:c r="A1136" s="180" t="str">
        <x:v>MECH-09</x:v>
      </x:c>
      <x:c r="B1136" s="180" t="str">
        <x:v>analyses/mated_i18/RESULTS.json</x:v>
      </x:c>
      <x:c r="C1136" s="180" t="str">
        <x:v>7466a6278a904f43d085330b5b6057d7fa92c8d24156eb7ea875f35bc42044d2</x:v>
      </x:c>
    </x:row>
    <x:row r="1137" ht="30" customHeight="1">
      <x:c r="A1137" s="219" t="str">
        <x:v>MECH-09</x:v>
      </x:c>
      <x:c r="B1137" s="219" t="str">
        <x:v>analyses/service_i19/RESULTS.json</x:v>
      </x:c>
      <x:c r="C1137" s="219" t="str">
        <x:v>06cbb09e55a98a0039d0cab06f26b85f8af741c8b1c075991283a397f94f47fe</x:v>
      </x:c>
    </x:row>
    <x:row r="1138" ht="30" customHeight="1">
      <x:c r="A1138" s="180" t="str">
        <x:v>MECH-09</x:v>
      </x:c>
      <x:c r="B1138" s="180" t="str">
        <x:v>current/MANUFACTURING_AND_ASSEMBLY.md</x:v>
      </x:c>
      <x:c r="C1138" s="180" t="str">
        <x:v>5b7bbc8bc09607b8d282663da0a184df3605dfb68d3f5ea0269e241842184c4d</x:v>
      </x:c>
    </x:row>
    <x:row r="1139" ht="30" customHeight="1">
      <x:c r="A1139" s="219" t="str">
        <x:v>MECH-10</x:v>
      </x:c>
      <x:c r="B1139" s="219" t="str">
        <x:v>analyses/installation/DASHBOARD_EXPOSURE_AND_SERVICE.md</x:v>
      </x:c>
      <x:c r="C1139" s="219" t="str">
        <x:v>9875d08e5f9c94bc8a752d9f7372da234a2311a0a80bf4d7aa8ed15e9dbefd48</x:v>
      </x:c>
    </x:row>
    <x:row r="1140" ht="30" customHeight="1">
      <x:c r="A1140" s="180" t="str">
        <x:v>MECH-10</x:v>
      </x:c>
      <x:c r="B1140" s="180" t="str">
        <x:v>lanes/mechanics/MECHANICAL_INSTALLATION_RVB22.md</x:v>
      </x:c>
      <x:c r="C1140" s="180" t="str">
        <x:v>c537001620be1f1ddbec9d8ea77b9dc84cb5461fb1ffca843c448cf71d2b31d8</x:v>
      </x:c>
    </x:row>
    <x:row r="1141" ht="30" customHeight="1">
      <x:c r="A1141" s="219" t="str">
        <x:v>MECH-10</x:v>
      </x:c>
      <x:c r="B1141" s="219" t="str">
        <x:v>analyses/mated_i18/RESULTS.json</x:v>
      </x:c>
      <x:c r="C1141" s="219" t="str">
        <x:v>7466a6278a904f43d085330b5b6057d7fa92c8d24156eb7ea875f35bc42044d2</x:v>
      </x:c>
    </x:row>
    <x:row r="1142" ht="30" customHeight="1">
      <x:c r="A1142" s="180" t="str">
        <x:v>MECH-10</x:v>
      </x:c>
      <x:c r="B1142" s="180" t="str">
        <x:v>analyses/service_i19/RESULTS.json</x:v>
      </x:c>
      <x:c r="C1142" s="180" t="str">
        <x:v>06cbb09e55a98a0039d0cab06f26b85f8af741c8b1c075991283a397f94f47fe</x:v>
      </x:c>
    </x:row>
    <x:row r="1143" ht="30" customHeight="1">
      <x:c r="A1143" s="219" t="str">
        <x:v>MECH-10</x:v>
      </x:c>
      <x:c r="B1143" s="219" t="str">
        <x:v>current/MANUFACTURING_AND_ASSEMBLY.md</x:v>
      </x:c>
      <x:c r="C1143" s="219" t="str">
        <x:v>5b7bbc8bc09607b8d282663da0a184df3605dfb68d3f5ea0269e241842184c4d</x:v>
      </x:c>
    </x:row>
    <x:row r="1144" ht="30" customHeight="1">
      <x:c r="A1144" s="180" t="str">
        <x:v>THERM-01</x:v>
      </x:c>
      <x:c r="B1144" s="180" t="str">
        <x:v>lanes/mechanics/C03_CARRIER_CHECKS.json</x:v>
      </x:c>
      <x:c r="C1144" s="180" t="str">
        <x:v>3166345cfe697fbffdd4b0449248aad9422e63cac200a4f14f1d5ccadc1cf255</x:v>
      </x:c>
    </x:row>
    <x:row r="1145" ht="30" customHeight="1">
      <x:c r="A1145" s="219" t="str">
        <x:v>THERM-01</x:v>
      </x:c>
      <x:c r="B1145" s="219" t="str">
        <x:v>lanes/mechanics/RF_ACCESSORY_ISOLATION_CHECKS.json</x:v>
      </x:c>
      <x:c r="C1145" s="219" t="str">
        <x:v>7a18845ed0186f4fac17d2f51e3625d3570557b8b78ffc92e173e875fe6c3a1c</x:v>
      </x:c>
    </x:row>
    <x:row r="1146" ht="30" customHeight="1">
      <x:c r="A1146" s="180" t="str">
        <x:v>THERM-01</x:v>
      </x:c>
      <x:c r="B1146" s="180" t="str">
        <x:v>analyses/assembly_handling/PRIMARY_BODY_HEIGHT_ADDENDUM.json</x:v>
      </x:c>
      <x:c r="C1146" s="180" t="str">
        <x:v>7fdd606347fd74861dc3994a18d9bf8fe090e02b338c074a8d3502b6fb382bce</x:v>
      </x:c>
    </x:row>
    <x:row r="1147" ht="30" customHeight="1">
      <x:c r="A1147" s="219" t="str">
        <x:v>THERM-01</x:v>
      </x:c>
      <x:c r="B1147" s="219" t="str">
        <x:v>lanes/mechanics/FINAL_COMPONENT_ENVELOPES.json</x:v>
      </x:c>
      <x:c r="C1147" s="219" t="str">
        <x:v>e9b8c89e865f53a93ed458ce690dc310f3fd9df0b8eaf39658492fbd2b4bbbd1</x:v>
      </x:c>
    </x:row>
    <x:row r="1148" ht="30" customHeight="1">
      <x:c r="A1148" s="180" t="str">
        <x:v>THERM-01</x:v>
      </x:c>
      <x:c r="B1148" s="180" t="str">
        <x:v>lanes/mechanics/MECHANICAL_INSTALLATION_RVB22.md</x:v>
      </x:c>
      <x:c r="C1148" s="180" t="str">
        <x:v>c537001620be1f1ddbec9d8ea77b9dc84cb5461fb1ffca843c448cf71d2b31d8</x:v>
      </x:c>
    </x:row>
    <x:row r="1149" ht="30" customHeight="1">
      <x:c r="A1149" s="219" t="str">
        <x:v>THERM-01</x:v>
      </x:c>
      <x:c r="B1149" s="219" t="str">
        <x:v>lanes/mechanics/FINAL_SOURCE_BINDING.json</x:v>
      </x:c>
      <x:c r="C1149" s="219" t="str">
        <x:v>4a607ecf994508b22f6099810cb7c5e4e778738782e1d7f7f64a47bf98eedce5</x:v>
      </x:c>
    </x:row>
    <x:row r="1150" ht="30" customHeight="1">
      <x:c r="A1150" s="180" t="str">
        <x:v>THERM-01</x:v>
      </x:c>
      <x:c r="B1150" s="180" t="str">
        <x:v>analyses/thermal_i18/face_15.0/RESULTS.json</x:v>
      </x:c>
      <x:c r="C1150" s="180" t="str">
        <x:v>16fdd49fe0c3a49d56b3db6a056d6bb87f7696816f4a0db9facd60c1f48fb141</x:v>
      </x:c>
    </x:row>
    <x:row r="1151" ht="30" customHeight="1">
      <x:c r="A1151" s="219" t="str">
        <x:v>THERM-01</x:v>
      </x:c>
      <x:c r="B1151" s="219" t="str">
        <x:v>current/THERMAL_REVIEW.md</x:v>
      </x:c>
      <x:c r="C1151" s="219" t="str">
        <x:v>0ef6f6cbca650e06a088fb4c6ba06ee249c489a245f62bf01cb893a78f495ff1</x:v>
      </x:c>
    </x:row>
    <x:row r="1152" ht="30" customHeight="1">
      <x:c r="A1152" s="180" t="str">
        <x:v>THERM-02</x:v>
      </x:c>
      <x:c r="B1152" s="180" t="str">
        <x:v>lanes/mechanics/FINAL_COMPONENT_ENVELOPES.json</x:v>
      </x:c>
      <x:c r="C1152" s="180" t="str">
        <x:v>e9b8c89e865f53a93ed458ce690dc310f3fd9df0b8eaf39658492fbd2b4bbbd1</x:v>
      </x:c>
    </x:row>
    <x:row r="1153" ht="30" customHeight="1">
      <x:c r="A1153" s="219" t="str">
        <x:v>THERM-02</x:v>
      </x:c>
      <x:c r="B1153" s="219" t="str">
        <x:v>lanes/mechanics/FINAL_SOURCE_BINDING.json</x:v>
      </x:c>
      <x:c r="C1153" s="219" t="str">
        <x:v>4a607ecf994508b22f6099810cb7c5e4e778738782e1d7f7f64a47bf98eedce5</x:v>
      </x:c>
    </x:row>
    <x:row r="1154" ht="30" customHeight="1">
      <x:c r="A1154" s="180" t="str">
        <x:v>THERM-02</x:v>
      </x:c>
      <x:c r="B1154" s="180" t="str">
        <x:v>lanes/mechanics/STRUCTURAL_SERVICE_MODEL.json</x:v>
      </x:c>
      <x:c r="C1154" s="180" t="str">
        <x:v>e701cb8641ebef7f6ddd35a96acff390868b686cd32018fd59213fa1f32c5ecc</x:v>
      </x:c>
    </x:row>
    <x:row r="1155" ht="30" customHeight="1">
      <x:c r="A1155" s="219" t="str">
        <x:v>THERM-02</x:v>
      </x:c>
      <x:c r="B1155" s="219" t="str">
        <x:v>analyses/assembly_handling/PRIMARY_BODY_HEIGHT_ADDENDUM.json</x:v>
      </x:c>
      <x:c r="C1155" s="219" t="str">
        <x:v>7fdd606347fd74861dc3994a18d9bf8fe090e02b338c074a8d3502b6fb382bce</x:v>
      </x:c>
    </x:row>
    <x:row r="1156" ht="30" customHeight="1">
      <x:c r="A1156" s="180" t="str">
        <x:v>THERM-02</x:v>
      </x:c>
      <x:c r="B1156" s="180" t="str">
        <x:v>lanes/mechanics/THERMAL_CONTACT_T01_MODEL.json</x:v>
      </x:c>
      <x:c r="C1156" s="180" t="str">
        <x:v>a5fc11981a3bca81c2dc343bd87a0b618e391770088be932934004bc68df4f88</x:v>
      </x:c>
    </x:row>
    <x:row r="1157" ht="30" customHeight="1">
      <x:c r="A1157" s="219" t="str">
        <x:v>THERM-02</x:v>
      </x:c>
      <x:c r="B1157" s="219" t="str">
        <x:v>lanes/mechanics/THERMAL_CONTACT_T01_REVIEW.md</x:v>
      </x:c>
      <x:c r="C1157" s="219" t="str">
        <x:v>d3c23b6dc0e48a09471cc415981a3bfd6baa1235d81735f6085eb17c194bba4f</x:v>
      </x:c>
    </x:row>
    <x:row r="1158" ht="30" customHeight="1">
      <x:c r="A1158" s="180" t="str">
        <x:v>THERM-02</x:v>
      </x:c>
      <x:c r="B1158" s="180" t="str">
        <x:v>lanes/mechanics/THERMAL_CONTACT_T01_INVERSE_REQUIREMENTS.json</x:v>
      </x:c>
      <x:c r="C1158" s="180" t="str">
        <x:v>bf381e8241a51ea9e2eaf098c0cd03e2bb6e5ba870fbe88e6daa010cbeda8df9</x:v>
      </x:c>
    </x:row>
    <x:row r="1159" ht="30" customHeight="1">
      <x:c r="A1159" s="219" t="str">
        <x:v>THERM-02</x:v>
      </x:c>
      <x:c r="B1159" s="219" t="str">
        <x:v>analyses/thermal_i18/face_15.0/RESULTS.json</x:v>
      </x:c>
      <x:c r="C1159" s="219" t="str">
        <x:v>16fdd49fe0c3a49d56b3db6a056d6bb87f7696816f4a0db9facd60c1f48fb141</x:v>
      </x:c>
    </x:row>
    <x:row r="1160" ht="30" customHeight="1">
      <x:c r="A1160" s="180" t="str">
        <x:v>THERM-02</x:v>
      </x:c>
      <x:c r="B1160" s="180" t="str">
        <x:v>current/THERMAL_REVIEW.md</x:v>
      </x:c>
      <x:c r="C1160" s="180" t="str">
        <x:v>0ef6f6cbca650e06a088fb4c6ba06ee249c489a245f62bf01cb893a78f495ff1</x:v>
      </x:c>
    </x:row>
    <x:row r="1161" ht="30" customHeight="1">
      <x:c r="A1161" s="219" t="str">
        <x:v>THERM-03</x:v>
      </x:c>
      <x:c r="B1161" s="219" t="str">
        <x:v>lanes/mechanics/FINAL_COMPONENT_ENVELOPES.json</x:v>
      </x:c>
      <x:c r="C1161" s="219" t="str">
        <x:v>e9b8c89e865f53a93ed458ce690dc310f3fd9df0b8eaf39658492fbd2b4bbbd1</x:v>
      </x:c>
    </x:row>
    <x:row r="1162" ht="30" customHeight="1">
      <x:c r="A1162" s="180" t="str">
        <x:v>THERM-03</x:v>
      </x:c>
      <x:c r="B1162" s="180" t="str">
        <x:v>lanes/mechanics/FINAL_SOURCE_BINDING.json</x:v>
      </x:c>
      <x:c r="C1162" s="180" t="str">
        <x:v>4a607ecf994508b22f6099810cb7c5e4e778738782e1d7f7f64a47bf98eedce5</x:v>
      </x:c>
    </x:row>
    <x:row r="1163" ht="30" customHeight="1">
      <x:c r="A1163" s="219" t="str">
        <x:v>THERM-03</x:v>
      </x:c>
      <x:c r="B1163" s="219" t="str">
        <x:v>lanes/mechanics/STRUCTURAL_SERVICE_MODEL.json</x:v>
      </x:c>
      <x:c r="C1163" s="219" t="str">
        <x:v>e701cb8641ebef7f6ddd35a96acff390868b686cd32018fd59213fa1f32c5ecc</x:v>
      </x:c>
    </x:row>
    <x:row r="1164" ht="30" customHeight="1">
      <x:c r="A1164" s="180" t="str">
        <x:v>THERM-03</x:v>
      </x:c>
      <x:c r="B1164" s="180" t="str">
        <x:v>analyses/assembly_handling/PRIMARY_BODY_HEIGHT_ADDENDUM.json</x:v>
      </x:c>
      <x:c r="C1164" s="180" t="str">
        <x:v>7fdd606347fd74861dc3994a18d9bf8fe090e02b338c074a8d3502b6fb382bce</x:v>
      </x:c>
    </x:row>
    <x:row r="1165" ht="30" customHeight="1">
      <x:c r="A1165" s="219" t="str">
        <x:v>THERM-03</x:v>
      </x:c>
      <x:c r="B1165" s="219" t="str">
        <x:v>lanes/mechanics/THERMAL_CONTACT_T01_MODEL.json</x:v>
      </x:c>
      <x:c r="C1165" s="219" t="str">
        <x:v>a5fc11981a3bca81c2dc343bd87a0b618e391770088be932934004bc68df4f88</x:v>
      </x:c>
    </x:row>
    <x:row r="1166" ht="30" customHeight="1">
      <x:c r="A1166" s="180" t="str">
        <x:v>THERM-03</x:v>
      </x:c>
      <x:c r="B1166" s="180" t="str">
        <x:v>lanes/mechanics/THERMAL_CONTACT_T01_REVIEW.md</x:v>
      </x:c>
      <x:c r="C1166" s="180" t="str">
        <x:v>d3c23b6dc0e48a09471cc415981a3bfd6baa1235d81735f6085eb17c194bba4f</x:v>
      </x:c>
    </x:row>
    <x:row r="1167" ht="30" customHeight="1">
      <x:c r="A1167" s="219" t="str">
        <x:v>THERM-03</x:v>
      </x:c>
      <x:c r="B1167" s="219" t="str">
        <x:v>lanes/mechanics/THERMAL_CONTACT_T01_INVERSE_REQUIREMENTS.json</x:v>
      </x:c>
      <x:c r="C1167" s="219" t="str">
        <x:v>bf381e8241a51ea9e2eaf098c0cd03e2bb6e5ba870fbe88e6daa010cbeda8df9</x:v>
      </x:c>
    </x:row>
    <x:row r="1168" ht="30" customHeight="1">
      <x:c r="A1168" s="180" t="str">
        <x:v>THERM-03</x:v>
      </x:c>
      <x:c r="B1168" s="180" t="str">
        <x:v>analyses/thermal_i18/face_15.0/RESULTS.json</x:v>
      </x:c>
      <x:c r="C1168" s="180" t="str">
        <x:v>16fdd49fe0c3a49d56b3db6a056d6bb87f7696816f4a0db9facd60c1f48fb141</x:v>
      </x:c>
    </x:row>
    <x:row r="1169" ht="30" customHeight="1">
      <x:c r="A1169" s="219" t="str">
        <x:v>THERM-03</x:v>
      </x:c>
      <x:c r="B1169" s="219" t="str">
        <x:v>current/THERMAL_REVIEW.md</x:v>
      </x:c>
      <x:c r="C1169" s="219" t="str">
        <x:v>0ef6f6cbca650e06a088fb4c6ba06ee249c489a245f62bf01cb893a78f495ff1</x:v>
      </x:c>
    </x:row>
    <x:row r="1170" ht="30" customHeight="1">
      <x:c r="A1170" s="180" t="str">
        <x:v>THERM-04</x:v>
      </x:c>
      <x:c r="B1170" s="180" t="str">
        <x:v>lanes/firmware_oil/RECOVERED_FIRMWARE_TEST_RESULTS.json</x:v>
      </x:c>
      <x:c r="C1170" s="180" t="str">
        <x:v>c4c5df66ff54cba721fe8808062019f824df6e0b0c4869e78fd30626121dc725</x:v>
      </x:c>
    </x:row>
    <x:row r="1171" ht="30" customHeight="1">
      <x:c r="A1171" s="219" t="str">
        <x:v>THERM-04</x:v>
      </x:c>
      <x:c r="B1171" s="219" t="str">
        <x:v>lanes/firmware_oil/RECOVERY_CALIBRATION_GAIN_REDLINE.json</x:v>
      </x:c>
      <x:c r="C1171" s="219" t="str">
        <x:v>4156482b336bece382dae6dcf618b2f7a5c26456dc57aaa1b574e169bd04cd9c</x:v>
      </x:c>
    </x:row>
    <x:row r="1172" ht="30" customHeight="1">
      <x:c r="A1172" s="180" t="str">
        <x:v>THERM-04</x:v>
      </x:c>
      <x:c r="B1172" s="180" t="str">
        <x:v>interfaces/OIL_HARNESS_ERROR_SWEEP.json</x:v>
      </x:c>
      <x:c r="C1172" s="180" t="str">
        <x:v>1a0e3bbbfeb53fae48b38ab52575d6644f48d7ef4b534dd262f89c9cde0aa6a1</x:v>
      </x:c>
    </x:row>
    <x:row r="1173" ht="30" customHeight="1">
      <x:c r="A1173" s="219" t="str">
        <x:v>THERM-04</x:v>
      </x:c>
      <x:c r="B1173" s="219" t="str">
        <x:v>analyses/thermal_i18/face_15.0/RESULTS.json</x:v>
      </x:c>
      <x:c r="C1173" s="219" t="str">
        <x:v>16fdd49fe0c3a49d56b3db6a056d6bb87f7696816f4a0db9facd60c1f48fb141</x:v>
      </x:c>
    </x:row>
    <x:row r="1174" ht="30" customHeight="1">
      <x:c r="A1174" s="180" t="str">
        <x:v>THERM-04</x:v>
      </x:c>
      <x:c r="B1174" s="180" t="str">
        <x:v>current/THERMAL_REVIEW.md</x:v>
      </x:c>
      <x:c r="C1174" s="180" t="str">
        <x:v>0ef6f6cbca650e06a088fb4c6ba06ee249c489a245f62bf01cb893a78f495ff1</x:v>
      </x:c>
    </x:row>
    <x:row r="1175" ht="30" customHeight="1">
      <x:c r="A1175" s="219" t="str">
        <x:v>THERM-05</x:v>
      </x:c>
      <x:c r="B1175" s="219" t="str">
        <x:v>analyses/installation/DASHBOARD_EXPOSURE_AND_SERVICE.md</x:v>
      </x:c>
      <x:c r="C1175" s="219" t="str">
        <x:v>9875d08e5f9c94bc8a752d9f7372da234a2311a0a80bf4d7aa8ed15e9dbefd48</x:v>
      </x:c>
    </x:row>
    <x:row r="1176" ht="30" customHeight="1">
      <x:c r="A1176" s="180" t="str">
        <x:v>THERM-05</x:v>
      </x:c>
      <x:c r="B1176" s="180" t="str">
        <x:v>lanes/mechanics/MECHANICAL_INSTALLATION_RVB22.md</x:v>
      </x:c>
      <x:c r="C1176" s="180" t="str">
        <x:v>c537001620be1f1ddbec9d8ea77b9dc84cb5461fb1ffca843c448cf71d2b31d8</x:v>
      </x:c>
    </x:row>
    <x:row r="1177" ht="30" customHeight="1">
      <x:c r="A1177" s="219" t="str">
        <x:v>THERM-05</x:v>
      </x:c>
      <x:c r="B1177" s="219" t="str">
        <x:v>analyses/thermal_i18/face_15.0/RESULTS.json</x:v>
      </x:c>
      <x:c r="C1177" s="219" t="str">
        <x:v>16fdd49fe0c3a49d56b3db6a056d6bb87f7696816f4a0db9facd60c1f48fb141</x:v>
      </x:c>
    </x:row>
    <x:row r="1178" ht="30" customHeight="1">
      <x:c r="A1178" s="180" t="str">
        <x:v>THERM-05</x:v>
      </x:c>
      <x:c r="B1178" s="180" t="str">
        <x:v>current/THERMAL_REVIEW.md</x:v>
      </x:c>
      <x:c r="C1178" s="180" t="str">
        <x:v>0ef6f6cbca650e06a088fb4c6ba06ee249c489a245f62bf01cb893a78f495ff1</x:v>
      </x:c>
    </x:row>
    <x:row r="1179" ht="30" customHeight="1">
      <x:c r="A1179" s="219" t="str">
        <x:v>THERM-06</x:v>
      </x:c>
      <x:c r="B1179" s="219" t="str">
        <x:v>analyses/installation/DASHBOARD_EXPOSURE_AND_SERVICE.md</x:v>
      </x:c>
      <x:c r="C1179" s="219" t="str">
        <x:v>9875d08e5f9c94bc8a752d9f7372da234a2311a0a80bf4d7aa8ed15e9dbefd48</x:v>
      </x:c>
    </x:row>
    <x:row r="1180" ht="30" customHeight="1">
      <x:c r="A1180" s="180" t="str">
        <x:v>THERM-06</x:v>
      </x:c>
      <x:c r="B1180" s="180" t="str">
        <x:v>lanes/mechanics/MECHANICAL_INSTALLATION_RVB22.md</x:v>
      </x:c>
      <x:c r="C1180" s="180" t="str">
        <x:v>c537001620be1f1ddbec9d8ea77b9dc84cb5461fb1ffca843c448cf71d2b31d8</x:v>
      </x:c>
    </x:row>
    <x:row r="1181" ht="30" customHeight="1">
      <x:c r="A1181" s="219" t="str">
        <x:v>THERM-06</x:v>
      </x:c>
      <x:c r="B1181" s="219" t="str">
        <x:v>analyses/thermal_i18/face_15.0/RESULTS.json</x:v>
      </x:c>
      <x:c r="C1181" s="219" t="str">
        <x:v>16fdd49fe0c3a49d56b3db6a056d6bb87f7696816f4a0db9facd60c1f48fb141</x:v>
      </x:c>
    </x:row>
    <x:row r="1182" ht="30" customHeight="1">
      <x:c r="A1182" s="180" t="str">
        <x:v>THERM-06</x:v>
      </x:c>
      <x:c r="B1182" s="180" t="str">
        <x:v>current/THERMAL_REVIEW.md</x:v>
      </x:c>
      <x:c r="C1182" s="180" t="str">
        <x:v>0ef6f6cbca650e06a088fb4c6ba06ee249c489a245f62bf01cb893a78f495ff1</x:v>
      </x:c>
    </x:row>
    <x:row r="1183" ht="30" customHeight="1">
      <x:c r="A1183" s="219" t="str">
        <x:v>THERM-07</x:v>
      </x:c>
      <x:c r="B1183" s="219" t="str">
        <x:v>analyses/installation/DASHBOARD_EXPOSURE_AND_SERVICE.md</x:v>
      </x:c>
      <x:c r="C1183" s="219" t="str">
        <x:v>9875d08e5f9c94bc8a752d9f7372da234a2311a0a80bf4d7aa8ed15e9dbefd48</x:v>
      </x:c>
    </x:row>
    <x:row r="1184" ht="30" customHeight="1">
      <x:c r="A1184" s="180" t="str">
        <x:v>THERM-07</x:v>
      </x:c>
      <x:c r="B1184" s="180" t="str">
        <x:v>lanes/mechanics/MECHANICAL_INSTALLATION_RVB22.md</x:v>
      </x:c>
      <x:c r="C1184" s="180" t="str">
        <x:v>c537001620be1f1ddbec9d8ea77b9dc84cb5461fb1ffca843c448cf71d2b31d8</x:v>
      </x:c>
    </x:row>
    <x:row r="1185" ht="30" customHeight="1">
      <x:c r="A1185" s="219" t="str">
        <x:v>THERM-07</x:v>
      </x:c>
      <x:c r="B1185" s="219" t="str">
        <x:v>analyses/thermal_i18/face_15.0/RESULTS.json</x:v>
      </x:c>
      <x:c r="C1185" s="219" t="str">
        <x:v>16fdd49fe0c3a49d56b3db6a056d6bb87f7696816f4a0db9facd60c1f48fb141</x:v>
      </x:c>
    </x:row>
    <x:row r="1186" ht="30" customHeight="1">
      <x:c r="A1186" s="180" t="str">
        <x:v>THERM-07</x:v>
      </x:c>
      <x:c r="B1186" s="180" t="str">
        <x:v>current/THERMAL_REVIEW.md</x:v>
      </x:c>
      <x:c r="C1186" s="180" t="str">
        <x:v>0ef6f6cbca650e06a088fb4c6ba06ee249c489a245f62bf01cb893a78f495ff1</x:v>
      </x:c>
    </x:row>
    <x:row r="1187" ht="30" customHeight="1">
      <x:c r="A1187" s="219" t="str">
        <x:v>THERM-08</x:v>
      </x:c>
      <x:c r="B1187" s="219" t="str">
        <x:v>iterations/I06_harness_handoff/CANDIDATE_MANIFEST.json</x:v>
      </x:c>
      <x:c r="C1187" s="219" t="str">
        <x:v>017aa6938b0cea4fcf5d02a0e28ba556e4a0c0485495f171a7d5aba15a703fc0</x:v>
      </x:c>
    </x:row>
    <x:row r="1188" ht="30" customHeight="1">
      <x:c r="A1188" s="180" t="str">
        <x:v>THERM-08</x:v>
      </x:c>
      <x:c r="B1188" s="180" t="str">
        <x:v>analyses/thermal_i18/face_15.0/RESULTS.json</x:v>
      </x:c>
      <x:c r="C1188" s="180" t="str">
        <x:v>16fdd49fe0c3a49d56b3db6a056d6bb87f7696816f4a0db9facd60c1f48fb141</x:v>
      </x:c>
    </x:row>
    <x:row r="1189" ht="30" customHeight="1">
      <x:c r="A1189" s="219" t="str">
        <x:v>THERM-08</x:v>
      </x:c>
      <x:c r="B1189" s="219" t="str">
        <x:v>current/THERMAL_REVIEW.md</x:v>
      </x:c>
      <x:c r="C1189" s="219" t="str">
        <x:v>0ef6f6cbca650e06a088fb4c6ba06ee249c489a245f62bf01cb893a78f495ff1</x:v>
      </x:c>
    </x:row>
    <x:row r="1190" ht="30" customHeight="1">
      <x:c r="A1190" s="180" t="str">
        <x:v>THERM-09</x:v>
      </x:c>
      <x:c r="B1190" s="180" t="str">
        <x:v>lanes/mechanics/FINAL_COMPONENT_ENVELOPES.json</x:v>
      </x:c>
      <x:c r="C1190" s="180" t="str">
        <x:v>e9b8c89e865f53a93ed458ce690dc310f3fd9df0b8eaf39658492fbd2b4bbbd1</x:v>
      </x:c>
    </x:row>
    <x:row r="1191" ht="30" customHeight="1">
      <x:c r="A1191" s="219" t="str">
        <x:v>THERM-09</x:v>
      </x:c>
      <x:c r="B1191" s="219" t="str">
        <x:v>lanes/mechanics/FINAL_SOURCE_BINDING.json</x:v>
      </x:c>
      <x:c r="C1191" s="219" t="str">
        <x:v>4a607ecf994508b22f6099810cb7c5e4e778738782e1d7f7f64a47bf98eedce5</x:v>
      </x:c>
    </x:row>
    <x:row r="1192" ht="30" customHeight="1">
      <x:c r="A1192" s="180" t="str">
        <x:v>THERM-09</x:v>
      </x:c>
      <x:c r="B1192" s="180" t="str">
        <x:v>lanes/mechanics/STRUCTURAL_SERVICE_MODEL.json</x:v>
      </x:c>
      <x:c r="C1192" s="180" t="str">
        <x:v>e701cb8641ebef7f6ddd35a96acff390868b686cd32018fd59213fa1f32c5ecc</x:v>
      </x:c>
    </x:row>
    <x:row r="1193" ht="30" customHeight="1">
      <x:c r="A1193" s="219" t="str">
        <x:v>THERM-09</x:v>
      </x:c>
      <x:c r="B1193" s="219" t="str">
        <x:v>analyses/assembly_handling/PRIMARY_BODY_HEIGHT_ADDENDUM.json</x:v>
      </x:c>
      <x:c r="C1193" s="219" t="str">
        <x:v>7fdd606347fd74861dc3994a18d9bf8fe090e02b338c074a8d3502b6fb382bce</x:v>
      </x:c>
    </x:row>
    <x:row r="1194" ht="30" customHeight="1">
      <x:c r="A1194" s="180" t="str">
        <x:v>THERM-09</x:v>
      </x:c>
      <x:c r="B1194" s="180" t="str">
        <x:v>lanes/mechanics/THERMAL_CONTACT_T01_MODEL.json</x:v>
      </x:c>
      <x:c r="C1194" s="180" t="str">
        <x:v>a5fc11981a3bca81c2dc343bd87a0b618e391770088be932934004bc68df4f88</x:v>
      </x:c>
    </x:row>
    <x:row r="1195" ht="30" customHeight="1">
      <x:c r="A1195" s="219" t="str">
        <x:v>THERM-09</x:v>
      </x:c>
      <x:c r="B1195" s="219" t="str">
        <x:v>lanes/mechanics/THERMAL_CONTACT_T01_REVIEW.md</x:v>
      </x:c>
      <x:c r="C1195" s="219" t="str">
        <x:v>d3c23b6dc0e48a09471cc415981a3bfd6baa1235d81735f6085eb17c194bba4f</x:v>
      </x:c>
    </x:row>
    <x:row r="1196" ht="30" customHeight="1">
      <x:c r="A1196" s="180" t="str">
        <x:v>THERM-09</x:v>
      </x:c>
      <x:c r="B1196" s="180" t="str">
        <x:v>lanes/mechanics/THERMAL_CONTACT_T01_INVERSE_REQUIREMENTS.json</x:v>
      </x:c>
      <x:c r="C1196" s="180" t="str">
        <x:v>bf381e8241a51ea9e2eaf098c0cd03e2bb6e5ba870fbe88e6daa010cbeda8df9</x:v>
      </x:c>
    </x:row>
    <x:row r="1197" ht="30" customHeight="1">
      <x:c r="A1197" s="219" t="str">
        <x:v>THERM-09</x:v>
      </x:c>
      <x:c r="B1197" s="219" t="str">
        <x:v>analyses/thermal_i18/face_15.0/RESULTS.json</x:v>
      </x:c>
      <x:c r="C1197" s="219" t="str">
        <x:v>16fdd49fe0c3a49d56b3db6a056d6bb87f7696816f4a0db9facd60c1f48fb141</x:v>
      </x:c>
    </x:row>
    <x:row r="1198" ht="30" customHeight="1">
      <x:c r="A1198" s="180" t="str">
        <x:v>THERM-09</x:v>
      </x:c>
      <x:c r="B1198" s="180" t="str">
        <x:v>current/THERMAL_REVIEW.md</x:v>
      </x:c>
      <x:c r="C1198" s="180" t="str">
        <x:v>0ef6f6cbca650e06a088fb4c6ba06ee249c489a245f62bf01cb893a78f495ff1</x:v>
      </x:c>
    </x:row>
    <x:row r="1199" ht="30" customHeight="1">
      <x:c r="A1199" s="219" t="str">
        <x:v>THERM-10</x:v>
      </x:c>
      <x:c r="B1199" s="219" t="str">
        <x:v>analyses/installation/DASHBOARD_EXPOSURE_AND_SERVICE.md</x:v>
      </x:c>
      <x:c r="C1199" s="219" t="str">
        <x:v>9875d08e5f9c94bc8a752d9f7372da234a2311a0a80bf4d7aa8ed15e9dbefd48</x:v>
      </x:c>
    </x:row>
    <x:row r="1200" ht="30" customHeight="1">
      <x:c r="A1200" s="180" t="str">
        <x:v>THERM-10</x:v>
      </x:c>
      <x:c r="B1200" s="180" t="str">
        <x:v>lanes/mechanics/MECHANICAL_INSTALLATION_RVB22.md</x:v>
      </x:c>
      <x:c r="C1200" s="180" t="str">
        <x:v>c537001620be1f1ddbec9d8ea77b9dc84cb5461fb1ffca843c448cf71d2b31d8</x:v>
      </x:c>
    </x:row>
    <x:row r="1201" ht="30" customHeight="1">
      <x:c r="A1201" s="219" t="str">
        <x:v>THERM-10</x:v>
      </x:c>
      <x:c r="B1201" s="219" t="str">
        <x:v>analyses/thermal_i18/face_15.0/RESULTS.json</x:v>
      </x:c>
      <x:c r="C1201" s="219" t="str">
        <x:v>16fdd49fe0c3a49d56b3db6a056d6bb87f7696816f4a0db9facd60c1f48fb141</x:v>
      </x:c>
    </x:row>
    <x:row r="1202" ht="30" customHeight="1">
      <x:c r="A1202" s="180" t="str">
        <x:v>THERM-10</x:v>
      </x:c>
      <x:c r="B1202" s="180" t="str">
        <x:v>current/THERMAL_REVIEW.md</x:v>
      </x:c>
      <x:c r="C1202" s="180" t="str">
        <x:v>0ef6f6cbca650e06a088fb4c6ba06ee249c489a245f62bf01cb893a78f495ff1</x:v>
      </x:c>
    </x:row>
    <x:row r="1203" ht="30" customHeight="1">
      <x:c r="A1203" s="219" t="str">
        <x:v>EMC-01</x:v>
      </x:c>
      <x:c r="B1203" s="219" t="str">
        <x:v>analyses/installation/DASHBOARD_EXPOSURE_AND_SERVICE.md</x:v>
      </x:c>
      <x:c r="C1203" s="219" t="str">
        <x:v>9875d08e5f9c94bc8a752d9f7372da234a2311a0a80bf4d7aa8ed15e9dbefd48</x:v>
      </x:c>
    </x:row>
    <x:row r="1204" ht="30" customHeight="1">
      <x:c r="A1204" s="180" t="str">
        <x:v>EMC-01</x:v>
      </x:c>
      <x:c r="B1204" s="180" t="str">
        <x:v>lanes/mechanics/MECHANICAL_INSTALLATION_RVB22.md</x:v>
      </x:c>
      <x:c r="C1204" s="180" t="str">
        <x:v>c537001620be1f1ddbec9d8ea77b9dc84cb5461fb1ffca843c448cf71d2b31d8</x:v>
      </x:c>
    </x:row>
    <x:row r="1205" ht="30" customHeight="1">
      <x:c r="A1205" s="219" t="str">
        <x:v>EMC-01</x:v>
      </x:c>
      <x:c r="B1205" s="219" t="str">
        <x:v>analyses/rf_i18/EXTENDED_NETWORK_RESULTS.json</x:v>
      </x:c>
      <x:c r="C1205" s="219" t="str">
        <x:v>74c5bb43e910fb4145f5f2a8e72934d4fc36e6c5e6d00f7f8bf45b80fb486252</x:v>
      </x:c>
    </x:row>
    <x:row r="1206" ht="30" customHeight="1">
      <x:c r="A1206" s="180" t="str">
        <x:v>EMC-01</x:v>
      </x:c>
      <x:c r="B1206" s="180" t="str">
        <x:v>control/SI11_COUPLING_PATH_REVIEW.json</x:v>
      </x:c>
      <x:c r="C1206" s="180" t="str">
        <x:v>3ba361e849ca16625422d96f28ff7f96aaca3231a1b5dc19344876c20087146d</x:v>
      </x:c>
    </x:row>
    <x:row r="1207" ht="30" customHeight="1">
      <x:c r="A1207" s="219" t="str">
        <x:v>EMC-02</x:v>
      </x:c>
      <x:c r="B1207" s="219" t="str">
        <x:v>lanes/emc/EMC_DESKTOP_REPORT.md</x:v>
      </x:c>
      <x:c r="C1207" s="219" t="str">
        <x:v>101c4622a26e2d9d73f53b86453962ef79d56eb71cac11b7f0f3b03b8fd1248f</x:v>
      </x:c>
    </x:row>
    <x:row r="1208" ht="30" customHeight="1">
      <x:c r="A1208" s="180" t="str">
        <x:v>EMC-02</x:v>
      </x:c>
      <x:c r="B1208" s="180" t="str">
        <x:v>lanes/emc/REDLINE_DISPOSITIONS.json</x:v>
      </x:c>
      <x:c r="C1208" s="180" t="str">
        <x:v>1e44cc67b597f207b26b6ae31da1dcf5efa4d89b02e1df66c7f8b06b47f34be2</x:v>
      </x:c>
    </x:row>
    <x:row r="1209" ht="30" customHeight="1">
      <x:c r="A1209" s="219" t="str">
        <x:v>EMC-02</x:v>
      </x:c>
      <x:c r="B1209" s="219" t="str">
        <x:v>lanes/emc/EMC_NUMERICAL_VERIFICATION.json</x:v>
      </x:c>
      <x:c r="C1209" s="219" t="str">
        <x:v>dfcf84e50264ea556b24d61b6f41a0091682506644728ded71bea525a80f6b30</x:v>
      </x:c>
    </x:row>
    <x:row r="1210" ht="30" customHeight="1">
      <x:c r="A1210" s="180" t="str">
        <x:v>EMC-02</x:v>
      </x:c>
      <x:c r="B1210" s="180" t="str">
        <x:v>analyses/rf_i18/EXTENDED_NETWORK_RESULTS.json</x:v>
      </x:c>
      <x:c r="C1210" s="180" t="str">
        <x:v>74c5bb43e910fb4145f5f2a8e72934d4fc36e6c5e6d00f7f8bf45b80fb486252</x:v>
      </x:c>
    </x:row>
    <x:row r="1211" ht="30" customHeight="1">
      <x:c r="A1211" s="219" t="str">
        <x:v>EMC-02</x:v>
      </x:c>
      <x:c r="B1211" s="219" t="str">
        <x:v>control/SI11_COUPLING_PATH_REVIEW.json</x:v>
      </x:c>
      <x:c r="C1211" s="219" t="str">
        <x:v>3ba361e849ca16625422d96f28ff7f96aaca3231a1b5dc19344876c20087146d</x:v>
      </x:c>
    </x:row>
    <x:row r="1212" ht="30" customHeight="1">
      <x:c r="A1212" s="180" t="str">
        <x:v>EMC-03</x:v>
      </x:c>
      <x:c r="B1212" s="180" t="str">
        <x:v>lanes/emc/EMC_DESKTOP_REPORT.md</x:v>
      </x:c>
      <x:c r="C1212" s="180" t="str">
        <x:v>101c4622a26e2d9d73f53b86453962ef79d56eb71cac11b7f0f3b03b8fd1248f</x:v>
      </x:c>
    </x:row>
    <x:row r="1213" ht="30" customHeight="1">
      <x:c r="A1213" s="219" t="str">
        <x:v>EMC-03</x:v>
      </x:c>
      <x:c r="B1213" s="219" t="str">
        <x:v>lanes/emc/REDLINE_DISPOSITIONS.json</x:v>
      </x:c>
      <x:c r="C1213" s="219" t="str">
        <x:v>1e44cc67b597f207b26b6ae31da1dcf5efa4d89b02e1df66c7f8b06b47f34be2</x:v>
      </x:c>
    </x:row>
    <x:row r="1214" ht="30" customHeight="1">
      <x:c r="A1214" s="180" t="str">
        <x:v>EMC-03</x:v>
      </x:c>
      <x:c r="B1214" s="180" t="str">
        <x:v>lanes/emc/EMC_NUMERICAL_VERIFICATION.json</x:v>
      </x:c>
      <x:c r="C1214" s="180" t="str">
        <x:v>dfcf84e50264ea556b24d61b6f41a0091682506644728ded71bea525a80f6b30</x:v>
      </x:c>
    </x:row>
    <x:row r="1215" ht="30" customHeight="1">
      <x:c r="A1215" s="219" t="str">
        <x:v>EMC-03</x:v>
      </x:c>
      <x:c r="B1215" s="219" t="str">
        <x:v>analyses/rf_i18/EXTENDED_NETWORK_RESULTS.json</x:v>
      </x:c>
      <x:c r="C1215" s="219" t="str">
        <x:v>74c5bb43e910fb4145f5f2a8e72934d4fc36e6c5e6d00f7f8bf45b80fb486252</x:v>
      </x:c>
    </x:row>
    <x:row r="1216" ht="30" customHeight="1">
      <x:c r="A1216" s="180" t="str">
        <x:v>EMC-03</x:v>
      </x:c>
      <x:c r="B1216" s="180" t="str">
        <x:v>control/SI11_COUPLING_PATH_REVIEW.json</x:v>
      </x:c>
      <x:c r="C1216" s="180" t="str">
        <x:v>3ba361e849ca16625422d96f28ff7f96aaca3231a1b5dc19344876c20087146d</x:v>
      </x:c>
    </x:row>
    <x:row r="1217" ht="30" customHeight="1">
      <x:c r="A1217" s="219" t="str">
        <x:v>EMC-04</x:v>
      </x:c>
      <x:c r="B1217" s="219" t="str">
        <x:v>lanes/emc/EMC_DESKTOP_REPORT.md</x:v>
      </x:c>
      <x:c r="C1217" s="219" t="str">
        <x:v>101c4622a26e2d9d73f53b86453962ef79d56eb71cac11b7f0f3b03b8fd1248f</x:v>
      </x:c>
    </x:row>
    <x:row r="1218" ht="30" customHeight="1">
      <x:c r="A1218" s="180" t="str">
        <x:v>EMC-04</x:v>
      </x:c>
      <x:c r="B1218" s="180" t="str">
        <x:v>lanes/emc/REDLINE_DISPOSITIONS.json</x:v>
      </x:c>
      <x:c r="C1218" s="180" t="str">
        <x:v>1e44cc67b597f207b26b6ae31da1dcf5efa4d89b02e1df66c7f8b06b47f34be2</x:v>
      </x:c>
    </x:row>
    <x:row r="1219" ht="30" customHeight="1">
      <x:c r="A1219" s="219" t="str">
        <x:v>EMC-04</x:v>
      </x:c>
      <x:c r="B1219" s="219" t="str">
        <x:v>lanes/emc/EMC_NUMERICAL_VERIFICATION.json</x:v>
      </x:c>
      <x:c r="C1219" s="219" t="str">
        <x:v>dfcf84e50264ea556b24d61b6f41a0091682506644728ded71bea525a80f6b30</x:v>
      </x:c>
    </x:row>
    <x:row r="1220" ht="30" customHeight="1">
      <x:c r="A1220" s="180" t="str">
        <x:v>EMC-04</x:v>
      </x:c>
      <x:c r="B1220" s="180" t="str">
        <x:v>analyses/rf_i18/EXTENDED_NETWORK_RESULTS.json</x:v>
      </x:c>
      <x:c r="C1220" s="180" t="str">
        <x:v>74c5bb43e910fb4145f5f2a8e72934d4fc36e6c5e6d00f7f8bf45b80fb486252</x:v>
      </x:c>
    </x:row>
    <x:row r="1221" ht="30" customHeight="1">
      <x:c r="A1221" s="219" t="str">
        <x:v>EMC-04</x:v>
      </x:c>
      <x:c r="B1221" s="219" t="str">
        <x:v>control/SI11_COUPLING_PATH_REVIEW.json</x:v>
      </x:c>
      <x:c r="C1221" s="219" t="str">
        <x:v>3ba361e849ca16625422d96f28ff7f96aaca3231a1b5dc19344876c20087146d</x:v>
      </x:c>
    </x:row>
    <x:row r="1222" ht="30" customHeight="1">
      <x:c r="A1222" s="180" t="str">
        <x:v>EMC-05</x:v>
      </x:c>
      <x:c r="B1222" s="180" t="str">
        <x:v>lanes/emc/EMC_DESKTOP_REPORT.md</x:v>
      </x:c>
      <x:c r="C1222" s="180" t="str">
        <x:v>101c4622a26e2d9d73f53b86453962ef79d56eb71cac11b7f0f3b03b8fd1248f</x:v>
      </x:c>
    </x:row>
    <x:row r="1223" ht="30" customHeight="1">
      <x:c r="A1223" s="219" t="str">
        <x:v>EMC-05</x:v>
      </x:c>
      <x:c r="B1223" s="219" t="str">
        <x:v>lanes/emc/REDLINE_DISPOSITIONS.json</x:v>
      </x:c>
      <x:c r="C1223" s="219" t="str">
        <x:v>1e44cc67b597f207b26b6ae31da1dcf5efa4d89b02e1df66c7f8b06b47f34be2</x:v>
      </x:c>
    </x:row>
    <x:row r="1224" ht="30" customHeight="1">
      <x:c r="A1224" s="180" t="str">
        <x:v>EMC-05</x:v>
      </x:c>
      <x:c r="B1224" s="180" t="str">
        <x:v>lanes/emc/EMC_NUMERICAL_VERIFICATION.json</x:v>
      </x:c>
      <x:c r="C1224" s="180" t="str">
        <x:v>dfcf84e50264ea556b24d61b6f41a0091682506644728ded71bea525a80f6b30</x:v>
      </x:c>
    </x:row>
    <x:row r="1225" ht="30" customHeight="1">
      <x:c r="A1225" s="219" t="str">
        <x:v>EMC-05</x:v>
      </x:c>
      <x:c r="B1225" s="219" t="str">
        <x:v>analyses/rf_i18/EXTENDED_NETWORK_RESULTS.json</x:v>
      </x:c>
      <x:c r="C1225" s="219" t="str">
        <x:v>74c5bb43e910fb4145f5f2a8e72934d4fc36e6c5e6d00f7f8bf45b80fb486252</x:v>
      </x:c>
    </x:row>
    <x:row r="1226" ht="30" customHeight="1">
      <x:c r="A1226" s="180" t="str">
        <x:v>EMC-05</x:v>
      </x:c>
      <x:c r="B1226" s="180" t="str">
        <x:v>control/SI11_COUPLING_PATH_REVIEW.json</x:v>
      </x:c>
      <x:c r="C1226" s="180" t="str">
        <x:v>3ba361e849ca16625422d96f28ff7f96aaca3231a1b5dc19344876c20087146d</x:v>
      </x:c>
    </x:row>
    <x:row r="1227" ht="30" customHeight="1">
      <x:c r="A1227" s="219" t="str">
        <x:v>EMC-06</x:v>
      </x:c>
      <x:c r="B1227" s="219" t="str">
        <x:v>lanes/emc/EMC_DESKTOP_REPORT.md</x:v>
      </x:c>
      <x:c r="C1227" s="219" t="str">
        <x:v>101c4622a26e2d9d73f53b86453962ef79d56eb71cac11b7f0f3b03b8fd1248f</x:v>
      </x:c>
    </x:row>
    <x:row r="1228" ht="30" customHeight="1">
      <x:c r="A1228" s="180" t="str">
        <x:v>EMC-06</x:v>
      </x:c>
      <x:c r="B1228" s="180" t="str">
        <x:v>lanes/emc/REDLINE_DISPOSITIONS.json</x:v>
      </x:c>
      <x:c r="C1228" s="180" t="str">
        <x:v>1e44cc67b597f207b26b6ae31da1dcf5efa4d89b02e1df66c7f8b06b47f34be2</x:v>
      </x:c>
    </x:row>
    <x:row r="1229" ht="30" customHeight="1">
      <x:c r="A1229" s="219" t="str">
        <x:v>EMC-06</x:v>
      </x:c>
      <x:c r="B1229" s="219" t="str">
        <x:v>lanes/emc/EMC_NUMERICAL_VERIFICATION.json</x:v>
      </x:c>
      <x:c r="C1229" s="219" t="str">
        <x:v>dfcf84e50264ea556b24d61b6f41a0091682506644728ded71bea525a80f6b30</x:v>
      </x:c>
    </x:row>
    <x:row r="1230" ht="30" customHeight="1">
      <x:c r="A1230" s="180" t="str">
        <x:v>EMC-06</x:v>
      </x:c>
      <x:c r="B1230" s="180" t="str">
        <x:v>analyses/rf_i18/EXTENDED_NETWORK_RESULTS.json</x:v>
      </x:c>
      <x:c r="C1230" s="180" t="str">
        <x:v>74c5bb43e910fb4145f5f2a8e72934d4fc36e6c5e6d00f7f8bf45b80fb486252</x:v>
      </x:c>
    </x:row>
    <x:row r="1231" ht="30" customHeight="1">
      <x:c r="A1231" s="219" t="str">
        <x:v>EMC-06</x:v>
      </x:c>
      <x:c r="B1231" s="219" t="str">
        <x:v>control/SI11_COUPLING_PATH_REVIEW.json</x:v>
      </x:c>
      <x:c r="C1231" s="219" t="str">
        <x:v>3ba361e849ca16625422d96f28ff7f96aaca3231a1b5dc19344876c20087146d</x:v>
      </x:c>
    </x:row>
    <x:row r="1232" ht="30" customHeight="1">
      <x:c r="A1232" s="180" t="str">
        <x:v>EMC-07</x:v>
      </x:c>
      <x:c r="B1232" s="180" t="str">
        <x:v>lanes/emc/EMC_DESKTOP_REPORT.md</x:v>
      </x:c>
      <x:c r="C1232" s="180" t="str">
        <x:v>101c4622a26e2d9d73f53b86453962ef79d56eb71cac11b7f0f3b03b8fd1248f</x:v>
      </x:c>
    </x:row>
    <x:row r="1233" ht="30" customHeight="1">
      <x:c r="A1233" s="219" t="str">
        <x:v>EMC-07</x:v>
      </x:c>
      <x:c r="B1233" s="219" t="str">
        <x:v>lanes/emc/REDLINE_DISPOSITIONS.json</x:v>
      </x:c>
      <x:c r="C1233" s="219" t="str">
        <x:v>1e44cc67b597f207b26b6ae31da1dcf5efa4d89b02e1df66c7f8b06b47f34be2</x:v>
      </x:c>
    </x:row>
    <x:row r="1234" ht="30" customHeight="1">
      <x:c r="A1234" s="180" t="str">
        <x:v>EMC-07</x:v>
      </x:c>
      <x:c r="B1234" s="180" t="str">
        <x:v>lanes/emc/EMC_NUMERICAL_VERIFICATION.json</x:v>
      </x:c>
      <x:c r="C1234" s="180" t="str">
        <x:v>dfcf84e50264ea556b24d61b6f41a0091682506644728ded71bea525a80f6b30</x:v>
      </x:c>
    </x:row>
    <x:row r="1235" ht="30" customHeight="1">
      <x:c r="A1235" s="219" t="str">
        <x:v>EMC-07</x:v>
      </x:c>
      <x:c r="B1235" s="219" t="str">
        <x:v>analyses/rf_i18/EXTENDED_NETWORK_RESULTS.json</x:v>
      </x:c>
      <x:c r="C1235" s="219" t="str">
        <x:v>74c5bb43e910fb4145f5f2a8e72934d4fc36e6c5e6d00f7f8bf45b80fb486252</x:v>
      </x:c>
    </x:row>
    <x:row r="1236" ht="30" customHeight="1">
      <x:c r="A1236" s="180" t="str">
        <x:v>EMC-07</x:v>
      </x:c>
      <x:c r="B1236" s="180" t="str">
        <x:v>control/SI11_COUPLING_PATH_REVIEW.json</x:v>
      </x:c>
      <x:c r="C1236" s="180" t="str">
        <x:v>3ba361e849ca16625422d96f28ff7f96aaca3231a1b5dc19344876c20087146d</x:v>
      </x:c>
    </x:row>
    <x:row r="1237" ht="30" customHeight="1">
      <x:c r="A1237" s="219" t="str">
        <x:v>EMC-08</x:v>
      </x:c>
      <x:c r="B1237" s="219" t="str">
        <x:v>analyses/installation/DASHBOARD_EXPOSURE_AND_SERVICE.md</x:v>
      </x:c>
      <x:c r="C1237" s="219" t="str">
        <x:v>9875d08e5f9c94bc8a752d9f7372da234a2311a0a80bf4d7aa8ed15e9dbefd48</x:v>
      </x:c>
    </x:row>
    <x:row r="1238" ht="30" customHeight="1">
      <x:c r="A1238" s="180" t="str">
        <x:v>EMC-08</x:v>
      </x:c>
      <x:c r="B1238" s="180" t="str">
        <x:v>lanes/mechanics/MECHANICAL_INSTALLATION_RVB22.md</x:v>
      </x:c>
      <x:c r="C1238" s="180" t="str">
        <x:v>c537001620be1f1ddbec9d8ea77b9dc84cb5461fb1ffca843c448cf71d2b31d8</x:v>
      </x:c>
    </x:row>
    <x:row r="1239" ht="30" customHeight="1">
      <x:c r="A1239" s="219" t="str">
        <x:v>EMC-08</x:v>
      </x:c>
      <x:c r="B1239" s="219" t="str">
        <x:v>analyses/rf_i18/EXTENDED_NETWORK_RESULTS.json</x:v>
      </x:c>
      <x:c r="C1239" s="219" t="str">
        <x:v>74c5bb43e910fb4145f5f2a8e72934d4fc36e6c5e6d00f7f8bf45b80fb486252</x:v>
      </x:c>
    </x:row>
    <x:row r="1240" ht="30" customHeight="1">
      <x:c r="A1240" s="180" t="str">
        <x:v>EMC-08</x:v>
      </x:c>
      <x:c r="B1240" s="180" t="str">
        <x:v>control/SI11_COUPLING_PATH_REVIEW.json</x:v>
      </x:c>
      <x:c r="C1240" s="180" t="str">
        <x:v>3ba361e849ca16625422d96f28ff7f96aaca3231a1b5dc19344876c20087146d</x:v>
      </x:c>
    </x:row>
    <x:row r="1241" ht="30" customHeight="1">
      <x:c r="A1241" s="219" t="str">
        <x:v>EMC-09</x:v>
      </x:c>
      <x:c r="B1241" s="219" t="str">
        <x:v>control/SI11_COUPLING_PATH_REVIEW.json</x:v>
      </x:c>
      <x:c r="C1241" s="219" t="str">
        <x:v>3ba361e849ca16625422d96f28ff7f96aaca3231a1b5dc19344876c20087146d</x:v>
      </x:c>
    </x:row>
    <x:row r="1242" ht="30" customHeight="1">
      <x:c r="A1242" s="180" t="str">
        <x:v>EMC-09</x:v>
      </x:c>
      <x:c r="B1242" s="180" t="str">
        <x:v>control/SI11_COUPLING_REVIEW_AND_TEST_PLAN.md</x:v>
      </x:c>
      <x:c r="C1242" s="180" t="str">
        <x:v>b7169d67e426e78b723deace9c287978d43b929a520c07c292652d265ccf75ff</x:v>
      </x:c>
    </x:row>
    <x:row r="1243" ht="30" customHeight="1">
      <x:c r="A1243" s="219" t="str">
        <x:v>EMC-09</x:v>
      </x:c>
      <x:c r="B1243" s="219" t="str">
        <x:v>control/REG07_SOURCE_COPPER_ANNOTATIONS.json</x:v>
      </x:c>
      <x:c r="C1243" s="219" t="str">
        <x:v>22ade87152b7028fbc6d718ab3d42ec15c8363b62bc5d97714eea9aea0621c55</x:v>
      </x:c>
    </x:row>
    <x:row r="1244" ht="30" customHeight="1">
      <x:c r="A1244" s="180" t="str">
        <x:v>EMC-09</x:v>
      </x:c>
      <x:c r="B1244" s="180" t="str">
        <x:v>analyses/rf_i18/EXTENDED_NETWORK_RESULTS.json</x:v>
      </x:c>
      <x:c r="C1244" s="180" t="str">
        <x:v>74c5bb43e910fb4145f5f2a8e72934d4fc36e6c5e6d00f7f8bf45b80fb486252</x:v>
      </x:c>
    </x:row>
    <x:row r="1245" ht="30" customHeight="1">
      <x:c r="A1245" s="219" t="str">
        <x:v>EMC-10</x:v>
      </x:c>
      <x:c r="B1245" s="219" t="str">
        <x:v>lanes/emc/EMC_DESKTOP_REPORT.md</x:v>
      </x:c>
      <x:c r="C1245" s="219" t="str">
        <x:v>101c4622a26e2d9d73f53b86453962ef79d56eb71cac11b7f0f3b03b8fd1248f</x:v>
      </x:c>
    </x:row>
    <x:row r="1246" ht="30" customHeight="1">
      <x:c r="A1246" s="180" t="str">
        <x:v>EMC-10</x:v>
      </x:c>
      <x:c r="B1246" s="180" t="str">
        <x:v>lanes/emc/REDLINE_DISPOSITIONS.json</x:v>
      </x:c>
      <x:c r="C1246" s="180" t="str">
        <x:v>1e44cc67b597f207b26b6ae31da1dcf5efa4d89b02e1df66c7f8b06b47f34be2</x:v>
      </x:c>
    </x:row>
    <x:row r="1247" ht="30" customHeight="1">
      <x:c r="A1247" s="219" t="str">
        <x:v>EMC-10</x:v>
      </x:c>
      <x:c r="B1247" s="219" t="str">
        <x:v>lanes/emc/EMC_NUMERICAL_VERIFICATION.json</x:v>
      </x:c>
      <x:c r="C1247" s="219" t="str">
        <x:v>dfcf84e50264ea556b24d61b6f41a0091682506644728ded71bea525a80f6b30</x:v>
      </x:c>
    </x:row>
    <x:row r="1248" ht="30" customHeight="1">
      <x:c r="A1248" s="180" t="str">
        <x:v>EMC-10</x:v>
      </x:c>
      <x:c r="B1248" s="180" t="str">
        <x:v>analyses/rf_i18/EXTENDED_NETWORK_RESULTS.json</x:v>
      </x:c>
      <x:c r="C1248" s="180" t="str">
        <x:v>74c5bb43e910fb4145f5f2a8e72934d4fc36e6c5e6d00f7f8bf45b80fb486252</x:v>
      </x:c>
    </x:row>
    <x:row r="1249" ht="30" customHeight="1">
      <x:c r="A1249" s="219" t="str">
        <x:v>EMC-10</x:v>
      </x:c>
      <x:c r="B1249" s="219" t="str">
        <x:v>control/SI11_COUPLING_PATH_REVIEW.json</x:v>
      </x:c>
      <x:c r="C1249" s="219" t="str">
        <x:v>3ba361e849ca16625422d96f28ff7f96aaca3231a1b5dc19344876c20087146d</x:v>
      </x:c>
    </x:row>
    <x:row r="1250" ht="30" customHeight="1">
      <x:c r="A1250" s="180" t="str">
        <x:v>LAY-01</x:v>
      </x:c>
      <x:c r="B1250" s="180" t="str">
        <x:v>control/RVB22_BRING_UP_AND_MEASUREMENT_CONTRACT.md</x:v>
      </x:c>
      <x:c r="C1250" s="180" t="str">
        <x:v>449d38b93d0d99ec35d3545af7b198e3430a19aa20cbf59b6de2b60b0215331f</x:v>
      </x:c>
    </x:row>
    <x:row r="1251" ht="30" customHeight="1">
      <x:c r="A1251" s="219" t="str">
        <x:v>LAY-01</x:v>
      </x:c>
      <x:c r="B1251" s="219" t="str">
        <x:v>control/BRINGUP_SCHEMATIC_TEXT_DELTA.json</x:v>
      </x:c>
      <x:c r="C1251" s="219" t="str">
        <x:v>b375d56d6cc12ce36313d7ee538c3bc384127c76eb41fea363ce7911556415ee</x:v>
      </x:c>
    </x:row>
    <x:row r="1252" ht="30" customHeight="1">
      <x:c r="A1252" s="180" t="str">
        <x:v>LAY-01</x:v>
      </x:c>
      <x:c r="B1252" s="180" t="str">
        <x:v>control/BRINGUP_ACTUAL_NODE_INDEX.json</x:v>
      </x:c>
      <x:c r="C1252" s="180" t="str">
        <x:v>a63b8b544d5707e4ec2c6dcced8a01f7b216c553052681a5fa9f46bc3d7af6f8</x:v>
      </x:c>
    </x:row>
    <x:row r="1253" ht="30" customHeight="1">
      <x:c r="A1253" s="219" t="str">
        <x:v>LAY-01</x:v>
      </x:c>
      <x:c r="B1253" s="219" t="str">
        <x:v>control/FINAL_I04_BRINGUP_BINDING.json</x:v>
      </x:c>
      <x:c r="C1253" s="219" t="str">
        <x:v>0a51eb793074e6b5eafbf20002325289bdd1e1b3a5174ae63fd79b937a76fd3f</x:v>
      </x:c>
    </x:row>
    <x:row r="1254" ht="30" customHeight="1">
      <x:c r="A1254" s="180" t="str">
        <x:v>LAY-01</x:v>
      </x:c>
      <x:c r="B1254" s="180" t="str">
        <x:v>analyses/manufacturing_i20/RESULTS.json</x:v>
      </x:c>
      <x:c r="C1254" s="180" t="str">
        <x:v>daa279f665dd6cad14f4ff36043abbce38c6ee51598e9ae7236d9974563476ac</x:v>
      </x:c>
    </x:row>
    <x:row r="1255" ht="30" customHeight="1">
      <x:c r="A1255" s="219" t="str">
        <x:v>LAY-01</x:v>
      </x:c>
      <x:c r="B1255" s="219" t="str">
        <x:v>analyses/service_i19/RESULTS.json</x:v>
      </x:c>
      <x:c r="C1255" s="219" t="str">
        <x:v>06cbb09e55a98a0039d0cab06f26b85f8af741c8b1c075991283a397f94f47fe</x:v>
      </x:c>
    </x:row>
    <x:row r="1256" ht="30" customHeight="1">
      <x:c r="A1256" s="180" t="str">
        <x:v>LAY-01</x:v>
      </x:c>
      <x:c r="B1256" s="180" t="str">
        <x:v>current/SOURCE_EFFECTIVITY.json</x:v>
      </x:c>
      <x:c r="C1256" s="180" t="str">
        <x:v>832fcdcc8cd7ebb9df2e169c8b9194011c37d138484da13fd5de05bd2657170d</x:v>
      </x:c>
    </x:row>
    <x:row r="1257" ht="30" customHeight="1">
      <x:c r="A1257" s="219" t="str">
        <x:v>LAY-02</x:v>
      </x:c>
      <x:c r="B1257" s="219" t="str">
        <x:v>analyses/manufacturing_i20/RESULTS.json</x:v>
      </x:c>
      <x:c r="C1257" s="219" t="str">
        <x:v>daa279f665dd6cad14f4ff36043abbce38c6ee51598e9ae7236d9974563476ac</x:v>
      </x:c>
    </x:row>
    <x:row r="1258" ht="30" customHeight="1">
      <x:c r="A1258" s="180" t="str">
        <x:v>LAY-02</x:v>
      </x:c>
      <x:c r="B1258" s="180" t="str">
        <x:v>current/SOURCE_EFFECTIVITY.json</x:v>
      </x:c>
      <x:c r="C1258" s="180" t="str">
        <x:v>832fcdcc8cd7ebb9df2e169c8b9194011c37d138484da13fd5de05bd2657170d</x:v>
      </x:c>
    </x:row>
    <x:row r="1259" ht="30" customHeight="1">
      <x:c r="A1259" s="219" t="str">
        <x:v>LAY-02</x:v>
      </x:c>
      <x:c r="B1259" s="219" t="str">
        <x:v>control/SI11_COUPLING_PATH_REVIEW.json</x:v>
      </x:c>
      <x:c r="C1259" s="219" t="str">
        <x:v>3ba361e849ca16625422d96f28ff7f96aaca3231a1b5dc19344876c20087146d</x:v>
      </x:c>
    </x:row>
    <x:row r="1260" ht="30" customHeight="1">
      <x:c r="A1260" s="180" t="str">
        <x:v>LAY-03</x:v>
      </x:c>
      <x:c r="B1260" s="180" t="str">
        <x:v>lanes/power/POWER_GEOMETRY_REPORT.json</x:v>
      </x:c>
      <x:c r="C1260" s="180" t="str">
        <x:v>4824326717a99e771f8d8e045d4bb59d44e8be5bd0e5ae8b6d2c2d3a16e44fe8</x:v>
      </x:c>
    </x:row>
    <x:row r="1261" ht="30" customHeight="1">
      <x:c r="A1261" s="219" t="str">
        <x:v>LAY-03</x:v>
      </x:c>
      <x:c r="B1261" s="219" t="str">
        <x:v>lanes/power/COUPLED_STARTUP_ENVELOPE.json</x:v>
      </x:c>
      <x:c r="C1261" s="219" t="str">
        <x:v>61403b7c7bb855edead8e74923d7d7aa3520f67e6ed50fb9e00818ee7fad28b5</x:v>
      </x:c>
    </x:row>
    <x:row r="1262" ht="30" customHeight="1">
      <x:c r="A1262" s="180" t="str">
        <x:v>LAY-03</x:v>
      </x:c>
      <x:c r="B1262" s="180" t="str">
        <x:v>lanes/power_limits/POWER_LIMITS_SUMMARY.json</x:v>
      </x:c>
      <x:c r="C1262" s="180" t="str">
        <x:v>7dff1f6f253807926f9a5bfb7717bc18ea30e47607cb990bcc9025f7fd9007ef</x:v>
      </x:c>
    </x:row>
    <x:row r="1263" ht="30" customHeight="1">
      <x:c r="A1263" s="219" t="str">
        <x:v>LAY-03</x:v>
      </x:c>
      <x:c r="B1263" s="219" t="str">
        <x:v>lanes/power/FINAL_I04_POWER_EFFECTIVITY.json</x:v>
      </x:c>
      <x:c r="C1263" s="219" t="str">
        <x:v>7614948f0477b3872c1893f2c8071300dad9a76bed2163a98c302fc2b08f0b26</x:v>
      </x:c>
    </x:row>
    <x:row r="1264" ht="30" customHeight="1">
      <x:c r="A1264" s="180" t="str">
        <x:v>LAY-03</x:v>
      </x:c>
      <x:c r="B1264" s="180" t="str">
        <x:v>analyses/manufacturing_i20/RESULTS.json</x:v>
      </x:c>
      <x:c r="C1264" s="180" t="str">
        <x:v>daa279f665dd6cad14f4ff36043abbce38c6ee51598e9ae7236d9974563476ac</x:v>
      </x:c>
    </x:row>
    <x:row r="1265" ht="30" customHeight="1">
      <x:c r="A1265" s="219" t="str">
        <x:v>LAY-03</x:v>
      </x:c>
      <x:c r="B1265" s="219" t="str">
        <x:v>analyses/service_i19/RESULTS.json</x:v>
      </x:c>
      <x:c r="C1265" s="219" t="str">
        <x:v>06cbb09e55a98a0039d0cab06f26b85f8af741c8b1c075991283a397f94f47fe</x:v>
      </x:c>
    </x:row>
    <x:row r="1266" ht="30" customHeight="1">
      <x:c r="A1266" s="180" t="str">
        <x:v>LAY-03</x:v>
      </x:c>
      <x:c r="B1266" s="180" t="str">
        <x:v>current/SOURCE_EFFECTIVITY.json</x:v>
      </x:c>
      <x:c r="C1266" s="180" t="str">
        <x:v>832fcdcc8cd7ebb9df2e169c8b9194011c37d138484da13fd5de05bd2657170d</x:v>
      </x:c>
    </x:row>
    <x:row r="1267" ht="30" customHeight="1">
      <x:c r="A1267" s="219" t="str">
        <x:v>LAY-04</x:v>
      </x:c>
      <x:c r="B1267" s="219" t="str">
        <x:v>lanes/oil_cap/OIL_CAP_GEOMETRY_REPORT.json</x:v>
      </x:c>
      <x:c r="C1267" s="219" t="str">
        <x:v>d4166613bd2279bb696cb5c6adb26256ae80e679d66d7e6009df7ae60b9428bd</x:v>
      </x:c>
    </x:row>
    <x:row r="1268" ht="30" customHeight="1">
      <x:c r="A1268" s="180" t="str">
        <x:v>LAY-04</x:v>
      </x:c>
      <x:c r="B1268" s="180" t="str">
        <x:v>lanes/oil_cap/OIL_CAP_SAME_NET_CONTACTS.json</x:v>
      </x:c>
      <x:c r="C1268" s="180" t="str">
        <x:v>2f5dee7d7f4155806d436db4b7091bf62f5f674cf59479508a2880e9a32e28ec</x:v>
      </x:c>
    </x:row>
    <x:row r="1269" ht="30" customHeight="1">
      <x:c r="A1269" s="219" t="str">
        <x:v>LAY-04</x:v>
      </x:c>
      <x:c r="B1269" s="219" t="str">
        <x:v>control/check_combined_copper.py</x:v>
      </x:c>
      <x:c r="C1269" s="219" t="str">
        <x:v>5f0e5cb0ceffd8ea3a07fca51209f90225f7b708d666ca33bb5df175fe936c2a</x:v>
      </x:c>
    </x:row>
    <x:row r="1270" ht="30" customHeight="1">
      <x:c r="A1270" s="180" t="str">
        <x:v>LAY-04</x:v>
      </x:c>
      <x:c r="B1270" s="180" t="str">
        <x:v>lanes/oil_cap/FINAL_C532_SUBGRAPH_BINDING.json</x:v>
      </x:c>
      <x:c r="C1270" s="180" t="str">
        <x:v>28967e7b5768764cc5528550516b41c0b77bee732da05d6a03bbde0e3ef6dc94</x:v>
      </x:c>
    </x:row>
    <x:row r="1271" ht="30" customHeight="1">
      <x:c r="A1271" s="219" t="str">
        <x:v>LAY-04</x:v>
      </x:c>
      <x:c r="B1271" s="219" t="str">
        <x:v>iterations/I04_compact_shunt/COMBINED_COPPER_CHECK.json</x:v>
      </x:c>
      <x:c r="C1271" s="219" t="str">
        <x:v>dbe14bde92d2e9445f4765e4ff8ac028412039b5e90b4b3a42870684391933e5</x:v>
      </x:c>
    </x:row>
    <x:row r="1272" ht="30" customHeight="1">
      <x:c r="A1272" s="180" t="str">
        <x:v>LAY-04</x:v>
      </x:c>
      <x:c r="B1272" s="180" t="str">
        <x:v>iterations/I04_compact_shunt/COURTYARD_CHECK.json</x:v>
      </x:c>
      <x:c r="C1272" s="180" t="str">
        <x:v>6e080d8a723d8a3c7ae1665078acf472b0a39e433bc64fe21516790ff5541ab2</x:v>
      </x:c>
    </x:row>
    <x:row r="1273" ht="30" customHeight="1">
      <x:c r="A1273" s="219" t="str">
        <x:v>LAY-04</x:v>
      </x:c>
      <x:c r="B1273" s="219" t="str">
        <x:v>verification/independent/I04_SOURCE_AND_GATE_AUDIT.json</x:v>
      </x:c>
      <x:c r="C1273" s="219" t="str">
        <x:v>18fceb8cec99fceb6476a5439d12fc57798a8b226e25607bf54b179f0f063d75</x:v>
      </x:c>
    </x:row>
    <x:row r="1274" ht="30" customHeight="1">
      <x:c r="A1274" s="180" t="str">
        <x:v>LAY-04</x:v>
      </x:c>
      <x:c r="B1274" s="180" t="str">
        <x:v>analyses/manufacturing_i20/RESULTS.json</x:v>
      </x:c>
      <x:c r="C1274" s="180" t="str">
        <x:v>daa279f665dd6cad14f4ff36043abbce38c6ee51598e9ae7236d9974563476ac</x:v>
      </x:c>
    </x:row>
    <x:row r="1275" ht="30" customHeight="1">
      <x:c r="A1275" s="219" t="str">
        <x:v>LAY-04</x:v>
      </x:c>
      <x:c r="B1275" s="219" t="str">
        <x:v>analyses/service_i19/RESULTS.json</x:v>
      </x:c>
      <x:c r="C1275" s="219" t="str">
        <x:v>06cbb09e55a98a0039d0cab06f26b85f8af741c8b1c075991283a397f94f47fe</x:v>
      </x:c>
    </x:row>
    <x:row r="1276" ht="30" customHeight="1">
      <x:c r="A1276" s="180" t="str">
        <x:v>LAY-04</x:v>
      </x:c>
      <x:c r="B1276" s="180" t="str">
        <x:v>current/SOURCE_EFFECTIVITY.json</x:v>
      </x:c>
      <x:c r="C1276" s="180" t="str">
        <x:v>832fcdcc8cd7ebb9df2e169c8b9194011c37d138484da13fd5de05bd2657170d</x:v>
      </x:c>
    </x:row>
    <x:row r="1277" ht="30" customHeight="1">
      <x:c r="A1277" s="219" t="str">
        <x:v>LAY-05</x:v>
      </x:c>
      <x:c r="B1277" s="219" t="str">
        <x:v>lanes/emc/EMC_DESKTOP_REPORT.md</x:v>
      </x:c>
      <x:c r="C1277" s="219" t="str">
        <x:v>101c4622a26e2d9d73f53b86453962ef79d56eb71cac11b7f0f3b03b8fd1248f</x:v>
      </x:c>
    </x:row>
    <x:row r="1278" ht="30" customHeight="1">
      <x:c r="A1278" s="180" t="str">
        <x:v>LAY-05</x:v>
      </x:c>
      <x:c r="B1278" s="180" t="str">
        <x:v>lanes/emc/REDLINE_DISPOSITIONS.json</x:v>
      </x:c>
      <x:c r="C1278" s="180" t="str">
        <x:v>1e44cc67b597f207b26b6ae31da1dcf5efa4d89b02e1df66c7f8b06b47f34be2</x:v>
      </x:c>
    </x:row>
    <x:row r="1279" ht="30" customHeight="1">
      <x:c r="A1279" s="219" t="str">
        <x:v>LAY-05</x:v>
      </x:c>
      <x:c r="B1279" s="219" t="str">
        <x:v>lanes/emc/EMC_NUMERICAL_VERIFICATION.json</x:v>
      </x:c>
      <x:c r="C1279" s="219" t="str">
        <x:v>dfcf84e50264ea556b24d61b6f41a0091682506644728ded71bea525a80f6b30</x:v>
      </x:c>
    </x:row>
    <x:row r="1280" ht="30" customHeight="1">
      <x:c r="A1280" s="180" t="str">
        <x:v>LAY-05</x:v>
      </x:c>
      <x:c r="B1280" s="180" t="str">
        <x:v>analyses/manufacturing_i20/RESULTS.json</x:v>
      </x:c>
      <x:c r="C1280" s="180" t="str">
        <x:v>daa279f665dd6cad14f4ff36043abbce38c6ee51598e9ae7236d9974563476ac</x:v>
      </x:c>
    </x:row>
    <x:row r="1281" ht="30" customHeight="1">
      <x:c r="A1281" s="219" t="str">
        <x:v>LAY-05</x:v>
      </x:c>
      <x:c r="B1281" s="219" t="str">
        <x:v>analyses/service_i19/RESULTS.json</x:v>
      </x:c>
      <x:c r="C1281" s="219" t="str">
        <x:v>06cbb09e55a98a0039d0cab06f26b85f8af741c8b1c075991283a397f94f47fe</x:v>
      </x:c>
    </x:row>
    <x:row r="1282" ht="30" customHeight="1">
      <x:c r="A1282" s="180" t="str">
        <x:v>LAY-05</x:v>
      </x:c>
      <x:c r="B1282" s="180" t="str">
        <x:v>current/SOURCE_EFFECTIVITY.json</x:v>
      </x:c>
      <x:c r="C1282" s="180" t="str">
        <x:v>832fcdcc8cd7ebb9df2e169c8b9194011c37d138484da13fd5de05bd2657170d</x:v>
      </x:c>
    </x:row>
    <x:row r="1283" ht="30" customHeight="1">
      <x:c r="A1283" s="219" t="str">
        <x:v>LAY-06</x:v>
      </x:c>
      <x:c r="B1283" s="219" t="str">
        <x:v>lanes/power/FINAL_I04_POWER_EFFECTIVITY.json</x:v>
      </x:c>
      <x:c r="C1283" s="219" t="str">
        <x:v>7614948f0477b3872c1893f2c8071300dad9a76bed2163a98c302fc2b08f0b26</x:v>
      </x:c>
    </x:row>
    <x:row r="1284" ht="30" customHeight="1">
      <x:c r="A1284" s="180" t="str">
        <x:v>LAY-06</x:v>
      </x:c>
      <x:c r="B1284" s="180" t="str">
        <x:v>lanes/power/COUPLED_STARTUP_ENVELOPE.json</x:v>
      </x:c>
      <x:c r="C1284" s="180" t="str">
        <x:v>61403b7c7bb855edead8e74923d7d7aa3520f67e6ed50fb9e00818ee7fad28b5</x:v>
      </x:c>
    </x:row>
    <x:row r="1285" ht="30" customHeight="1">
      <x:c r="A1285" s="219" t="str">
        <x:v>LAY-06</x:v>
      </x:c>
      <x:c r="B1285" s="219" t="str">
        <x:v>lanes/power_limits/POWER_LIMITS_SUMMARY.json</x:v>
      </x:c>
      <x:c r="C1285" s="219" t="str">
        <x:v>7dff1f6f253807926f9a5bfb7717bc18ea30e47607cb990bcc9025f7fd9007ef</x:v>
      </x:c>
    </x:row>
    <x:row r="1286" ht="30" customHeight="1">
      <x:c r="A1286" s="180" t="str">
        <x:v>LAY-06</x:v>
      </x:c>
      <x:c r="B1286" s="180" t="str">
        <x:v>analyses/manufacturing_i20/RESULTS.json</x:v>
      </x:c>
      <x:c r="C1286" s="180" t="str">
        <x:v>daa279f665dd6cad14f4ff36043abbce38c6ee51598e9ae7236d9974563476ac</x:v>
      </x:c>
    </x:row>
    <x:row r="1287" ht="30" customHeight="1">
      <x:c r="A1287" s="219" t="str">
        <x:v>LAY-06</x:v>
      </x:c>
      <x:c r="B1287" s="219" t="str">
        <x:v>analyses/service_i19/RESULTS.json</x:v>
      </x:c>
      <x:c r="C1287" s="219" t="str">
        <x:v>06cbb09e55a98a0039d0cab06f26b85f8af741c8b1c075991283a397f94f47fe</x:v>
      </x:c>
    </x:row>
    <x:row r="1288" ht="30" customHeight="1">
      <x:c r="A1288" s="180" t="str">
        <x:v>LAY-06</x:v>
      </x:c>
      <x:c r="B1288" s="180" t="str">
        <x:v>current/SOURCE_EFFECTIVITY.json</x:v>
      </x:c>
      <x:c r="C1288" s="180" t="str">
        <x:v>832fcdcc8cd7ebb9df2e169c8b9194011c37d138484da13fd5de05bd2657170d</x:v>
      </x:c>
    </x:row>
    <x:row r="1289" ht="30" customHeight="1">
      <x:c r="A1289" s="219" t="str">
        <x:v>LAY-07</x:v>
      </x:c>
      <x:c r="B1289" s="219" t="str">
        <x:v>lanes/oil_cap/OIL_CAP_GEOMETRY_REPORT.json</x:v>
      </x:c>
      <x:c r="C1289" s="219" t="str">
        <x:v>d4166613bd2279bb696cb5c6adb26256ae80e679d66d7e6009df7ae60b9428bd</x:v>
      </x:c>
    </x:row>
    <x:row r="1290" ht="30" customHeight="1">
      <x:c r="A1290" s="180" t="str">
        <x:v>LAY-07</x:v>
      </x:c>
      <x:c r="B1290" s="180" t="str">
        <x:v>lanes/oil_cap/OIL_CAP_SAME_NET_CONTACTS.json</x:v>
      </x:c>
      <x:c r="C1290" s="180" t="str">
        <x:v>2f5dee7d7f4155806d436db4b7091bf62f5f674cf59479508a2880e9a32e28ec</x:v>
      </x:c>
    </x:row>
    <x:row r="1291" ht="30" customHeight="1">
      <x:c r="A1291" s="219" t="str">
        <x:v>LAY-07</x:v>
      </x:c>
      <x:c r="B1291" s="219" t="str">
        <x:v>control/check_combined_copper.py</x:v>
      </x:c>
      <x:c r="C1291" s="219" t="str">
        <x:v>5f0e5cb0ceffd8ea3a07fca51209f90225f7b708d666ca33bb5df175fe936c2a</x:v>
      </x:c>
    </x:row>
    <x:row r="1292" ht="30" customHeight="1">
      <x:c r="A1292" s="180" t="str">
        <x:v>LAY-07</x:v>
      </x:c>
      <x:c r="B1292" s="180" t="str">
        <x:v>lanes/oil_cap/FINAL_C532_SUBGRAPH_BINDING.json</x:v>
      </x:c>
      <x:c r="C1292" s="180" t="str">
        <x:v>28967e7b5768764cc5528550516b41c0b77bee732da05d6a03bbde0e3ef6dc94</x:v>
      </x:c>
    </x:row>
    <x:row r="1293" ht="30" customHeight="1">
      <x:c r="A1293" s="219" t="str">
        <x:v>LAY-07</x:v>
      </x:c>
      <x:c r="B1293" s="219" t="str">
        <x:v>iterations/I04_compact_shunt/COMBINED_COPPER_CHECK.json</x:v>
      </x:c>
      <x:c r="C1293" s="219" t="str">
        <x:v>dbe14bde92d2e9445f4765e4ff8ac028412039b5e90b4b3a42870684391933e5</x:v>
      </x:c>
    </x:row>
    <x:row r="1294" ht="30" customHeight="1">
      <x:c r="A1294" s="180" t="str">
        <x:v>LAY-07</x:v>
      </x:c>
      <x:c r="B1294" s="180" t="str">
        <x:v>iterations/I04_compact_shunt/COURTYARD_CHECK.json</x:v>
      </x:c>
      <x:c r="C1294" s="180" t="str">
        <x:v>6e080d8a723d8a3c7ae1665078acf472b0a39e433bc64fe21516790ff5541ab2</x:v>
      </x:c>
    </x:row>
    <x:row r="1295" ht="30" customHeight="1">
      <x:c r="A1295" s="219" t="str">
        <x:v>LAY-07</x:v>
      </x:c>
      <x:c r="B1295" s="219" t="str">
        <x:v>verification/independent/I04_SOURCE_AND_GATE_AUDIT.json</x:v>
      </x:c>
      <x:c r="C1295" s="219" t="str">
        <x:v>18fceb8cec99fceb6476a5439d12fc57798a8b226e25607bf54b179f0f063d75</x:v>
      </x:c>
    </x:row>
    <x:row r="1296" ht="30" customHeight="1">
      <x:c r="A1296" s="180" t="str">
        <x:v>LAY-07</x:v>
      </x:c>
      <x:c r="B1296" s="180" t="str">
        <x:v>analyses/manufacturing_i20/RESULTS.json</x:v>
      </x:c>
      <x:c r="C1296" s="180" t="str">
        <x:v>daa279f665dd6cad14f4ff36043abbce38c6ee51598e9ae7236d9974563476ac</x:v>
      </x:c>
    </x:row>
    <x:row r="1297" ht="30" customHeight="1">
      <x:c r="A1297" s="219" t="str">
        <x:v>LAY-07</x:v>
      </x:c>
      <x:c r="B1297" s="219" t="str">
        <x:v>analyses/service_i19/RESULTS.json</x:v>
      </x:c>
      <x:c r="C1297" s="219" t="str">
        <x:v>06cbb09e55a98a0039d0cab06f26b85f8af741c8b1c075991283a397f94f47fe</x:v>
      </x:c>
    </x:row>
    <x:row r="1298" ht="30" customHeight="1">
      <x:c r="A1298" s="180" t="str">
        <x:v>LAY-07</x:v>
      </x:c>
      <x:c r="B1298" s="180" t="str">
        <x:v>current/SOURCE_EFFECTIVITY.json</x:v>
      </x:c>
      <x:c r="C1298" s="180" t="str">
        <x:v>832fcdcc8cd7ebb9df2e169c8b9194011c37d138484da13fd5de05bd2657170d</x:v>
      </x:c>
    </x:row>
    <x:row r="1299" ht="30" customHeight="1">
      <x:c r="A1299" s="219" t="str">
        <x:v>LAY-08</x:v>
      </x:c>
      <x:c r="B1299" s="219" t="str">
        <x:v>analyses/mated_i18/RESULTS.json</x:v>
      </x:c>
      <x:c r="C1299" s="219" t="str">
        <x:v>7466a6278a904f43d085330b5b6057d7fa92c8d24156eb7ea875f35bc42044d2</x:v>
      </x:c>
    </x:row>
    <x:row r="1300" ht="30" customHeight="1">
      <x:c r="A1300" s="180" t="str">
        <x:v>LAY-08</x:v>
      </x:c>
      <x:c r="B1300" s="180" t="str">
        <x:v>analyses/service_i19/RESULTS.json</x:v>
      </x:c>
      <x:c r="C1300" s="180" t="str">
        <x:v>06cbb09e55a98a0039d0cab06f26b85f8af741c8b1c075991283a397f94f47fe</x:v>
      </x:c>
    </x:row>
    <x:row r="1301" ht="30" customHeight="1">
      <x:c r="A1301" s="219" t="str">
        <x:v>LAY-08</x:v>
      </x:c>
      <x:c r="B1301" s="219" t="str">
        <x:v>analyses/installation/DASHBOARD_EXPOSURE_AND_SERVICE.md</x:v>
      </x:c>
      <x:c r="C1301" s="219" t="str">
        <x:v>9875d08e5f9c94bc8a752d9f7372da234a2311a0a80bf4d7aa8ed15e9dbefd48</x:v>
      </x:c>
    </x:row>
    <x:row r="1302" ht="30" customHeight="1">
      <x:c r="A1302" s="180" t="str">
        <x:v>LAY-08</x:v>
      </x:c>
      <x:c r="B1302" s="180" t="str">
        <x:v>current/SOURCE_EFFECTIVITY.json</x:v>
      </x:c>
      <x:c r="C1302" s="180" t="str">
        <x:v>832fcdcc8cd7ebb9df2e169c8b9194011c37d138484da13fd5de05bd2657170d</x:v>
      </x:c>
    </x:row>
    <x:row r="1303" ht="30" customHeight="1">
      <x:c r="A1303" s="219" t="str">
        <x:v>LAY-09</x:v>
      </x:c>
      <x:c r="B1303" s="219" t="str">
        <x:v>iterations/I20_controlled_handoff/NATIVE_BINDING.json</x:v>
      </x:c>
      <x:c r="C1303" s="219" t="str">
        <x:v>6f36235aab2349569f2cacf485912921762bc718e2a5fd5c4c72c2808ca2312b</x:v>
      </x:c>
    </x:row>
    <x:row r="1304" ht="30" customHeight="1">
      <x:c r="A1304" s="180" t="str">
        <x:v>LAY-09</x:v>
      </x:c>
      <x:c r="B1304" s="180" t="str">
        <x:v>analyses/service_i19/RESULTS.json</x:v>
      </x:c>
      <x:c r="C1304" s="180" t="str">
        <x:v>06cbb09e55a98a0039d0cab06f26b85f8af741c8b1c075991283a397f94f47fe</x:v>
      </x:c>
    </x:row>
    <x:row r="1305" ht="30" customHeight="1">
      <x:c r="A1305" s="219" t="str">
        <x:v>LAY-09</x:v>
      </x:c>
      <x:c r="B1305" s="219" t="str">
        <x:v>current/SOURCE_EFFECTIVITY.json</x:v>
      </x:c>
      <x:c r="C1305" s="219" t="str">
        <x:v>832fcdcc8cd7ebb9df2e169c8b9194011c37d138484da13fd5de05bd2657170d</x:v>
      </x:c>
    </x:row>
    <x:row r="1306" ht="30" customHeight="1">
      <x:c r="A1306" s="180" t="str">
        <x:v>LAY-10</x:v>
      </x:c>
      <x:c r="B1306" s="180" t="str">
        <x:v>iterations/I20_controlled_handoff/NATIVE_BINDING.json</x:v>
      </x:c>
      <x:c r="C1306" s="180" t="str">
        <x:v>6f36235aab2349569f2cacf485912921762bc718e2a5fd5c4c72c2808ca2312b</x:v>
      </x:c>
    </x:row>
    <x:row r="1307" ht="30" customHeight="1">
      <x:c r="A1307" s="219" t="str">
        <x:v>LAY-10</x:v>
      </x:c>
      <x:c r="B1307" s="219" t="str">
        <x:v>current/I21_SOURCE_VERIFICATION.json</x:v>
      </x:c>
      <x:c r="C1307" s="219" t="str">
        <x:v>938ba171be55b8b6213eb00bc73cd52e90973449a35deda4dcf4c730e5b97993</x:v>
      </x:c>
    </x:row>
    <x:row r="1308" ht="30" customHeight="1">
      <x:c r="A1308" s="180" t="str">
        <x:v>LAY-10</x:v>
      </x:c>
      <x:c r="B1308" s="180" t="str">
        <x:v>analyses/manufacturing_i20/RESULTS.json</x:v>
      </x:c>
      <x:c r="C1308" s="180" t="str">
        <x:v>daa279f665dd6cad14f4ff36043abbce38c6ee51598e9ae7236d9974563476ac</x:v>
      </x:c>
    </x:row>
    <x:row r="1309" ht="30" customHeight="1">
      <x:c r="A1309" s="219" t="str">
        <x:v>LAY-10</x:v>
      </x:c>
      <x:c r="B1309" s="219" t="str">
        <x:v>current/SOURCE_EFFECTIVITY.json</x:v>
      </x:c>
      <x:c r="C1309" s="219" t="str">
        <x:v>832fcdcc8cd7ebb9df2e169c8b9194011c37d138484da13fd5de05bd2657170d</x:v>
      </x:c>
    </x:row>
    <x:row r="1310" ht="30" customHeight="1">
      <x:c r="A1310" s="180" t="str">
        <x:v>DFM-01</x:v>
      </x:c>
      <x:c r="B1310" s="180" t="str">
        <x:v>analyses/assembly_handling/EXACT_MPN_HANDLING_REGISTER.json</x:v>
      </x:c>
      <x:c r="C1310" s="180" t="str">
        <x:v>8b75ad02a30de0d34ab9ac955fc38228d618ae520889c8d6955a7b978bdd9e06</x:v>
      </x:c>
    </x:row>
    <x:row r="1311" ht="30" customHeight="1">
      <x:c r="A1311" s="219" t="str">
        <x:v>DFM-01</x:v>
      </x:c>
      <x:c r="B1311" s="219" t="str">
        <x:v>analyses/assembly_handling/PROCESS_RECONCILIATION.md</x:v>
      </x:c>
      <x:c r="C1311" s="219" t="str">
        <x:v>238614f0abeea7b3234c431093d78679c59a5ae4b5b9b15c55e0d39de7561305</x:v>
      </x:c>
    </x:row>
    <x:row r="1312" ht="30" customHeight="1">
      <x:c r="A1312" s="180" t="str">
        <x:v>DFM-01</x:v>
      </x:c>
      <x:c r="B1312" s="180" t="str">
        <x:v>lanes/mechanics/ASSEMBLY_PROCESS_RVB22.md</x:v>
      </x:c>
      <x:c r="C1312" s="180" t="str">
        <x:v>e9f510a20e18d6d8a2cf6b264640d7c7aec0445b876b6c7b2a70f247197d20e7</x:v>
      </x:c>
    </x:row>
    <x:row r="1313" ht="30" customHeight="1">
      <x:c r="A1313" s="219" t="str">
        <x:v>DFM-01</x:v>
      </x:c>
      <x:c r="B1313" s="219" t="str">
        <x:v>iterations/I20_controlled_handoff/NATIVE_BINDING.json</x:v>
      </x:c>
      <x:c r="C1313" s="219" t="str">
        <x:v>6f36235aab2349569f2cacf485912921762bc718e2a5fd5c4c72c2808ca2312b</x:v>
      </x:c>
    </x:row>
    <x:row r="1314" ht="30" customHeight="1">
      <x:c r="A1314" s="180" t="str">
        <x:v>DFM-01</x:v>
      </x:c>
      <x:c r="B1314" s="180" t="str">
        <x:v>current/SOURCE_EFFECTIVITY.json</x:v>
      </x:c>
      <x:c r="C1314" s="180" t="str">
        <x:v>832fcdcc8cd7ebb9df2e169c8b9194011c37d138484da13fd5de05bd2657170d</x:v>
      </x:c>
    </x:row>
    <x:row r="1315" ht="30" customHeight="1">
      <x:c r="A1315" s="219" t="str">
        <x:v>DFM-01</x:v>
      </x:c>
      <x:c r="B1315" s="219" t="str">
        <x:v>current/MANUFACTURING_AND_ASSEMBLY.md</x:v>
      </x:c>
      <x:c r="C1315" s="219" t="str">
        <x:v>5b7bbc8bc09607b8d282663da0a184df3605dfb68d3f5ea0269e241842184c4d</x:v>
      </x:c>
    </x:row>
    <x:row r="1316" ht="30" customHeight="1">
      <x:c r="A1316" s="180" t="str">
        <x:v>DFM-02</x:v>
      </x:c>
      <x:c r="B1316" s="180" t="str">
        <x:v>runtime/final_I06_actual_preflight/RESULT.json</x:v>
      </x:c>
      <x:c r="C1316" s="180" t="str">
        <x:v>47d1ac4057b92a6752abacf976768596bf4fa311d08c9fc08df2d276e8e1200f</x:v>
      </x:c>
    </x:row>
    <x:row r="1317" ht="30" customHeight="1">
      <x:c r="A1317" s="219" t="str">
        <x:v>DFM-02</x:v>
      </x:c>
      <x:c r="B1317" s="219" t="str">
        <x:v>runtime/run_native_candidate.py</x:v>
      </x:c>
      <x:c r="C1317" s="219" t="str">
        <x:v>187d303cb103cef92143d53c099615a435ceef29c0458d7ac9521205d451f315</x:v>
      </x:c>
    </x:row>
    <x:row r="1318" ht="30" customHeight="1">
      <x:c r="A1318" s="180" t="str">
        <x:v>DFM-02</x:v>
      </x:c>
      <x:c r="B1318" s="180" t="str">
        <x:v>iterations/I20_controlled_handoff/NATIVE_BINDING.json</x:v>
      </x:c>
      <x:c r="C1318" s="180" t="str">
        <x:v>6f36235aab2349569f2cacf485912921762bc718e2a5fd5c4c72c2808ca2312b</x:v>
      </x:c>
    </x:row>
    <x:row r="1319" ht="30" customHeight="1">
      <x:c r="A1319" s="219" t="str">
        <x:v>DFM-02</x:v>
      </x:c>
      <x:c r="B1319" s="219" t="str">
        <x:v>current/SOURCE_EFFECTIVITY.json</x:v>
      </x:c>
      <x:c r="C1319" s="219" t="str">
        <x:v>832fcdcc8cd7ebb9df2e169c8b9194011c37d138484da13fd5de05bd2657170d</x:v>
      </x:c>
    </x:row>
    <x:row r="1320" ht="30" customHeight="1">
      <x:c r="A1320" s="180" t="str">
        <x:v>DFM-02</x:v>
      </x:c>
      <x:c r="B1320" s="180" t="str">
        <x:v>current/MANUFACTURING_AND_ASSEMBLY.md</x:v>
      </x:c>
      <x:c r="C1320" s="180" t="str">
        <x:v>5b7bbc8bc09607b8d282663da0a184df3605dfb68d3f5ea0269e241842184c4d</x:v>
      </x:c>
    </x:row>
    <x:row r="1321" ht="30" customHeight="1">
      <x:c r="A1321" s="219" t="str">
        <x:v>DFM-03</x:v>
      </x:c>
      <x:c r="B1321" s="219" t="str">
        <x:v>analyses/manufacturing_i20/RESULTS.json</x:v>
      </x:c>
      <x:c r="C1321" s="219" t="str">
        <x:v>daa279f665dd6cad14f4ff36043abbce38c6ee51598e9ae7236d9974563476ac</x:v>
      </x:c>
    </x:row>
    <x:row r="1322" ht="30" customHeight="1">
      <x:c r="A1322" s="180" t="str">
        <x:v>DFM-03</x:v>
      </x:c>
      <x:c r="B1322" s="180" t="str">
        <x:v>iterations/I18_capacitor_thermal_tab/CURRENT_OUTLINE_GEOMETRY.json</x:v>
      </x:c>
      <x:c r="C1322" s="180" t="str">
        <x:v>fe847d108c37a15d8386c9abec3cedbe39f390f4091c071464596b5b871101b7</x:v>
      </x:c>
    </x:row>
    <x:row r="1323" ht="30" customHeight="1">
      <x:c r="A1323" s="219" t="str">
        <x:v>DFM-03</x:v>
      </x:c>
      <x:c r="B1323" s="219" t="str">
        <x:v>current/SOURCE_EFFECTIVITY.json</x:v>
      </x:c>
      <x:c r="C1323" s="219" t="str">
        <x:v>832fcdcc8cd7ebb9df2e169c8b9194011c37d138484da13fd5de05bd2657170d</x:v>
      </x:c>
    </x:row>
    <x:row r="1324" ht="30" customHeight="1">
      <x:c r="A1324" s="180" t="str">
        <x:v>DFM-04</x:v>
      </x:c>
      <x:c r="B1324" s="180" t="str">
        <x:v>runtime/run_native_candidate.py</x:v>
      </x:c>
      <x:c r="C1324" s="180" t="str">
        <x:v>187d303cb103cef92143d53c099615a435ceef29c0458d7ac9521205d451f315</x:v>
      </x:c>
    </x:row>
    <x:row r="1325" ht="30" customHeight="1">
      <x:c r="A1325" s="219" t="str">
        <x:v>DFM-04</x:v>
      </x:c>
      <x:c r="B1325" s="219" t="str">
        <x:v>runtime/final_I06_actual_preflight/RESULT.json</x:v>
      </x:c>
      <x:c r="C1325" s="219" t="str">
        <x:v>47d1ac4057b92a6752abacf976768596bf4fa311d08c9fc08df2d276e8e1200f</x:v>
      </x:c>
    </x:row>
    <x:row r="1326" ht="30" customHeight="1">
      <x:c r="A1326" s="180" t="str">
        <x:v>DFM-04</x:v>
      </x:c>
      <x:c r="B1326" s="180" t="str">
        <x:v>runtime/NATIVE_NEGATIVE_CONTROL_RECHECK.json</x:v>
      </x:c>
      <x:c r="C1326" s="180" t="str">
        <x:v>c4c3531bdbbc221139a01a09a581b260ee9b9c28f55002b23dfac566a3b53e79</x:v>
      </x:c>
    </x:row>
    <x:row r="1327" ht="30" customHeight="1">
      <x:c r="A1327" s="219" t="str">
        <x:v>DFM-04</x:v>
      </x:c>
      <x:c r="B1327" s="219" t="str">
        <x:v>iterations/I06_harness_handoff/CANDIDATE_MANIFEST.json</x:v>
      </x:c>
      <x:c r="C1327" s="219" t="str">
        <x:v>017aa6938b0cea4fcf5d02a0e28ba556e4a0c0485495f171a7d5aba15a703fc0</x:v>
      </x:c>
    </x:row>
    <x:row r="1328" ht="30" customHeight="1">
      <x:c r="A1328" s="180" t="str">
        <x:v>DFM-04</x:v>
      </x:c>
      <x:c r="B1328" s="180" t="str">
        <x:v>iterations/I20_controlled_handoff/NATIVE_BINDING.json</x:v>
      </x:c>
      <x:c r="C1328" s="180" t="str">
        <x:v>6f36235aab2349569f2cacf485912921762bc718e2a5fd5c4c72c2808ca2312b</x:v>
      </x:c>
    </x:row>
    <x:row r="1329" ht="30" customHeight="1">
      <x:c r="A1329" s="219" t="str">
        <x:v>DFM-04</x:v>
      </x:c>
      <x:c r="B1329" s="219" t="str">
        <x:v>current/SOURCE_EFFECTIVITY.json</x:v>
      </x:c>
      <x:c r="C1329" s="219" t="str">
        <x:v>832fcdcc8cd7ebb9df2e169c8b9194011c37d138484da13fd5de05bd2657170d</x:v>
      </x:c>
    </x:row>
    <x:row r="1330" ht="30" customHeight="1">
      <x:c r="A1330" s="180" t="str">
        <x:v>DFM-04</x:v>
      </x:c>
      <x:c r="B1330" s="180" t="str">
        <x:v>current/MANUFACTURING_AND_ASSEMBLY.md</x:v>
      </x:c>
      <x:c r="C1330" s="180" t="str">
        <x:v>5b7bbc8bc09607b8d282663da0a184df3605dfb68d3f5ea0269e241842184c4d</x:v>
      </x:c>
    </x:row>
    <x:row r="1331" ht="30" customHeight="1">
      <x:c r="A1331" s="219" t="str">
        <x:v>DFM-05</x:v>
      </x:c>
      <x:c r="B1331" s="219" t="str">
        <x:v>analyses/assembly_handling/EXACT_MPN_HANDLING_REGISTER.json</x:v>
      </x:c>
      <x:c r="C1331" s="219" t="str">
        <x:v>8b75ad02a30de0d34ab9ac955fc38228d618ae520889c8d6955a7b978bdd9e06</x:v>
      </x:c>
    </x:row>
    <x:row r="1332" ht="30" customHeight="1">
      <x:c r="A1332" s="180" t="str">
        <x:v>DFM-05</x:v>
      </x:c>
      <x:c r="B1332" s="180" t="str">
        <x:v>analyses/assembly_handling/PROCESS_RECONCILIATION.md</x:v>
      </x:c>
      <x:c r="C1332" s="180" t="str">
        <x:v>238614f0abeea7b3234c431093d78679c59a5ae4b5b9b15c55e0d39de7561305</x:v>
      </x:c>
    </x:row>
    <x:row r="1333" ht="30" customHeight="1">
      <x:c r="A1333" s="219" t="str">
        <x:v>DFM-05</x:v>
      </x:c>
      <x:c r="B1333" s="219" t="str">
        <x:v>lanes/mechanics/ASSEMBLY_PROCESS_RVB22.md</x:v>
      </x:c>
      <x:c r="C1333" s="219" t="str">
        <x:v>e9f510a20e18d6d8a2cf6b264640d7c7aec0445b876b6c7b2a70f247197d20e7</x:v>
      </x:c>
    </x:row>
    <x:row r="1334" ht="30" customHeight="1">
      <x:c r="A1334" s="180" t="str">
        <x:v>DFM-05</x:v>
      </x:c>
      <x:c r="B1334" s="180" t="str">
        <x:v>iterations/I20_controlled_handoff/NATIVE_BINDING.json</x:v>
      </x:c>
      <x:c r="C1334" s="180" t="str">
        <x:v>6f36235aab2349569f2cacf485912921762bc718e2a5fd5c4c72c2808ca2312b</x:v>
      </x:c>
    </x:row>
    <x:row r="1335" ht="30" customHeight="1">
      <x:c r="A1335" s="219" t="str">
        <x:v>DFM-05</x:v>
      </x:c>
      <x:c r="B1335" s="219" t="str">
        <x:v>current/SOURCE_EFFECTIVITY.json</x:v>
      </x:c>
      <x:c r="C1335" s="219" t="str">
        <x:v>832fcdcc8cd7ebb9df2e169c8b9194011c37d138484da13fd5de05bd2657170d</x:v>
      </x:c>
    </x:row>
    <x:row r="1336" ht="30" customHeight="1">
      <x:c r="A1336" s="180" t="str">
        <x:v>DFM-05</x:v>
      </x:c>
      <x:c r="B1336" s="180" t="str">
        <x:v>current/MANUFACTURING_AND_ASSEMBLY.md</x:v>
      </x:c>
      <x:c r="C1336" s="180" t="str">
        <x:v>5b7bbc8bc09607b8d282663da0a184df3605dfb68d3f5ea0269e241842184c4d</x:v>
      </x:c>
    </x:row>
    <x:row r="1337" ht="30" customHeight="1">
      <x:c r="A1337" s="219" t="str">
        <x:v>DFM-06</x:v>
      </x:c>
      <x:c r="B1337" s="219" t="str">
        <x:v>analyses/assembly_handling/EXACT_MPN_HANDLING_REGISTER.json</x:v>
      </x:c>
      <x:c r="C1337" s="219" t="str">
        <x:v>8b75ad02a30de0d34ab9ac955fc38228d618ae520889c8d6955a7b978bdd9e06</x:v>
      </x:c>
    </x:row>
    <x:row r="1338" ht="30" customHeight="1">
      <x:c r="A1338" s="180" t="str">
        <x:v>DFM-06</x:v>
      </x:c>
      <x:c r="B1338" s="180" t="str">
        <x:v>analyses/assembly_handling/PROCESS_RECONCILIATION.md</x:v>
      </x:c>
      <x:c r="C1338" s="180" t="str">
        <x:v>238614f0abeea7b3234c431093d78679c59a5ae4b5b9b15c55e0d39de7561305</x:v>
      </x:c>
    </x:row>
    <x:row r="1339" ht="30" customHeight="1">
      <x:c r="A1339" s="219" t="str">
        <x:v>DFM-06</x:v>
      </x:c>
      <x:c r="B1339" s="219" t="str">
        <x:v>lanes/mechanics/ASSEMBLY_PROCESS_RVB22.md</x:v>
      </x:c>
      <x:c r="C1339" s="219" t="str">
        <x:v>e9f510a20e18d6d8a2cf6b264640d7c7aec0445b876b6c7b2a70f247197d20e7</x:v>
      </x:c>
    </x:row>
    <x:row r="1340" ht="30" customHeight="1">
      <x:c r="A1340" s="180" t="str">
        <x:v>DFM-06</x:v>
      </x:c>
      <x:c r="B1340" s="180" t="str">
        <x:v>iterations/I20_controlled_handoff/NATIVE_BINDING.json</x:v>
      </x:c>
      <x:c r="C1340" s="180" t="str">
        <x:v>6f36235aab2349569f2cacf485912921762bc718e2a5fd5c4c72c2808ca2312b</x:v>
      </x:c>
    </x:row>
    <x:row r="1341" ht="30" customHeight="1">
      <x:c r="A1341" s="219" t="str">
        <x:v>DFM-06</x:v>
      </x:c>
      <x:c r="B1341" s="219" t="str">
        <x:v>current/SOURCE_EFFECTIVITY.json</x:v>
      </x:c>
      <x:c r="C1341" s="219" t="str">
        <x:v>832fcdcc8cd7ebb9df2e169c8b9194011c37d138484da13fd5de05bd2657170d</x:v>
      </x:c>
    </x:row>
    <x:row r="1342" ht="30" customHeight="1">
      <x:c r="A1342" s="180" t="str">
        <x:v>DFM-06</x:v>
      </x:c>
      <x:c r="B1342" s="180" t="str">
        <x:v>current/MANUFACTURING_AND_ASSEMBLY.md</x:v>
      </x:c>
      <x:c r="C1342" s="180" t="str">
        <x:v>5b7bbc8bc09607b8d282663da0a184df3605dfb68d3f5ea0269e241842184c4d</x:v>
      </x:c>
    </x:row>
    <x:row r="1343" ht="30" customHeight="1">
      <x:c r="A1343" s="219" t="str">
        <x:v>DFM-07</x:v>
      </x:c>
      <x:c r="B1343" s="219" t="str">
        <x:v>analyses/assembly_handling/EXACT_MPN_HANDLING_REGISTER.json</x:v>
      </x:c>
      <x:c r="C1343" s="219" t="str">
        <x:v>8b75ad02a30de0d34ab9ac955fc38228d618ae520889c8d6955a7b978bdd9e06</x:v>
      </x:c>
    </x:row>
    <x:row r="1344" ht="30" customHeight="1">
      <x:c r="A1344" s="180" t="str">
        <x:v>DFM-07</x:v>
      </x:c>
      <x:c r="B1344" s="180" t="str">
        <x:v>analyses/assembly_handling/PROCESS_RECONCILIATION.md</x:v>
      </x:c>
      <x:c r="C1344" s="180" t="str">
        <x:v>238614f0abeea7b3234c431093d78679c59a5ae4b5b9b15c55e0d39de7561305</x:v>
      </x:c>
    </x:row>
    <x:row r="1345" ht="30" customHeight="1">
      <x:c r="A1345" s="219" t="str">
        <x:v>DFM-07</x:v>
      </x:c>
      <x:c r="B1345" s="219" t="str">
        <x:v>lanes/mechanics/ASSEMBLY_PROCESS_RVB22.md</x:v>
      </x:c>
      <x:c r="C1345" s="219" t="str">
        <x:v>e9f510a20e18d6d8a2cf6b264640d7c7aec0445b876b6c7b2a70f247197d20e7</x:v>
      </x:c>
    </x:row>
    <x:row r="1346" ht="30" customHeight="1">
      <x:c r="A1346" s="180" t="str">
        <x:v>DFM-07</x:v>
      </x:c>
      <x:c r="B1346" s="180" t="str">
        <x:v>iterations/I20_controlled_handoff/NATIVE_BINDING.json</x:v>
      </x:c>
      <x:c r="C1346" s="180" t="str">
        <x:v>6f36235aab2349569f2cacf485912921762bc718e2a5fd5c4c72c2808ca2312b</x:v>
      </x:c>
    </x:row>
    <x:row r="1347" ht="30" customHeight="1">
      <x:c r="A1347" s="219" t="str">
        <x:v>DFM-07</x:v>
      </x:c>
      <x:c r="B1347" s="219" t="str">
        <x:v>current/SOURCE_EFFECTIVITY.json</x:v>
      </x:c>
      <x:c r="C1347" s="219" t="str">
        <x:v>832fcdcc8cd7ebb9df2e169c8b9194011c37d138484da13fd5de05bd2657170d</x:v>
      </x:c>
    </x:row>
    <x:row r="1348" ht="30" customHeight="1">
      <x:c r="A1348" s="180" t="str">
        <x:v>DFM-07</x:v>
      </x:c>
      <x:c r="B1348" s="180" t="str">
        <x:v>current/MANUFACTURING_AND_ASSEMBLY.md</x:v>
      </x:c>
      <x:c r="C1348" s="180" t="str">
        <x:v>5b7bbc8bc09607b8d282663da0a184df3605dfb68d3f5ea0269e241842184c4d</x:v>
      </x:c>
    </x:row>
    <x:row r="1349" ht="30" customHeight="1">
      <x:c r="A1349" s="219" t="str">
        <x:v>DFM-08</x:v>
      </x:c>
      <x:c r="B1349" s="219" t="str">
        <x:v>analyses/assembly_handling/EXACT_MPN_HANDLING_REGISTER.json</x:v>
      </x:c>
      <x:c r="C1349" s="219" t="str">
        <x:v>8b75ad02a30de0d34ab9ac955fc38228d618ae520889c8d6955a7b978bdd9e06</x:v>
      </x:c>
    </x:row>
    <x:row r="1350" ht="30" customHeight="1">
      <x:c r="A1350" s="180" t="str">
        <x:v>DFM-08</x:v>
      </x:c>
      <x:c r="B1350" s="180" t="str">
        <x:v>analyses/assembly_handling/PROCESS_RECONCILIATION.md</x:v>
      </x:c>
      <x:c r="C1350" s="180" t="str">
        <x:v>238614f0abeea7b3234c431093d78679c59a5ae4b5b9b15c55e0d39de7561305</x:v>
      </x:c>
    </x:row>
    <x:row r="1351" ht="30" customHeight="1">
      <x:c r="A1351" s="219" t="str">
        <x:v>DFM-08</x:v>
      </x:c>
      <x:c r="B1351" s="219" t="str">
        <x:v>lanes/mechanics/ASSEMBLY_PROCESS_RVB22.md</x:v>
      </x:c>
      <x:c r="C1351" s="219" t="str">
        <x:v>e9f510a20e18d6d8a2cf6b264640d7c7aec0445b876b6c7b2a70f247197d20e7</x:v>
      </x:c>
    </x:row>
    <x:row r="1352" ht="30" customHeight="1">
      <x:c r="A1352" s="180" t="str">
        <x:v>DFM-08</x:v>
      </x:c>
      <x:c r="B1352" s="180" t="str">
        <x:v>iterations/I20_controlled_handoff/NATIVE_BINDING.json</x:v>
      </x:c>
      <x:c r="C1352" s="180" t="str">
        <x:v>6f36235aab2349569f2cacf485912921762bc718e2a5fd5c4c72c2808ca2312b</x:v>
      </x:c>
    </x:row>
    <x:row r="1353" ht="30" customHeight="1">
      <x:c r="A1353" s="219" t="str">
        <x:v>DFM-08</x:v>
      </x:c>
      <x:c r="B1353" s="219" t="str">
        <x:v>current/SOURCE_EFFECTIVITY.json</x:v>
      </x:c>
      <x:c r="C1353" s="219" t="str">
        <x:v>832fcdcc8cd7ebb9df2e169c8b9194011c37d138484da13fd5de05bd2657170d</x:v>
      </x:c>
    </x:row>
    <x:row r="1354" ht="30" customHeight="1">
      <x:c r="A1354" s="180" t="str">
        <x:v>DFM-08</x:v>
      </x:c>
      <x:c r="B1354" s="180" t="str">
        <x:v>current/MANUFACTURING_AND_ASSEMBLY.md</x:v>
      </x:c>
      <x:c r="C1354" s="180" t="str">
        <x:v>5b7bbc8bc09607b8d282663da0a184df3605dfb68d3f5ea0269e241842184c4d</x:v>
      </x:c>
    </x:row>
    <x:row r="1355" ht="30" customHeight="1">
      <x:c r="A1355" s="219" t="str">
        <x:v>DFM-09</x:v>
      </x:c>
      <x:c r="B1355" s="219" t="str">
        <x:v>analyses/assembly_handling/EXACT_MPN_HANDLING_REGISTER.json</x:v>
      </x:c>
      <x:c r="C1355" s="219" t="str">
        <x:v>8b75ad02a30de0d34ab9ac955fc38228d618ae520889c8d6955a7b978bdd9e06</x:v>
      </x:c>
    </x:row>
    <x:row r="1356" ht="30" customHeight="1">
      <x:c r="A1356" s="180" t="str">
        <x:v>DFM-09</x:v>
      </x:c>
      <x:c r="B1356" s="180" t="str">
        <x:v>analyses/assembly_handling/PROCESS_RECONCILIATION.md</x:v>
      </x:c>
      <x:c r="C1356" s="180" t="str">
        <x:v>238614f0abeea7b3234c431093d78679c59a5ae4b5b9b15c55e0d39de7561305</x:v>
      </x:c>
    </x:row>
    <x:row r="1357" ht="30" customHeight="1">
      <x:c r="A1357" s="219" t="str">
        <x:v>DFM-09</x:v>
      </x:c>
      <x:c r="B1357" s="219" t="str">
        <x:v>lanes/mechanics/ASSEMBLY_PROCESS_RVB22.md</x:v>
      </x:c>
      <x:c r="C1357" s="219" t="str">
        <x:v>e9f510a20e18d6d8a2cf6b264640d7c7aec0445b876b6c7b2a70f247197d20e7</x:v>
      </x:c>
    </x:row>
    <x:row r="1358" ht="30" customHeight="1">
      <x:c r="A1358" s="180" t="str">
        <x:v>DFM-09</x:v>
      </x:c>
      <x:c r="B1358" s="180" t="str">
        <x:v>iterations/I20_controlled_handoff/NATIVE_BINDING.json</x:v>
      </x:c>
      <x:c r="C1358" s="180" t="str">
        <x:v>6f36235aab2349569f2cacf485912921762bc718e2a5fd5c4c72c2808ca2312b</x:v>
      </x:c>
    </x:row>
    <x:row r="1359" ht="30" customHeight="1">
      <x:c r="A1359" s="219" t="str">
        <x:v>DFM-09</x:v>
      </x:c>
      <x:c r="B1359" s="219" t="str">
        <x:v>current/SOURCE_EFFECTIVITY.json</x:v>
      </x:c>
      <x:c r="C1359" s="219" t="str">
        <x:v>832fcdcc8cd7ebb9df2e169c8b9194011c37d138484da13fd5de05bd2657170d</x:v>
      </x:c>
    </x:row>
    <x:row r="1360" ht="30" customHeight="1">
      <x:c r="A1360" s="180" t="str">
        <x:v>DFM-09</x:v>
      </x:c>
      <x:c r="B1360" s="180" t="str">
        <x:v>current/MANUFACTURING_AND_ASSEMBLY.md</x:v>
      </x:c>
      <x:c r="C1360" s="180" t="str">
        <x:v>5b7bbc8bc09607b8d282663da0a184df3605dfb68d3f5ea0269e241842184c4d</x:v>
      </x:c>
    </x:row>
    <x:row r="1361" ht="30" customHeight="1">
      <x:c r="A1361" s="219" t="str">
        <x:v>DFM-10</x:v>
      </x:c>
      <x:c r="B1361" s="219" t="str">
        <x:v>current/SOURCE_EFFECTIVITY.json</x:v>
      </x:c>
      <x:c r="C1361" s="219" t="str">
        <x:v>832fcdcc8cd7ebb9df2e169c8b9194011c37d138484da13fd5de05bd2657170d</x:v>
      </x:c>
    </x:row>
    <x:row r="1362" ht="30" customHeight="1">
      <x:c r="A1362" s="180" t="str">
        <x:v>DFM-10</x:v>
      </x:c>
      <x:c r="B1362" s="180" t="str">
        <x:v>iterations/I20_controlled_handoff/NATIVE_BINDING.json</x:v>
      </x:c>
      <x:c r="C1362" s="180" t="str">
        <x:v>6f36235aab2349569f2cacf485912921762bc718e2a5fd5c4c72c2808ca2312b</x:v>
      </x:c>
    </x:row>
    <x:row r="1363" ht="30" customHeight="1">
      <x:c r="A1363" s="219" t="str">
        <x:v>DRW-01</x:v>
      </x:c>
      <x:c r="B1363" s="219" t="str">
        <x:v>iterations/I20_controlled_handoff/NATIVE_BINDING.json</x:v>
      </x:c>
      <x:c r="C1363" s="219" t="str">
        <x:v>6f36235aab2349569f2cacf485912921762bc718e2a5fd5c4c72c2808ca2312b</x:v>
      </x:c>
    </x:row>
    <x:row r="1364" ht="30" customHeight="1">
      <x:c r="A1364" s="180" t="str">
        <x:v>DRW-01</x:v>
      </x:c>
      <x:c r="B1364" s="180" t="str">
        <x:v>current/I21_SOURCE_VERIFICATION.json</x:v>
      </x:c>
      <x:c r="C1364" s="180" t="str">
        <x:v>938ba171be55b8b6213eb00bc73cd52e90973449a35deda4dcf4c730e5b97993</x:v>
      </x:c>
    </x:row>
    <x:row r="1365" ht="30" customHeight="1">
      <x:c r="A1365" s="219" t="str">
        <x:v>DRW-01</x:v>
      </x:c>
      <x:c r="B1365" s="219" t="str">
        <x:v>current/SOURCE_EFFECTIVITY.json</x:v>
      </x:c>
      <x:c r="C1365" s="219" t="str">
        <x:v>832fcdcc8cd7ebb9df2e169c8b9194011c37d138484da13fd5de05bd2657170d</x:v>
      </x:c>
    </x:row>
    <x:row r="1366" ht="30" customHeight="1">
      <x:c r="A1366" s="180" t="str">
        <x:v>DRW-01</x:v>
      </x:c>
      <x:c r="B1366" s="180" t="str">
        <x:v>current/MANUFACTURING_AND_ASSEMBLY.md</x:v>
      </x:c>
      <x:c r="C1366" s="180" t="str">
        <x:v>5b7bbc8bc09607b8d282663da0a184df3605dfb68d3f5ea0269e241842184c4d</x:v>
      </x:c>
    </x:row>
    <x:row r="1367" ht="30" customHeight="1">
      <x:c r="A1367" s="219" t="str">
        <x:v>DRW-02</x:v>
      </x:c>
      <x:c r="B1367" s="219" t="str">
        <x:v>current/SOURCE_EFFECTIVITY.json</x:v>
      </x:c>
      <x:c r="C1367" s="219" t="str">
        <x:v>832fcdcc8cd7ebb9df2e169c8b9194011c37d138484da13fd5de05bd2657170d</x:v>
      </x:c>
    </x:row>
    <x:row r="1368" ht="30" customHeight="1">
      <x:c r="A1368" s="180" t="str">
        <x:v>DRW-02</x:v>
      </x:c>
      <x:c r="B1368" s="180" t="str">
        <x:v>iterations/I20_controlled_handoff/NATIVE_BINDING.json</x:v>
      </x:c>
      <x:c r="C1368" s="180" t="str">
        <x:v>6f36235aab2349569f2cacf485912921762bc718e2a5fd5c4c72c2808ca2312b</x:v>
      </x:c>
    </x:row>
    <x:row r="1369" ht="30" customHeight="1">
      <x:c r="A1369" s="219" t="str">
        <x:v>DRW-03</x:v>
      </x:c>
      <x:c r="B1369" s="219" t="str">
        <x:v>runtime/final_I06_actual_preflight/RESULT.json</x:v>
      </x:c>
      <x:c r="C1369" s="219" t="str">
        <x:v>47d1ac4057b92a6752abacf976768596bf4fa311d08c9fc08df2d276e8e1200f</x:v>
      </x:c>
    </x:row>
    <x:row r="1370" ht="30" customHeight="1">
      <x:c r="A1370" s="180" t="str">
        <x:v>DRW-03</x:v>
      </x:c>
      <x:c r="B1370" s="180" t="str">
        <x:v>runtime/run_native_candidate.py</x:v>
      </x:c>
      <x:c r="C1370" s="180" t="str">
        <x:v>187d303cb103cef92143d53c099615a435ceef29c0458d7ac9521205d451f315</x:v>
      </x:c>
    </x:row>
    <x:row r="1371" ht="30" customHeight="1">
      <x:c r="A1371" s="219" t="str">
        <x:v>DRW-03</x:v>
      </x:c>
      <x:c r="B1371" s="219" t="str">
        <x:v>iterations/I20_controlled_handoff/NATIVE_BINDING.json</x:v>
      </x:c>
      <x:c r="C1371" s="219" t="str">
        <x:v>6f36235aab2349569f2cacf485912921762bc718e2a5fd5c4c72c2808ca2312b</x:v>
      </x:c>
    </x:row>
    <x:row r="1372" ht="30" customHeight="1">
      <x:c r="A1372" s="180" t="str">
        <x:v>DRW-03</x:v>
      </x:c>
      <x:c r="B1372" s="180" t="str">
        <x:v>current/I21_SOURCE_VERIFICATION.json</x:v>
      </x:c>
      <x:c r="C1372" s="180" t="str">
        <x:v>938ba171be55b8b6213eb00bc73cd52e90973449a35deda4dcf4c730e5b97993</x:v>
      </x:c>
    </x:row>
    <x:row r="1373" ht="30" customHeight="1">
      <x:c r="A1373" s="219" t="str">
        <x:v>DRW-03</x:v>
      </x:c>
      <x:c r="B1373" s="219" t="str">
        <x:v>current/SOURCE_EFFECTIVITY.json</x:v>
      </x:c>
      <x:c r="C1373" s="219" t="str">
        <x:v>832fcdcc8cd7ebb9df2e169c8b9194011c37d138484da13fd5de05bd2657170d</x:v>
      </x:c>
    </x:row>
    <x:row r="1374" ht="30" customHeight="1">
      <x:c r="A1374" s="180" t="str">
        <x:v>DRW-03</x:v>
      </x:c>
      <x:c r="B1374" s="180" t="str">
        <x:v>current/MANUFACTURING_AND_ASSEMBLY.md</x:v>
      </x:c>
      <x:c r="C1374" s="180" t="str">
        <x:v>5b7bbc8bc09607b8d282663da0a184df3605dfb68d3f5ea0269e241842184c4d</x:v>
      </x:c>
    </x:row>
    <x:row r="1375" ht="30" customHeight="1">
      <x:c r="A1375" s="219" t="str">
        <x:v>DRW-04</x:v>
      </x:c>
      <x:c r="B1375" s="219" t="str">
        <x:v>analyses/assembly_handling/EXACT_MPN_HANDLING_REGISTER.json</x:v>
      </x:c>
      <x:c r="C1375" s="219" t="str">
        <x:v>8b75ad02a30de0d34ab9ac955fc38228d618ae520889c8d6955a7b978bdd9e06</x:v>
      </x:c>
    </x:row>
    <x:row r="1376" ht="30" customHeight="1">
      <x:c r="A1376" s="180" t="str">
        <x:v>DRW-04</x:v>
      </x:c>
      <x:c r="B1376" s="180" t="str">
        <x:v>analyses/assembly_handling/PROCESS_RECONCILIATION.md</x:v>
      </x:c>
      <x:c r="C1376" s="180" t="str">
        <x:v>238614f0abeea7b3234c431093d78679c59a5ae4b5b9b15c55e0d39de7561305</x:v>
      </x:c>
    </x:row>
    <x:row r="1377" ht="30" customHeight="1">
      <x:c r="A1377" s="219" t="str">
        <x:v>DRW-04</x:v>
      </x:c>
      <x:c r="B1377" s="219" t="str">
        <x:v>lanes/mechanics/ASSEMBLY_PROCESS_RVB22.md</x:v>
      </x:c>
      <x:c r="C1377" s="219" t="str">
        <x:v>e9f510a20e18d6d8a2cf6b264640d7c7aec0445b876b6c7b2a70f247197d20e7</x:v>
      </x:c>
    </x:row>
    <x:row r="1378" ht="30" customHeight="1">
      <x:c r="A1378" s="180" t="str">
        <x:v>DRW-04</x:v>
      </x:c>
      <x:c r="B1378" s="180" t="str">
        <x:v>iterations/I20_controlled_handoff/NATIVE_BINDING.json</x:v>
      </x:c>
      <x:c r="C1378" s="180" t="str">
        <x:v>6f36235aab2349569f2cacf485912921762bc718e2a5fd5c4c72c2808ca2312b</x:v>
      </x:c>
    </x:row>
    <x:row r="1379" ht="30" customHeight="1">
      <x:c r="A1379" s="219" t="str">
        <x:v>DRW-04</x:v>
      </x:c>
      <x:c r="B1379" s="219" t="str">
        <x:v>current/I21_SOURCE_VERIFICATION.json</x:v>
      </x:c>
      <x:c r="C1379" s="219" t="str">
        <x:v>938ba171be55b8b6213eb00bc73cd52e90973449a35deda4dcf4c730e5b97993</x:v>
      </x:c>
    </x:row>
    <x:row r="1380" ht="30" customHeight="1">
      <x:c r="A1380" s="180" t="str">
        <x:v>DRW-04</x:v>
      </x:c>
      <x:c r="B1380" s="180" t="str">
        <x:v>current/SOURCE_EFFECTIVITY.json</x:v>
      </x:c>
      <x:c r="C1380" s="180" t="str">
        <x:v>832fcdcc8cd7ebb9df2e169c8b9194011c37d138484da13fd5de05bd2657170d</x:v>
      </x:c>
    </x:row>
    <x:row r="1381" ht="30" customHeight="1">
      <x:c r="A1381" s="219" t="str">
        <x:v>DRW-04</x:v>
      </x:c>
      <x:c r="B1381" s="219" t="str">
        <x:v>current/MANUFACTURING_AND_ASSEMBLY.md</x:v>
      </x:c>
      <x:c r="C1381" s="219" t="str">
        <x:v>5b7bbc8bc09607b8d282663da0a184df3605dfb68d3f5ea0269e241842184c4d</x:v>
      </x:c>
    </x:row>
    <x:row r="1382" ht="30" customHeight="1">
      <x:c r="A1382" s="180" t="str">
        <x:v>DRW-05</x:v>
      </x:c>
      <x:c r="B1382" s="180" t="str">
        <x:v>analyses/assembly_handling/EXACT_MPN_HANDLING_REGISTER.json</x:v>
      </x:c>
      <x:c r="C1382" s="180" t="str">
        <x:v>8b75ad02a30de0d34ab9ac955fc38228d618ae520889c8d6955a7b978bdd9e06</x:v>
      </x:c>
    </x:row>
    <x:row r="1383" ht="30" customHeight="1">
      <x:c r="A1383" s="219" t="str">
        <x:v>DRW-05</x:v>
      </x:c>
      <x:c r="B1383" s="219" t="str">
        <x:v>analyses/assembly_handling/PROCESS_RECONCILIATION.md</x:v>
      </x:c>
      <x:c r="C1383" s="219" t="str">
        <x:v>238614f0abeea7b3234c431093d78679c59a5ae4b5b9b15c55e0d39de7561305</x:v>
      </x:c>
    </x:row>
    <x:row r="1384" ht="30" customHeight="1">
      <x:c r="A1384" s="180" t="str">
        <x:v>DRW-05</x:v>
      </x:c>
      <x:c r="B1384" s="180" t="str">
        <x:v>lanes/mechanics/ASSEMBLY_PROCESS_RVB22.md</x:v>
      </x:c>
      <x:c r="C1384" s="180" t="str">
        <x:v>e9f510a20e18d6d8a2cf6b264640d7c7aec0445b876b6c7b2a70f247197d20e7</x:v>
      </x:c>
    </x:row>
    <x:row r="1385" ht="30" customHeight="1">
      <x:c r="A1385" s="219" t="str">
        <x:v>DRW-05</x:v>
      </x:c>
      <x:c r="B1385" s="219" t="str">
        <x:v>iterations/I20_controlled_handoff/NATIVE_BINDING.json</x:v>
      </x:c>
      <x:c r="C1385" s="219" t="str">
        <x:v>6f36235aab2349569f2cacf485912921762bc718e2a5fd5c4c72c2808ca2312b</x:v>
      </x:c>
    </x:row>
    <x:row r="1386" ht="30" customHeight="1">
      <x:c r="A1386" s="180" t="str">
        <x:v>DRW-05</x:v>
      </x:c>
      <x:c r="B1386" s="180" t="str">
        <x:v>current/I21_SOURCE_VERIFICATION.json</x:v>
      </x:c>
      <x:c r="C1386" s="180" t="str">
        <x:v>938ba171be55b8b6213eb00bc73cd52e90973449a35deda4dcf4c730e5b97993</x:v>
      </x:c>
    </x:row>
    <x:row r="1387" ht="30" customHeight="1">
      <x:c r="A1387" s="219" t="str">
        <x:v>DRW-05</x:v>
      </x:c>
      <x:c r="B1387" s="219" t="str">
        <x:v>current/SOURCE_EFFECTIVITY.json</x:v>
      </x:c>
      <x:c r="C1387" s="219" t="str">
        <x:v>832fcdcc8cd7ebb9df2e169c8b9194011c37d138484da13fd5de05bd2657170d</x:v>
      </x:c>
    </x:row>
    <x:row r="1388" ht="30" customHeight="1">
      <x:c r="A1388" s="180" t="str">
        <x:v>DRW-05</x:v>
      </x:c>
      <x:c r="B1388" s="180" t="str">
        <x:v>current/MANUFACTURING_AND_ASSEMBLY.md</x:v>
      </x:c>
      <x:c r="C1388" s="180" t="str">
        <x:v>5b7bbc8bc09607b8d282663da0a184df3605dfb68d3f5ea0269e241842184c4d</x:v>
      </x:c>
    </x:row>
    <x:row r="1389" ht="30" customHeight="1">
      <x:c r="A1389" s="219" t="str">
        <x:v>DRW-06</x:v>
      </x:c>
      <x:c r="B1389" s="219" t="str">
        <x:v>interfaces/HARNESS_INTERFACE_CONTRACT.json</x:v>
      </x:c>
      <x:c r="C1389" s="219" t="str">
        <x:v>8de240d9bfbc5862fae2984984929e0c086bc37a255289129d312548cac3576a</x:v>
      </x:c>
    </x:row>
    <x:row r="1390" ht="30" customHeight="1">
      <x:c r="A1390" s="180" t="str">
        <x:v>DRW-06</x:v>
      </x:c>
      <x:c r="B1390" s="180" t="str">
        <x:v>interfaces/HARNESS_CHECKS.json</x:v>
      </x:c>
      <x:c r="C1390" s="180" t="str">
        <x:v>c45fcc060f1cc5d87d9056329c8eac1e7a893cbae583086c5f0d3f5b43a29c9d</x:v>
      </x:c>
    </x:row>
    <x:row r="1391" ht="30" customHeight="1">
      <x:c r="A1391" s="219" t="str">
        <x:v>DRW-06</x:v>
      </x:c>
      <x:c r="B1391" s="219" t="str">
        <x:v>analyses/harness_wire/HARNESS_WIRE_DELTA.json</x:v>
      </x:c>
      <x:c r="C1391" s="219" t="str">
        <x:v>709bdb5ea3ca0ba32fc78b0da3a1845b1d597fa82b4b3ce17c9ef2774798babe</x:v>
      </x:c>
    </x:row>
    <x:row r="1392" ht="30" customHeight="1">
      <x:c r="A1392" s="180" t="str">
        <x:v>DRW-06</x:v>
      </x:c>
      <x:c r="B1392" s="180" t="str">
        <x:v>interfaces/MOLEX_A1_HARNESS_REDLINE.json</x:v>
      </x:c>
      <x:c r="C1392" s="180" t="str">
        <x:v>f7e6567d47cb426e6a19a6356f6dd1feda53c481c27e1631f39d4fe28174f28e</x:v>
      </x:c>
    </x:row>
    <x:row r="1393" ht="30" customHeight="1">
      <x:c r="A1393" s="219" t="str">
        <x:v>DRW-06</x:v>
      </x:c>
      <x:c r="B1393" s="219" t="str">
        <x:v>interfaces/SINGLE_RETURN_EFFECTIVITY.json</x:v>
      </x:c>
      <x:c r="C1393" s="219" t="str">
        <x:v>6c7af28cea00c2a54f0765cf157f3b8630e9799cf9ee615f2210552134ffe640</x:v>
      </x:c>
    </x:row>
    <x:row r="1394" ht="30" customHeight="1">
      <x:c r="A1394" s="180" t="str">
        <x:v>DRW-06</x:v>
      </x:c>
      <x:c r="B1394" s="180" t="str">
        <x:v>interfaces/FINAL_I06_HARNESS_BINDING.json</x:v>
      </x:c>
      <x:c r="C1394" s="180" t="str">
        <x:v>ea1271a3927330045a38668bb5208bd4aace21b828afc3f535bb34593ec04458</x:v>
      </x:c>
    </x:row>
    <x:row r="1395" ht="30" customHeight="1">
      <x:c r="A1395" s="219" t="str">
        <x:v>DRW-06</x:v>
      </x:c>
      <x:c r="B1395" s="219" t="str">
        <x:v>iterations/I06_harness_handoff/CANDIDATE_MANIFEST.json</x:v>
      </x:c>
      <x:c r="C1395" s="219" t="str">
        <x:v>017aa6938b0cea4fcf5d02a0e28ba556e4a0c0485495f171a7d5aba15a703fc0</x:v>
      </x:c>
    </x:row>
    <x:row r="1396" ht="30" customHeight="1">
      <x:c r="A1396" s="180" t="str">
        <x:v>DRW-06</x:v>
      </x:c>
      <x:c r="B1396" s="180" t="str">
        <x:v>iterations/I20_controlled_handoff/NATIVE_BINDING.json</x:v>
      </x:c>
      <x:c r="C1396" s="180" t="str">
        <x:v>6f36235aab2349569f2cacf485912921762bc718e2a5fd5c4c72c2808ca2312b</x:v>
      </x:c>
    </x:row>
    <x:row r="1397" ht="30" customHeight="1">
      <x:c r="A1397" s="219" t="str">
        <x:v>DRW-06</x:v>
      </x:c>
      <x:c r="B1397" s="219" t="str">
        <x:v>current/I21_SOURCE_VERIFICATION.json</x:v>
      </x:c>
      <x:c r="C1397" s="219" t="str">
        <x:v>938ba171be55b8b6213eb00bc73cd52e90973449a35deda4dcf4c730e5b97993</x:v>
      </x:c>
    </x:row>
    <x:row r="1398" ht="30" customHeight="1">
      <x:c r="A1398" s="180" t="str">
        <x:v>DRW-06</x:v>
      </x:c>
      <x:c r="B1398" s="180" t="str">
        <x:v>current/SOURCE_EFFECTIVITY.json</x:v>
      </x:c>
      <x:c r="C1398" s="180" t="str">
        <x:v>832fcdcc8cd7ebb9df2e169c8b9194011c37d138484da13fd5de05bd2657170d</x:v>
      </x:c>
    </x:row>
    <x:row r="1399" ht="30" customHeight="1">
      <x:c r="A1399" s="219" t="str">
        <x:v>DRW-06</x:v>
      </x:c>
      <x:c r="B1399" s="219" t="str">
        <x:v>current/MANUFACTURING_AND_ASSEMBLY.md</x:v>
      </x:c>
      <x:c r="C1399" s="219" t="str">
        <x:v>5b7bbc8bc09607b8d282663da0a184df3605dfb68d3f5ea0269e241842184c4d</x:v>
      </x:c>
    </x:row>
    <x:row r="1400" ht="30" customHeight="1">
      <x:c r="A1400" s="180" t="str">
        <x:v>DRW-07</x:v>
      </x:c>
      <x:c r="B1400" s="180" t="str">
        <x:v>iterations/I06_harness_handoff/CANDIDATE_MANIFEST.json</x:v>
      </x:c>
      <x:c r="C1400" s="180" t="str">
        <x:v>017aa6938b0cea4fcf5d02a0e28ba556e4a0c0485495f171a7d5aba15a703fc0</x:v>
      </x:c>
    </x:row>
    <x:row r="1401" ht="30" customHeight="1">
      <x:c r="A1401" s="219" t="str">
        <x:v>DRW-07</x:v>
      </x:c>
      <x:c r="B1401" s="219" t="str">
        <x:v>iterations/I20_controlled_handoff/NATIVE_BINDING.json</x:v>
      </x:c>
      <x:c r="C1401" s="219" t="str">
        <x:v>6f36235aab2349569f2cacf485912921762bc718e2a5fd5c4c72c2808ca2312b</x:v>
      </x:c>
    </x:row>
    <x:row r="1402" ht="30" customHeight="1">
      <x:c r="A1402" s="180" t="str">
        <x:v>DRW-07</x:v>
      </x:c>
      <x:c r="B1402" s="180" t="str">
        <x:v>current/I21_SOURCE_VERIFICATION.json</x:v>
      </x:c>
      <x:c r="C1402" s="180" t="str">
        <x:v>938ba171be55b8b6213eb00bc73cd52e90973449a35deda4dcf4c730e5b97993</x:v>
      </x:c>
    </x:row>
    <x:row r="1403" ht="30" customHeight="1">
      <x:c r="A1403" s="219" t="str">
        <x:v>DRW-07</x:v>
      </x:c>
      <x:c r="B1403" s="219" t="str">
        <x:v>current/SOURCE_EFFECTIVITY.json</x:v>
      </x:c>
      <x:c r="C1403" s="219" t="str">
        <x:v>832fcdcc8cd7ebb9df2e169c8b9194011c37d138484da13fd5de05bd2657170d</x:v>
      </x:c>
    </x:row>
    <x:row r="1404" ht="30" customHeight="1">
      <x:c r="A1404" s="180" t="str">
        <x:v>DRW-07</x:v>
      </x:c>
      <x:c r="B1404" s="180" t="str">
        <x:v>current/MANUFACTURING_AND_ASSEMBLY.md</x:v>
      </x:c>
      <x:c r="C1404" s="180" t="str">
        <x:v>5b7bbc8bc09607b8d282663da0a184df3605dfb68d3f5ea0269e241842184c4d</x:v>
      </x:c>
    </x:row>
    <x:row r="1405" ht="30" customHeight="1">
      <x:c r="A1405" s="219" t="str">
        <x:v>DRW-08</x:v>
      </x:c>
      <x:c r="B1405" s="219" t="str">
        <x:v>iterations/I20_controlled_handoff/NATIVE_BINDING.json</x:v>
      </x:c>
      <x:c r="C1405" s="219" t="str">
        <x:v>6f36235aab2349569f2cacf485912921762bc718e2a5fd5c4c72c2808ca2312b</x:v>
      </x:c>
    </x:row>
    <x:row r="1406" ht="30" customHeight="1">
      <x:c r="A1406" s="180" t="str">
        <x:v>DRW-08</x:v>
      </x:c>
      <x:c r="B1406" s="180" t="str">
        <x:v>current/I21_SOURCE_VERIFICATION.json</x:v>
      </x:c>
      <x:c r="C1406" s="180" t="str">
        <x:v>938ba171be55b8b6213eb00bc73cd52e90973449a35deda4dcf4c730e5b97993</x:v>
      </x:c>
    </x:row>
    <x:row r="1407" ht="30" customHeight="1">
      <x:c r="A1407" s="219" t="str">
        <x:v>DRW-08</x:v>
      </x:c>
      <x:c r="B1407" s="219" t="str">
        <x:v>analyses/manufacturing_i20/RESULTS.json</x:v>
      </x:c>
      <x:c r="C1407" s="219" t="str">
        <x:v>daa279f665dd6cad14f4ff36043abbce38c6ee51598e9ae7236d9974563476ac</x:v>
      </x:c>
    </x:row>
    <x:row r="1408" ht="30" customHeight="1">
      <x:c r="A1408" s="180" t="str">
        <x:v>DRW-08</x:v>
      </x:c>
      <x:c r="B1408" s="180" t="str">
        <x:v>current/SOURCE_EFFECTIVITY.json</x:v>
      </x:c>
      <x:c r="C1408" s="180" t="str">
        <x:v>832fcdcc8cd7ebb9df2e169c8b9194011c37d138484da13fd5de05bd2657170d</x:v>
      </x:c>
    </x:row>
    <x:row r="1409" ht="30" customHeight="1">
      <x:c r="A1409" s="219" t="str">
        <x:v>DRW-09</x:v>
      </x:c>
      <x:c r="B1409" s="219" t="str">
        <x:v>analyses/manufacturing_i20/RESULTS.json</x:v>
      </x:c>
      <x:c r="C1409" s="219" t="str">
        <x:v>daa279f665dd6cad14f4ff36043abbce38c6ee51598e9ae7236d9974563476ac</x:v>
      </x:c>
    </x:row>
    <x:row r="1410" ht="30" customHeight="1">
      <x:c r="A1410" s="180" t="str">
        <x:v>DRW-09</x:v>
      </x:c>
      <x:c r="B1410" s="180" t="str">
        <x:v>current/I21_SOURCE_VERIFICATION.json</x:v>
      </x:c>
      <x:c r="C1410" s="180" t="str">
        <x:v>938ba171be55b8b6213eb00bc73cd52e90973449a35deda4dcf4c730e5b97993</x:v>
      </x:c>
    </x:row>
    <x:row r="1411" ht="30" customHeight="1">
      <x:c r="A1411" s="219" t="str">
        <x:v>DRW-09</x:v>
      </x:c>
      <x:c r="B1411" s="219" t="str">
        <x:v>current/SOURCE_EFFECTIVITY.json</x:v>
      </x:c>
      <x:c r="C1411" s="219" t="str">
        <x:v>832fcdcc8cd7ebb9df2e169c8b9194011c37d138484da13fd5de05bd2657170d</x:v>
      </x:c>
    </x:row>
    <x:row r="1412" ht="30" customHeight="1">
      <x:c r="A1412" s="180" t="str">
        <x:v>DRW-10</x:v>
      </x:c>
      <x:c r="B1412" s="180" t="str">
        <x:v>control/EXECUTION_PLAN_CURRENT.md</x:v>
      </x:c>
      <x:c r="C1412" s="180" t="str">
        <x:v>edc0e7ee94cff207a335a60e17313a1a0cea587253a54240e59425a2e7095856</x:v>
      </x:c>
    </x:row>
    <x:row r="1413" ht="30" customHeight="1">
      <x:c r="A1413" s="219" t="str">
        <x:v>DRW-10</x:v>
      </x:c>
      <x:c r="B1413" s="219" t="str">
        <x:v>control/RECOVERY_LEDGER.md</x:v>
      </x:c>
      <x:c r="C1413" s="219" t="str">
        <x:v>8ebd3401682084e4888c14457ab57035a64bf11b7bbf378d7c1549510a25f102</x:v>
      </x:c>
    </x:row>
    <x:row r="1414" ht="30" customHeight="1">
      <x:c r="A1414" s="180" t="str">
        <x:v>DRW-10</x:v>
      </x:c>
      <x:c r="B1414" s="180" t="str">
        <x:v>control/DESKTOP_ACTION_DISPOSITIONS_CURRENT.json</x:v>
      </x:c>
      <x:c r="C1414" s="180" t="str">
        <x:v>48ee6985a9aae811c11a83179a8aa3393aee2286b4bb066e40ce5cdde693c982</x:v>
      </x:c>
    </x:row>
    <x:row r="1415" ht="30" customHeight="1">
      <x:c r="A1415" s="219" t="str">
        <x:v>DRW-10</x:v>
      </x:c>
      <x:c r="B1415" s="219" t="str">
        <x:v>iterations/I06_harness_handoff/CANDIDATE_MANIFEST.json</x:v>
      </x:c>
      <x:c r="C1415" s="219" t="str">
        <x:v>017aa6938b0cea4fcf5d02a0e28ba556e4a0c0485495f171a7d5aba15a703fc0</x:v>
      </x:c>
    </x:row>
    <x:row r="1416" ht="30" customHeight="1">
      <x:c r="A1416" s="180" t="str">
        <x:v>DRW-10</x:v>
      </x:c>
      <x:c r="B1416" s="180" t="str">
        <x:v>control/FINAL_GATES.json</x:v>
      </x:c>
      <x:c r="C1416" s="180" t="str">
        <x:v>b04e670a88f36a01c1c0182933555cfc2fba151953cd6020cd6ec4a8204d6f79</x:v>
      </x:c>
    </x:row>
    <x:row r="1417" ht="30" customHeight="1">
      <x:c r="A1417" s="219" t="str">
        <x:v>DRW-10</x:v>
      </x:c>
      <x:c r="B1417" s="219" t="str">
        <x:v>iterations/I20_controlled_handoff/NATIVE_BINDING.json</x:v>
      </x:c>
      <x:c r="C1417" s="219" t="str">
        <x:v>6f36235aab2349569f2cacf485912921762bc718e2a5fd5c4c72c2808ca2312b</x:v>
      </x:c>
    </x:row>
    <x:row r="1418" ht="30" customHeight="1">
      <x:c r="A1418" s="180" t="str">
        <x:v>DRW-10</x:v>
      </x:c>
      <x:c r="B1418" s="180" t="str">
        <x:v>current/I21_SOURCE_VERIFICATION.json</x:v>
      </x:c>
      <x:c r="C1418" s="180" t="str">
        <x:v>938ba171be55b8b6213eb00bc73cd52e90973449a35deda4dcf4c730e5b97993</x:v>
      </x:c>
    </x:row>
    <x:row r="1419" ht="30" customHeight="1">
      <x:c r="A1419" s="219" t="str">
        <x:v>DRW-10</x:v>
      </x:c>
      <x:c r="B1419" s="219" t="str">
        <x:v>current/SOURCE_EFFECTIVITY.json</x:v>
      </x:c>
      <x:c r="C1419" s="219" t="str">
        <x:v>832fcdcc8cd7ebb9df2e169c8b9194011c37d138484da13fd5de05bd2657170d</x:v>
      </x:c>
    </x:row>
    <x:row r="1420" ht="30" customHeight="1">
      <x:c r="A1420" s="180" t="str">
        <x:v>DRW-10</x:v>
      </x:c>
      <x:c r="B1420" s="180" t="str">
        <x:v>current/MANUFACTURING_AND_ASSEMBLY.md</x:v>
      </x:c>
      <x:c r="C1420" s="180" t="str">
        <x:v>5b7bbc8bc09607b8d282663da0a184df3605dfb68d3f5ea0269e241842184c4d</x:v>
      </x:c>
    </x:row>
    <x:row r="1421" ht="30" customHeight="1">
      <x:c r="A1421" s="219" t="str">
        <x:v>DFT-01</x:v>
      </x:c>
      <x:c r="B1421" s="219" t="str">
        <x:v>control/RVB22_BRING_UP_AND_MEASUREMENT_CONTRACT.md</x:v>
      </x:c>
      <x:c r="C1421" s="219" t="str">
        <x:v>449d38b93d0d99ec35d3545af7b198e3430a19aa20cbf59b6de2b60b0215331f</x:v>
      </x:c>
    </x:row>
    <x:row r="1422" ht="30" customHeight="1">
      <x:c r="A1422" s="180" t="str">
        <x:v>DFT-01</x:v>
      </x:c>
      <x:c r="B1422" s="180" t="str">
        <x:v>control/BRINGUP_SCHEMATIC_TEXT_DELTA.json</x:v>
      </x:c>
      <x:c r="C1422" s="180" t="str">
        <x:v>b375d56d6cc12ce36313d7ee538c3bc384127c76eb41fea363ce7911556415ee</x:v>
      </x:c>
    </x:row>
    <x:row r="1423" ht="30" customHeight="1">
      <x:c r="A1423" s="219" t="str">
        <x:v>DFT-01</x:v>
      </x:c>
      <x:c r="B1423" s="219" t="str">
        <x:v>control/BRINGUP_ACTUAL_NODE_INDEX.json</x:v>
      </x:c>
      <x:c r="C1423" s="219" t="str">
        <x:v>a63b8b544d5707e4ec2c6dcced8a01f7b216c553052681a5fa9f46bc3d7af6f8</x:v>
      </x:c>
    </x:row>
    <x:row r="1424" ht="30" customHeight="1">
      <x:c r="A1424" s="180" t="str">
        <x:v>DFT-01</x:v>
      </x:c>
      <x:c r="B1424" s="180" t="str">
        <x:v>control/FINAL_I04_BRINGUP_BINDING.json</x:v>
      </x:c>
      <x:c r="C1424" s="180" t="str">
        <x:v>0a51eb793074e6b5eafbf20002325289bdd1e1b3a5174ae63fd79b937a76fd3f</x:v>
      </x:c>
    </x:row>
    <x:row r="1425" ht="30" customHeight="1">
      <x:c r="A1425" s="219" t="str">
        <x:v>DFT-01</x:v>
      </x:c>
      <x:c r="B1425" s="219" t="str">
        <x:v>analyses/service_i19/RESULTS.json</x:v>
      </x:c>
      <x:c r="C1425" s="219" t="str">
        <x:v>06cbb09e55a98a0039d0cab06f26b85f8af741c8b1c075991283a397f94f47fe</x:v>
      </x:c>
    </x:row>
    <x:row r="1426" ht="30" customHeight="1">
      <x:c r="A1426" s="180" t="str">
        <x:v>DFT-01</x:v>
      </x:c>
      <x:c r="B1426" s="180" t="str">
        <x:v>current/SOURCE_EFFECTIVITY.json</x:v>
      </x:c>
      <x:c r="C1426" s="180" t="str">
        <x:v>832fcdcc8cd7ebb9df2e169c8b9194011c37d138484da13fd5de05bd2657170d</x:v>
      </x:c>
    </x:row>
    <x:row r="1427" ht="30" customHeight="1">
      <x:c r="A1427" s="219" t="str">
        <x:v>DFT-02</x:v>
      </x:c>
      <x:c r="B1427" s="219" t="str">
        <x:v>analyses/service_i19/RESULTS.json</x:v>
      </x:c>
      <x:c r="C1427" s="219" t="str">
        <x:v>06cbb09e55a98a0039d0cab06f26b85f8af741c8b1c075991283a397f94f47fe</x:v>
      </x:c>
    </x:row>
    <x:row r="1428" ht="30" customHeight="1">
      <x:c r="A1428" s="180" t="str">
        <x:v>DFT-02</x:v>
      </x:c>
      <x:c r="B1428" s="180" t="str">
        <x:v>current/SOURCE_EFFECTIVITY.json</x:v>
      </x:c>
      <x:c r="C1428" s="180" t="str">
        <x:v>832fcdcc8cd7ebb9df2e169c8b9194011c37d138484da13fd5de05bd2657170d</x:v>
      </x:c>
    </x:row>
    <x:row r="1429" ht="30" customHeight="1">
      <x:c r="A1429" s="219" t="str">
        <x:v>DFT-03</x:v>
      </x:c>
      <x:c r="B1429" s="219" t="str">
        <x:v>control/RVB22_BRING_UP_AND_MEASUREMENT_CONTRACT.md</x:v>
      </x:c>
      <x:c r="C1429" s="219" t="str">
        <x:v>449d38b93d0d99ec35d3545af7b198e3430a19aa20cbf59b6de2b60b0215331f</x:v>
      </x:c>
    </x:row>
    <x:row r="1430" ht="30" customHeight="1">
      <x:c r="A1430" s="180" t="str">
        <x:v>DFT-03</x:v>
      </x:c>
      <x:c r="B1430" s="180" t="str">
        <x:v>control/BRINGUP_SCHEMATIC_TEXT_DELTA.json</x:v>
      </x:c>
      <x:c r="C1430" s="180" t="str">
        <x:v>b375d56d6cc12ce36313d7ee538c3bc384127c76eb41fea363ce7911556415ee</x:v>
      </x:c>
    </x:row>
    <x:row r="1431" ht="30" customHeight="1">
      <x:c r="A1431" s="219" t="str">
        <x:v>DFT-03</x:v>
      </x:c>
      <x:c r="B1431" s="219" t="str">
        <x:v>control/BRINGUP_ACTUAL_NODE_INDEX.json</x:v>
      </x:c>
      <x:c r="C1431" s="219" t="str">
        <x:v>a63b8b544d5707e4ec2c6dcced8a01f7b216c553052681a5fa9f46bc3d7af6f8</x:v>
      </x:c>
    </x:row>
    <x:row r="1432" ht="30" customHeight="1">
      <x:c r="A1432" s="180" t="str">
        <x:v>DFT-03</x:v>
      </x:c>
      <x:c r="B1432" s="180" t="str">
        <x:v>control/FINAL_I04_BRINGUP_BINDING.json</x:v>
      </x:c>
      <x:c r="C1432" s="180" t="str">
        <x:v>0a51eb793074e6b5eafbf20002325289bdd1e1b3a5174ae63fd79b937a76fd3f</x:v>
      </x:c>
    </x:row>
    <x:row r="1433" ht="30" customHeight="1">
      <x:c r="A1433" s="219" t="str">
        <x:v>DFT-03</x:v>
      </x:c>
      <x:c r="B1433" s="219" t="str">
        <x:v>analyses/service_i19/RESULTS.json</x:v>
      </x:c>
      <x:c r="C1433" s="219" t="str">
        <x:v>06cbb09e55a98a0039d0cab06f26b85f8af741c8b1c075991283a397f94f47fe</x:v>
      </x:c>
    </x:row>
    <x:row r="1434" ht="30" customHeight="1">
      <x:c r="A1434" s="180" t="str">
        <x:v>DFT-03</x:v>
      </x:c>
      <x:c r="B1434" s="180" t="str">
        <x:v>current/SOURCE_EFFECTIVITY.json</x:v>
      </x:c>
      <x:c r="C1434" s="180" t="str">
        <x:v>832fcdcc8cd7ebb9df2e169c8b9194011c37d138484da13fd5de05bd2657170d</x:v>
      </x:c>
    </x:row>
    <x:row r="1435" ht="30" customHeight="1">
      <x:c r="A1435" s="219" t="str">
        <x:v>DFT-04</x:v>
      </x:c>
      <x:c r="B1435" s="219" t="str">
        <x:v>control/RVB22_BRING_UP_AND_MEASUREMENT_CONTRACT.md</x:v>
      </x:c>
      <x:c r="C1435" s="219" t="str">
        <x:v>449d38b93d0d99ec35d3545af7b198e3430a19aa20cbf59b6de2b60b0215331f</x:v>
      </x:c>
    </x:row>
    <x:row r="1436" ht="30" customHeight="1">
      <x:c r="A1436" s="180" t="str">
        <x:v>DFT-04</x:v>
      </x:c>
      <x:c r="B1436" s="180" t="str">
        <x:v>control/BRINGUP_SCHEMATIC_TEXT_DELTA.json</x:v>
      </x:c>
      <x:c r="C1436" s="180" t="str">
        <x:v>b375d56d6cc12ce36313d7ee538c3bc384127c76eb41fea363ce7911556415ee</x:v>
      </x:c>
    </x:row>
    <x:row r="1437" ht="30" customHeight="1">
      <x:c r="A1437" s="219" t="str">
        <x:v>DFT-04</x:v>
      </x:c>
      <x:c r="B1437" s="219" t="str">
        <x:v>control/BRINGUP_ACTUAL_NODE_INDEX.json</x:v>
      </x:c>
      <x:c r="C1437" s="219" t="str">
        <x:v>a63b8b544d5707e4ec2c6dcced8a01f7b216c553052681a5fa9f46bc3d7af6f8</x:v>
      </x:c>
    </x:row>
    <x:row r="1438" ht="30" customHeight="1">
      <x:c r="A1438" s="180" t="str">
        <x:v>DFT-04</x:v>
      </x:c>
      <x:c r="B1438" s="180" t="str">
        <x:v>control/FINAL_I04_BRINGUP_BINDING.json</x:v>
      </x:c>
      <x:c r="C1438" s="180" t="str">
        <x:v>0a51eb793074e6b5eafbf20002325289bdd1e1b3a5174ae63fd79b937a76fd3f</x:v>
      </x:c>
    </x:row>
    <x:row r="1439" ht="30" customHeight="1">
      <x:c r="A1439" s="219" t="str">
        <x:v>DFT-04</x:v>
      </x:c>
      <x:c r="B1439" s="219" t="str">
        <x:v>analyses/service_i19/RESULTS.json</x:v>
      </x:c>
      <x:c r="C1439" s="219" t="str">
        <x:v>06cbb09e55a98a0039d0cab06f26b85f8af741c8b1c075991283a397f94f47fe</x:v>
      </x:c>
    </x:row>
    <x:row r="1440" ht="30" customHeight="1">
      <x:c r="A1440" s="180" t="str">
        <x:v>DFT-04</x:v>
      </x:c>
      <x:c r="B1440" s="180" t="str">
        <x:v>current/SOURCE_EFFECTIVITY.json</x:v>
      </x:c>
      <x:c r="C1440" s="180" t="str">
        <x:v>832fcdcc8cd7ebb9df2e169c8b9194011c37d138484da13fd5de05bd2657170d</x:v>
      </x:c>
    </x:row>
    <x:row r="1441" ht="30" customHeight="1">
      <x:c r="A1441" s="219" t="str">
        <x:v>DFT-05</x:v>
      </x:c>
      <x:c r="B1441" s="219" t="str">
        <x:v>interfaces/HARNESS_INTERFACE_CONTRACT.json</x:v>
      </x:c>
      <x:c r="C1441" s="219" t="str">
        <x:v>8de240d9bfbc5862fae2984984929e0c086bc37a255289129d312548cac3576a</x:v>
      </x:c>
    </x:row>
    <x:row r="1442" ht="30" customHeight="1">
      <x:c r="A1442" s="180" t="str">
        <x:v>DFT-05</x:v>
      </x:c>
      <x:c r="B1442" s="180" t="str">
        <x:v>interfaces/HARNESS_CHECKS.json</x:v>
      </x:c>
      <x:c r="C1442" s="180" t="str">
        <x:v>c45fcc060f1cc5d87d9056329c8eac1e7a893cbae583086c5f0d3f5b43a29c9d</x:v>
      </x:c>
    </x:row>
    <x:row r="1443" ht="30" customHeight="1">
      <x:c r="A1443" s="219" t="str">
        <x:v>DFT-05</x:v>
      </x:c>
      <x:c r="B1443" s="219" t="str">
        <x:v>analyses/harness_wire/HARNESS_WIRE_DELTA.json</x:v>
      </x:c>
      <x:c r="C1443" s="219" t="str">
        <x:v>709bdb5ea3ca0ba32fc78b0da3a1845b1d597fa82b4b3ce17c9ef2774798babe</x:v>
      </x:c>
    </x:row>
    <x:row r="1444" ht="30" customHeight="1">
      <x:c r="A1444" s="180" t="str">
        <x:v>DFT-05</x:v>
      </x:c>
      <x:c r="B1444" s="180" t="str">
        <x:v>analyses/service_i19/RESULTS.json</x:v>
      </x:c>
      <x:c r="C1444" s="180" t="str">
        <x:v>06cbb09e55a98a0039d0cab06f26b85f8af741c8b1c075991283a397f94f47fe</x:v>
      </x:c>
    </x:row>
    <x:row r="1445" ht="30" customHeight="1">
      <x:c r="A1445" s="219" t="str">
        <x:v>DFT-05</x:v>
      </x:c>
      <x:c r="B1445" s="219" t="str">
        <x:v>current/SOURCE_EFFECTIVITY.json</x:v>
      </x:c>
      <x:c r="C1445" s="219" t="str">
        <x:v>832fcdcc8cd7ebb9df2e169c8b9194011c37d138484da13fd5de05bd2657170d</x:v>
      </x:c>
    </x:row>
    <x:row r="1446" ht="30" customHeight="1">
      <x:c r="A1446" s="180" t="str">
        <x:v>DFT-06</x:v>
      </x:c>
      <x:c r="B1446" s="180" t="str">
        <x:v>control/RVB22_BRING_UP_AND_MEASUREMENT_CONTRACT.md</x:v>
      </x:c>
      <x:c r="C1446" s="180" t="str">
        <x:v>449d38b93d0d99ec35d3545af7b198e3430a19aa20cbf59b6de2b60b0215331f</x:v>
      </x:c>
    </x:row>
    <x:row r="1447" ht="30" customHeight="1">
      <x:c r="A1447" s="219" t="str">
        <x:v>DFT-06</x:v>
      </x:c>
      <x:c r="B1447" s="219" t="str">
        <x:v>control/BRINGUP_SCHEMATIC_TEXT_DELTA.json</x:v>
      </x:c>
      <x:c r="C1447" s="219" t="str">
        <x:v>b375d56d6cc12ce36313d7ee538c3bc384127c76eb41fea363ce7911556415ee</x:v>
      </x:c>
    </x:row>
    <x:row r="1448" ht="30" customHeight="1">
      <x:c r="A1448" s="180" t="str">
        <x:v>DFT-06</x:v>
      </x:c>
      <x:c r="B1448" s="180" t="str">
        <x:v>control/BRINGUP_ACTUAL_NODE_INDEX.json</x:v>
      </x:c>
      <x:c r="C1448" s="180" t="str">
        <x:v>a63b8b544d5707e4ec2c6dcced8a01f7b216c553052681a5fa9f46bc3d7af6f8</x:v>
      </x:c>
    </x:row>
    <x:row r="1449" ht="30" customHeight="1">
      <x:c r="A1449" s="219" t="str">
        <x:v>DFT-06</x:v>
      </x:c>
      <x:c r="B1449" s="219" t="str">
        <x:v>control/FINAL_I04_BRINGUP_BINDING.json</x:v>
      </x:c>
      <x:c r="C1449" s="219" t="str">
        <x:v>0a51eb793074e6b5eafbf20002325289bdd1e1b3a5174ae63fd79b937a76fd3f</x:v>
      </x:c>
    </x:row>
    <x:row r="1450" ht="30" customHeight="1">
      <x:c r="A1450" s="180" t="str">
        <x:v>DFT-06</x:v>
      </x:c>
      <x:c r="B1450" s="180" t="str">
        <x:v>analyses/service_i19/RESULTS.json</x:v>
      </x:c>
      <x:c r="C1450" s="180" t="str">
        <x:v>06cbb09e55a98a0039d0cab06f26b85f8af741c8b1c075991283a397f94f47fe</x:v>
      </x:c>
    </x:row>
    <x:row r="1451" ht="30" customHeight="1">
      <x:c r="A1451" s="219" t="str">
        <x:v>DFT-06</x:v>
      </x:c>
      <x:c r="B1451" s="219" t="str">
        <x:v>current/SOURCE_EFFECTIVITY.json</x:v>
      </x:c>
      <x:c r="C1451" s="219" t="str">
        <x:v>832fcdcc8cd7ebb9df2e169c8b9194011c37d138484da13fd5de05bd2657170d</x:v>
      </x:c>
    </x:row>
    <x:row r="1452" ht="30" customHeight="1">
      <x:c r="A1452" s="180" t="str">
        <x:v>DFT-07</x:v>
      </x:c>
      <x:c r="B1452" s="180" t="str">
        <x:v>interfaces/HARNESS_INTERFACE_CONTRACT.json</x:v>
      </x:c>
      <x:c r="C1452" s="180" t="str">
        <x:v>8de240d9bfbc5862fae2984984929e0c086bc37a255289129d312548cac3576a</x:v>
      </x:c>
    </x:row>
    <x:row r="1453" ht="30" customHeight="1">
      <x:c r="A1453" s="219" t="str">
        <x:v>DFT-07</x:v>
      </x:c>
      <x:c r="B1453" s="219" t="str">
        <x:v>interfaces/HARNESS_CHECKS.json</x:v>
      </x:c>
      <x:c r="C1453" s="219" t="str">
        <x:v>c45fcc060f1cc5d87d9056329c8eac1e7a893cbae583086c5f0d3f5b43a29c9d</x:v>
      </x:c>
    </x:row>
    <x:row r="1454" ht="30" customHeight="1">
      <x:c r="A1454" s="180" t="str">
        <x:v>DFT-07</x:v>
      </x:c>
      <x:c r="B1454" s="180" t="str">
        <x:v>analyses/harness_wire/HARNESS_WIRE_DELTA.json</x:v>
      </x:c>
      <x:c r="C1454" s="180" t="str">
        <x:v>709bdb5ea3ca0ba32fc78b0da3a1845b1d597fa82b4b3ce17c9ef2774798babe</x:v>
      </x:c>
    </x:row>
    <x:row r="1455" ht="30" customHeight="1">
      <x:c r="A1455" s="219" t="str">
        <x:v>DFT-07</x:v>
      </x:c>
      <x:c r="B1455" s="219" t="str">
        <x:v>interfaces/MOLEX_A1_HARNESS_REDLINE.json</x:v>
      </x:c>
      <x:c r="C1455" s="219" t="str">
        <x:v>f7e6567d47cb426e6a19a6356f6dd1feda53c481c27e1631f39d4fe28174f28e</x:v>
      </x:c>
    </x:row>
    <x:row r="1456" ht="30" customHeight="1">
      <x:c r="A1456" s="180" t="str">
        <x:v>DFT-07</x:v>
      </x:c>
      <x:c r="B1456" s="180" t="str">
        <x:v>interfaces/SINGLE_RETURN_EFFECTIVITY.json</x:v>
      </x:c>
      <x:c r="C1456" s="180" t="str">
        <x:v>6c7af28cea00c2a54f0765cf157f3b8630e9799cf9ee615f2210552134ffe640</x:v>
      </x:c>
    </x:row>
    <x:row r="1457" ht="30" customHeight="1">
      <x:c r="A1457" s="219" t="str">
        <x:v>DFT-07</x:v>
      </x:c>
      <x:c r="B1457" s="219" t="str">
        <x:v>interfaces/FINAL_I06_HARNESS_BINDING.json</x:v>
      </x:c>
      <x:c r="C1457" s="219" t="str">
        <x:v>ea1271a3927330045a38668bb5208bd4aace21b828afc3f535bb34593ec04458</x:v>
      </x:c>
    </x:row>
    <x:row r="1458" ht="30" customHeight="1">
      <x:c r="A1458" s="180" t="str">
        <x:v>DFT-07</x:v>
      </x:c>
      <x:c r="B1458" s="180" t="str">
        <x:v>iterations/I06_harness_handoff/CANDIDATE_MANIFEST.json</x:v>
      </x:c>
      <x:c r="C1458" s="180" t="str">
        <x:v>017aa6938b0cea4fcf5d02a0e28ba556e4a0c0485495f171a7d5aba15a703fc0</x:v>
      </x:c>
    </x:row>
    <x:row r="1459" ht="30" customHeight="1">
      <x:c r="A1459" s="219" t="str">
        <x:v>DFT-07</x:v>
      </x:c>
      <x:c r="B1459" s="219" t="str">
        <x:v>analyses/service_i19/RESULTS.json</x:v>
      </x:c>
      <x:c r="C1459" s="219" t="str">
        <x:v>06cbb09e55a98a0039d0cab06f26b85f8af741c8b1c075991283a397f94f47fe</x:v>
      </x:c>
    </x:row>
    <x:row r="1460" ht="30" customHeight="1">
      <x:c r="A1460" s="180" t="str">
        <x:v>DFT-07</x:v>
      </x:c>
      <x:c r="B1460" s="180" t="str">
        <x:v>current/SOURCE_EFFECTIVITY.json</x:v>
      </x:c>
      <x:c r="C1460" s="180" t="str">
        <x:v>832fcdcc8cd7ebb9df2e169c8b9194011c37d138484da13fd5de05bd2657170d</x:v>
      </x:c>
    </x:row>
    <x:row r="1461" ht="30" customHeight="1">
      <x:c r="A1461" s="219" t="str">
        <x:v>DFT-08</x:v>
      </x:c>
      <x:c r="B1461" s="219" t="str">
        <x:v>control/FINAL_I04_BRINGUP_BINDING.json</x:v>
      </x:c>
      <x:c r="C1461" s="219" t="str">
        <x:v>0a51eb793074e6b5eafbf20002325289bdd1e1b3a5174ae63fd79b937a76fd3f</x:v>
      </x:c>
    </x:row>
    <x:row r="1462" ht="30" customHeight="1">
      <x:c r="A1462" s="180" t="str">
        <x:v>DFT-08</x:v>
      </x:c>
      <x:c r="B1462" s="180" t="str">
        <x:v>control/RVB22_BRING_UP_AND_MEASUREMENT_CONTRACT.md</x:v>
      </x:c>
      <x:c r="C1462" s="180" t="str">
        <x:v>449d38b93d0d99ec35d3545af7b198e3430a19aa20cbf59b6de2b60b0215331f</x:v>
      </x:c>
    </x:row>
    <x:row r="1463" ht="30" customHeight="1">
      <x:c r="A1463" s="219" t="str">
        <x:v>DFT-08</x:v>
      </x:c>
      <x:c r="B1463" s="219" t="str">
        <x:v>control/BRINGUP_ACTUAL_NODE_INDEX.json</x:v>
      </x:c>
      <x:c r="C1463" s="219" t="str">
        <x:v>a63b8b544d5707e4ec2c6dcced8a01f7b216c553052681a5fa9f46bc3d7af6f8</x:v>
      </x:c>
    </x:row>
    <x:row r="1464" ht="30" customHeight="1">
      <x:c r="A1464" s="180" t="str">
        <x:v>DFT-08</x:v>
      </x:c>
      <x:c r="B1464" s="180" t="str">
        <x:v>analyses/service_i19/RESULTS.json</x:v>
      </x:c>
      <x:c r="C1464" s="180" t="str">
        <x:v>06cbb09e55a98a0039d0cab06f26b85f8af741c8b1c075991283a397f94f47fe</x:v>
      </x:c>
    </x:row>
    <x:row r="1465" ht="30" customHeight="1">
      <x:c r="A1465" s="219" t="str">
        <x:v>DFT-08</x:v>
      </x:c>
      <x:c r="B1465" s="219" t="str">
        <x:v>current/SOURCE_EFFECTIVITY.json</x:v>
      </x:c>
      <x:c r="C1465" s="219" t="str">
        <x:v>832fcdcc8cd7ebb9df2e169c8b9194011c37d138484da13fd5de05bd2657170d</x:v>
      </x:c>
    </x:row>
    <x:row r="1466" ht="30" customHeight="1">
      <x:c r="A1466" s="180" t="str">
        <x:v>DFT-09</x:v>
      </x:c>
      <x:c r="B1466" s="180" t="str">
        <x:v>control/FINAL_I04_BRINGUP_BINDING.json</x:v>
      </x:c>
      <x:c r="C1466" s="180" t="str">
        <x:v>0a51eb793074e6b5eafbf20002325289bdd1e1b3a5174ae63fd79b937a76fd3f</x:v>
      </x:c>
    </x:row>
    <x:row r="1467" ht="30" customHeight="1">
      <x:c r="A1467" s="219" t="str">
        <x:v>DFT-09</x:v>
      </x:c>
      <x:c r="B1467" s="219" t="str">
        <x:v>control/RVB22_BRING_UP_AND_MEASUREMENT_CONTRACT.md</x:v>
      </x:c>
      <x:c r="C1467" s="219" t="str">
        <x:v>449d38b93d0d99ec35d3545af7b198e3430a19aa20cbf59b6de2b60b0215331f</x:v>
      </x:c>
    </x:row>
    <x:row r="1468" ht="30" customHeight="1">
      <x:c r="A1468" s="180" t="str">
        <x:v>DFT-09</x:v>
      </x:c>
      <x:c r="B1468" s="180" t="str">
        <x:v>control/BRINGUP_ACTUAL_NODE_INDEX.json</x:v>
      </x:c>
      <x:c r="C1468" s="180" t="str">
        <x:v>a63b8b544d5707e4ec2c6dcced8a01f7b216c553052681a5fa9f46bc3d7af6f8</x:v>
      </x:c>
    </x:row>
    <x:row r="1469" ht="30" customHeight="1">
      <x:c r="A1469" s="219" t="str">
        <x:v>DFT-09</x:v>
      </x:c>
      <x:c r="B1469" s="219" t="str">
        <x:v>analyses/service_i19/RESULTS.json</x:v>
      </x:c>
      <x:c r="C1469" s="219" t="str">
        <x:v>06cbb09e55a98a0039d0cab06f26b85f8af741c8b1c075991283a397f94f47fe</x:v>
      </x:c>
    </x:row>
    <x:row r="1470" ht="30" customHeight="1">
      <x:c r="A1470" s="180" t="str">
        <x:v>DFT-09</x:v>
      </x:c>
      <x:c r="B1470" s="180" t="str">
        <x:v>current/SOURCE_EFFECTIVITY.json</x:v>
      </x:c>
      <x:c r="C1470" s="180" t="str">
        <x:v>832fcdcc8cd7ebb9df2e169c8b9194011c37d138484da13fd5de05bd2657170d</x:v>
      </x:c>
    </x:row>
    <x:row r="1471" ht="30" customHeight="1">
      <x:c r="A1471" s="219" t="str">
        <x:v>DFT-10</x:v>
      </x:c>
      <x:c r="B1471" s="219" t="str">
        <x:v>interfaces/HARNESS_INTERFACE_CONTRACT.json</x:v>
      </x:c>
      <x:c r="C1471" s="219" t="str">
        <x:v>8de240d9bfbc5862fae2984984929e0c086bc37a255289129d312548cac3576a</x:v>
      </x:c>
    </x:row>
    <x:row r="1472" ht="30" customHeight="1">
      <x:c r="A1472" s="180" t="str">
        <x:v>DFT-10</x:v>
      </x:c>
      <x:c r="B1472" s="180" t="str">
        <x:v>interfaces/HARNESS_CHECKS.json</x:v>
      </x:c>
      <x:c r="C1472" s="180" t="str">
        <x:v>c45fcc060f1cc5d87d9056329c8eac1e7a893cbae583086c5f0d3f5b43a29c9d</x:v>
      </x:c>
    </x:row>
    <x:row r="1473" ht="30" customHeight="1">
      <x:c r="A1473" s="219" t="str">
        <x:v>DFT-10</x:v>
      </x:c>
      <x:c r="B1473" s="219" t="str">
        <x:v>analyses/harness_wire/HARNESS_WIRE_DELTA.json</x:v>
      </x:c>
      <x:c r="C1473" s="219" t="str">
        <x:v>709bdb5ea3ca0ba32fc78b0da3a1845b1d597fa82b4b3ce17c9ef2774798babe</x:v>
      </x:c>
    </x:row>
    <x:row r="1474" ht="30" customHeight="1">
      <x:c r="A1474" s="180" t="str">
        <x:v>DFT-10</x:v>
      </x:c>
      <x:c r="B1474" s="180" t="str">
        <x:v>analyses/service_i19/RESULTS.json</x:v>
      </x:c>
      <x:c r="C1474" s="180" t="str">
        <x:v>06cbb09e55a98a0039d0cab06f26b85f8af741c8b1c075991283a397f94f47fe</x:v>
      </x:c>
    </x:row>
    <x:row r="1475" ht="30" customHeight="1">
      <x:c r="A1475" s="219" t="str">
        <x:v>DFT-10</x:v>
      </x:c>
      <x:c r="B1475" s="219" t="str">
        <x:v>current/SOURCE_EFFECTIVITY.json</x:v>
      </x:c>
      <x:c r="C1475" s="219" t="str">
        <x:v>832fcdcc8cd7ebb9df2e169c8b9194011c37d138484da13fd5de05bd2657170d</x:v>
      </x:c>
    </x:row>
    <x:row r="1476" ht="30" customHeight="1">
      <x:c r="A1476" s="180" t="str">
        <x:v>VNV-01</x:v>
      </x:c>
      <x:c r="B1476" s="180" t="str">
        <x:v>control/EXECUTION_PLAN_CURRENT.md</x:v>
      </x:c>
      <x:c r="C1476" s="180" t="str">
        <x:v>edc0e7ee94cff207a335a60e17313a1a0cea587253a54240e59425a2e7095856</x:v>
      </x:c>
    </x:row>
    <x:row r="1477" ht="30" customHeight="1">
      <x:c r="A1477" s="219" t="str">
        <x:v>VNV-01</x:v>
      </x:c>
      <x:c r="B1477" s="219" t="str">
        <x:v>control/CLOSED_CRITERIA_ADJUDICATION.json</x:v>
      </x:c>
      <x:c r="C1477" s="219" t="str">
        <x:v>b9950c04e85097fdcc50e938002d8a00f283ab148a84f080d2e1569ff715837b</x:v>
      </x:c>
    </x:row>
    <x:row r="1478" ht="30" customHeight="1">
      <x:c r="A1478" s="180" t="str">
        <x:v>VNV-01</x:v>
      </x:c>
      <x:c r="B1478" s="180" t="str">
        <x:v>current/EXECUTION_PLAN.md</x:v>
      </x:c>
      <x:c r="C1478" s="180" t="str">
        <x:v>edc0e7ee94cff207a335a60e17313a1a0cea587253a54240e59425a2e7095856</x:v>
      </x:c>
    </x:row>
    <x:row r="1479" ht="30" customHeight="1">
      <x:c r="A1479" s="219" t="str">
        <x:v>VNV-01</x:v>
      </x:c>
      <x:c r="B1479" s="219" t="str">
        <x:v>current/I21_SOURCE_VERIFICATION.json</x:v>
      </x:c>
      <x:c r="C1479" s="219" t="str">
        <x:v>938ba171be55b8b6213eb00bc73cd52e90973449a35deda4dcf4c730e5b97993</x:v>
      </x:c>
    </x:row>
    <x:row r="1480" ht="30" customHeight="1">
      <x:c r="A1480" s="180" t="str">
        <x:v>VNV-02</x:v>
      </x:c>
      <x:c r="B1480" s="180" t="str">
        <x:v>lanes/power/POWER_GEOMETRY_REPORT.json</x:v>
      </x:c>
      <x:c r="C1480" s="180" t="str">
        <x:v>4824326717a99e771f8d8e045d4bb59d44e8be5bd0e5ae8b6d2c2d3a16e44fe8</x:v>
      </x:c>
    </x:row>
    <x:row r="1481" ht="30" customHeight="1">
      <x:c r="A1481" s="219" t="str">
        <x:v>VNV-02</x:v>
      </x:c>
      <x:c r="B1481" s="219" t="str">
        <x:v>lanes/power/COUPLED_STARTUP_ENVELOPE.json</x:v>
      </x:c>
      <x:c r="C1481" s="219" t="str">
        <x:v>61403b7c7bb855edead8e74923d7d7aa3520f67e6ed50fb9e00818ee7fad28b5</x:v>
      </x:c>
    </x:row>
    <x:row r="1482" ht="30" customHeight="1">
      <x:c r="A1482" s="180" t="str">
        <x:v>VNV-02</x:v>
      </x:c>
      <x:c r="B1482" s="180" t="str">
        <x:v>lanes/power_limits/POWER_LIMITS_SUMMARY.json</x:v>
      </x:c>
      <x:c r="C1482" s="180" t="str">
        <x:v>7dff1f6f253807926f9a5bfb7717bc18ea30e47607cb990bcc9025f7fd9007ef</x:v>
      </x:c>
    </x:row>
    <x:row r="1483" ht="30" customHeight="1">
      <x:c r="A1483" s="219" t="str">
        <x:v>VNV-02</x:v>
      </x:c>
      <x:c r="B1483" s="219" t="str">
        <x:v>lanes/power/FINAL_I04_POWER_EFFECTIVITY.json</x:v>
      </x:c>
      <x:c r="C1483" s="219" t="str">
        <x:v>7614948f0477b3872c1893f2c8071300dad9a76bed2163a98c302fc2b08f0b26</x:v>
      </x:c>
    </x:row>
    <x:row r="1484" ht="30" customHeight="1">
      <x:c r="A1484" s="180" t="str">
        <x:v>VNV-02</x:v>
      </x:c>
      <x:c r="B1484" s="180" t="str">
        <x:v>current/EXECUTION_PLAN.md</x:v>
      </x:c>
      <x:c r="C1484" s="180" t="str">
        <x:v>edc0e7ee94cff207a335a60e17313a1a0cea587253a54240e59425a2e7095856</x:v>
      </x:c>
    </x:row>
    <x:row r="1485" ht="30" customHeight="1">
      <x:c r="A1485" s="219" t="str">
        <x:v>VNV-02</x:v>
      </x:c>
      <x:c r="B1485" s="219" t="str">
        <x:v>current/I21_SOURCE_VERIFICATION.json</x:v>
      </x:c>
      <x:c r="C1485" s="219" t="str">
        <x:v>938ba171be55b8b6213eb00bc73cd52e90973449a35deda4dcf4c730e5b97993</x:v>
      </x:c>
    </x:row>
    <x:row r="1486" ht="30" customHeight="1">
      <x:c r="A1486" s="180" t="str">
        <x:v>VNV-03</x:v>
      </x:c>
      <x:c r="B1486" s="180" t="str">
        <x:v>control/EXECUTION_PLAN_CURRENT.md</x:v>
      </x:c>
      <x:c r="C1486" s="180" t="str">
        <x:v>edc0e7ee94cff207a335a60e17313a1a0cea587253a54240e59425a2e7095856</x:v>
      </x:c>
    </x:row>
    <x:row r="1487" ht="30" customHeight="1">
      <x:c r="A1487" s="219" t="str">
        <x:v>VNV-03</x:v>
      </x:c>
      <x:c r="B1487" s="219" t="str">
        <x:v>control/RECOVERY_LEDGER.md</x:v>
      </x:c>
      <x:c r="C1487" s="219" t="str">
        <x:v>8ebd3401682084e4888c14457ab57035a64bf11b7bbf378d7c1549510a25f102</x:v>
      </x:c>
    </x:row>
    <x:row r="1488" ht="30" customHeight="1">
      <x:c r="A1488" s="180" t="str">
        <x:v>VNV-03</x:v>
      </x:c>
      <x:c r="B1488" s="180" t="str">
        <x:v>control/DESKTOP_ACTION_DISPOSITIONS_CURRENT.json</x:v>
      </x:c>
      <x:c r="C1488" s="180" t="str">
        <x:v>48ee6985a9aae811c11a83179a8aa3393aee2286b4bb066e40ce5cdde693c982</x:v>
      </x:c>
    </x:row>
    <x:row r="1489" ht="30" customHeight="1">
      <x:c r="A1489" s="219" t="str">
        <x:v>VNV-03</x:v>
      </x:c>
      <x:c r="B1489" s="219" t="str">
        <x:v>iterations/I06_harness_handoff/CANDIDATE_MANIFEST.json</x:v>
      </x:c>
      <x:c r="C1489" s="219" t="str">
        <x:v>017aa6938b0cea4fcf5d02a0e28ba556e4a0c0485495f171a7d5aba15a703fc0</x:v>
      </x:c>
    </x:row>
    <x:row r="1490" ht="30" customHeight="1">
      <x:c r="A1490" s="180" t="str">
        <x:v>VNV-03</x:v>
      </x:c>
      <x:c r="B1490" s="180" t="str">
        <x:v>control/FINAL_GATES.json</x:v>
      </x:c>
      <x:c r="C1490" s="180" t="str">
        <x:v>b04e670a88f36a01c1c0182933555cfc2fba151953cd6020cd6ec4a8204d6f79</x:v>
      </x:c>
    </x:row>
    <x:row r="1491" ht="30" customHeight="1">
      <x:c r="A1491" s="219" t="str">
        <x:v>VNV-03</x:v>
      </x:c>
      <x:c r="B1491" s="219" t="str">
        <x:v>current/EXECUTION_PLAN.md</x:v>
      </x:c>
      <x:c r="C1491" s="219" t="str">
        <x:v>edc0e7ee94cff207a335a60e17313a1a0cea587253a54240e59425a2e7095856</x:v>
      </x:c>
    </x:row>
    <x:row r="1492" ht="30" customHeight="1">
      <x:c r="A1492" s="180" t="str">
        <x:v>VNV-03</x:v>
      </x:c>
      <x:c r="B1492" s="180" t="str">
        <x:v>current/I21_SOURCE_VERIFICATION.json</x:v>
      </x:c>
      <x:c r="C1492" s="180" t="str">
        <x:v>938ba171be55b8b6213eb00bc73cd52e90973449a35deda4dcf4c730e5b97993</x:v>
      </x:c>
    </x:row>
    <x:row r="1493" ht="30" customHeight="1">
      <x:c r="A1493" s="219" t="str">
        <x:v>VNV-04</x:v>
      </x:c>
      <x:c r="B1493" s="219" t="str">
        <x:v>lanes/power/FINAL_I04_POWER_EFFECTIVITY.json</x:v>
      </x:c>
      <x:c r="C1493" s="219" t="str">
        <x:v>7614948f0477b3872c1893f2c8071300dad9a76bed2163a98c302fc2b08f0b26</x:v>
      </x:c>
    </x:row>
    <x:row r="1494" ht="30" customHeight="1">
      <x:c r="A1494" s="180" t="str">
        <x:v>VNV-04</x:v>
      </x:c>
      <x:c r="B1494" s="180" t="str">
        <x:v>lanes/power/COUPLED_STARTUP_ENVELOPE.json</x:v>
      </x:c>
      <x:c r="C1494" s="180" t="str">
        <x:v>61403b7c7bb855edead8e74923d7d7aa3520f67e6ed50fb9e00818ee7fad28b5</x:v>
      </x:c>
    </x:row>
    <x:row r="1495" ht="30" customHeight="1">
      <x:c r="A1495" s="219" t="str">
        <x:v>VNV-04</x:v>
      </x:c>
      <x:c r="B1495" s="219" t="str">
        <x:v>lanes/power_limits/POWER_LIMITS_SUMMARY.json</x:v>
      </x:c>
      <x:c r="C1495" s="219" t="str">
        <x:v>7dff1f6f253807926f9a5bfb7717bc18ea30e47607cb990bcc9025f7fd9007ef</x:v>
      </x:c>
    </x:row>
    <x:row r="1496" ht="30" customHeight="1">
      <x:c r="A1496" s="180" t="str">
        <x:v>VNV-04</x:v>
      </x:c>
      <x:c r="B1496" s="180" t="str">
        <x:v>current/EXECUTION_PLAN.md</x:v>
      </x:c>
      <x:c r="C1496" s="180" t="str">
        <x:v>edc0e7ee94cff207a335a60e17313a1a0cea587253a54240e59425a2e7095856</x:v>
      </x:c>
    </x:row>
    <x:row r="1497" ht="30" customHeight="1">
      <x:c r="A1497" s="219" t="str">
        <x:v>VNV-04</x:v>
      </x:c>
      <x:c r="B1497" s="219" t="str">
        <x:v>current/I21_SOURCE_VERIFICATION.json</x:v>
      </x:c>
      <x:c r="C1497" s="219" t="str">
        <x:v>938ba171be55b8b6213eb00bc73cd52e90973449a35deda4dcf4c730e5b97993</x:v>
      </x:c>
    </x:row>
    <x:row r="1498" ht="30" customHeight="1">
      <x:c r="A1498" s="180" t="str">
        <x:v>VNV-05</x:v>
      </x:c>
      <x:c r="B1498" s="180" t="str">
        <x:v>analyses/can_branch/COMPLETE_CAN_BRANCH_RESULTS.json</x:v>
      </x:c>
      <x:c r="C1498" s="180" t="str">
        <x:v>a801a4a8e8e64f129b875e99b68c8d790509ea22707726f5a2e7c3d75c50f40e</x:v>
      </x:c>
    </x:row>
    <x:row r="1499" ht="30" customHeight="1">
      <x:c r="A1499" s="219" t="str">
        <x:v>VNV-05</x:v>
      </x:c>
      <x:c r="B1499" s="219" t="str">
        <x:v>analyses/can_branch/FINAL_CAN_SOURCE_BINDING.json</x:v>
      </x:c>
      <x:c r="C1499" s="219" t="str">
        <x:v>87fd07aaf564b8a15f8d5fbff3a080349f9229fc6fe816de2d19763cc3ada036</x:v>
      </x:c>
    </x:row>
    <x:row r="1500" ht="30" customHeight="1">
      <x:c r="A1500" s="180" t="str">
        <x:v>VNV-05</x:v>
      </x:c>
      <x:c r="B1500" s="180" t="str">
        <x:v>analyses/can_branch/CAN22-02_NUMERICAL_CHECKS.json</x:v>
      </x:c>
      <x:c r="C1500" s="180" t="str">
        <x:v>82f22d8ac19741ff81cfbe45c1d06c73624ca08ed66050156b9edebb902e6be7</x:v>
      </x:c>
    </x:row>
    <x:row r="1501" ht="30" customHeight="1">
      <x:c r="A1501" s="219" t="str">
        <x:v>VNV-05</x:v>
      </x:c>
      <x:c r="B1501" s="219" t="str">
        <x:v>current/EXECUTION_PLAN.md</x:v>
      </x:c>
      <x:c r="C1501" s="219" t="str">
        <x:v>edc0e7ee94cff207a335a60e17313a1a0cea587253a54240e59425a2e7095856</x:v>
      </x:c>
    </x:row>
    <x:row r="1502" ht="30" customHeight="1">
      <x:c r="A1502" s="180" t="str">
        <x:v>VNV-05</x:v>
      </x:c>
      <x:c r="B1502" s="180" t="str">
        <x:v>current/I21_SOURCE_VERIFICATION.json</x:v>
      </x:c>
      <x:c r="C1502" s="180" t="str">
        <x:v>938ba171be55b8b6213eb00bc73cd52e90973449a35deda4dcf4c730e5b97993</x:v>
      </x:c>
    </x:row>
    <x:row r="1503" ht="30" customHeight="1">
      <x:c r="A1503" s="219" t="str">
        <x:v>VNV-06</x:v>
      </x:c>
      <x:c r="B1503" s="219" t="str">
        <x:v>lanes/firmware_oil/RECOVERED_FIRMWARE_TEST_RESULTS.json</x:v>
      </x:c>
      <x:c r="C1503" s="219" t="str">
        <x:v>c4c5df66ff54cba721fe8808062019f824df6e0b0c4869e78fd30626121dc725</x:v>
      </x:c>
    </x:row>
    <x:row r="1504" ht="30" customHeight="1">
      <x:c r="A1504" s="180" t="str">
        <x:v>VNV-06</x:v>
      </x:c>
      <x:c r="B1504" s="180" t="str">
        <x:v>lanes/firmware_oil/RECOVERY_CALIBRATION_GAIN_REDLINE.json</x:v>
      </x:c>
      <x:c r="C1504" s="180" t="str">
        <x:v>4156482b336bece382dae6dcf618b2f7a5c26456dc57aaa1b574e169bd04cd9c</x:v>
      </x:c>
    </x:row>
    <x:row r="1505" ht="30" customHeight="1">
      <x:c r="A1505" s="219" t="str">
        <x:v>VNV-06</x:v>
      </x:c>
      <x:c r="B1505" s="219" t="str">
        <x:v>interfaces/OIL_HARNESS_ERROR_SWEEP.json</x:v>
      </x:c>
      <x:c r="C1505" s="219" t="str">
        <x:v>1a0e3bbbfeb53fae48b38ab52575d6644f48d7ef4b534dd262f89c9cde0aa6a1</x:v>
      </x:c>
    </x:row>
    <x:row r="1506" ht="30" customHeight="1">
      <x:c r="A1506" s="180" t="str">
        <x:v>VNV-06</x:v>
      </x:c>
      <x:c r="B1506" s="180" t="str">
        <x:v>current/EXECUTION_PLAN.md</x:v>
      </x:c>
      <x:c r="C1506" s="180" t="str">
        <x:v>edc0e7ee94cff207a335a60e17313a1a0cea587253a54240e59425a2e7095856</x:v>
      </x:c>
    </x:row>
    <x:row r="1507" ht="30" customHeight="1">
      <x:c r="A1507" s="219" t="str">
        <x:v>VNV-06</x:v>
      </x:c>
      <x:c r="B1507" s="219" t="str">
        <x:v>current/I21_SOURCE_VERIFICATION.json</x:v>
      </x:c>
      <x:c r="C1507" s="219" t="str">
        <x:v>938ba171be55b8b6213eb00bc73cd52e90973449a35deda4dcf4c730e5b97993</x:v>
      </x:c>
    </x:row>
    <x:row r="1508" ht="30" customHeight="1">
      <x:c r="A1508" s="180" t="str">
        <x:v>VNV-07</x:v>
      </x:c>
      <x:c r="B1508" s="180" t="str">
        <x:v>lanes/rf/RF_FINAL_REPORT.md</x:v>
      </x:c>
      <x:c r="C1508" s="180" t="str">
        <x:v>3fdd717e298f9671baa0d0bd7e612e526623cf035b1ff575a9a5dc8ba1536ce1</x:v>
      </x:c>
    </x:row>
    <x:row r="1509" ht="30" customHeight="1">
      <x:c r="A1509" s="219" t="str">
        <x:v>VNV-07</x:v>
      </x:c>
      <x:c r="B1509" s="219" t="str">
        <x:v>lanes/rf/RF_FINAL_SUMMARY.json</x:v>
      </x:c>
      <x:c r="C1509" s="219" t="str">
        <x:v>2bc67f3c75f646a9f78d6da59e201a8ce2bb511d46ca790af21525498545cd76</x:v>
      </x:c>
    </x:row>
    <x:row r="1510" ht="30" customHeight="1">
      <x:c r="A1510" s="180" t="str">
        <x:v>VNV-07</x:v>
      </x:c>
      <x:c r="B1510" s="180" t="str">
        <x:v>lanes/rf/RF_I04_ADDENDUM.md</x:v>
      </x:c>
      <x:c r="C1510" s="180" t="str">
        <x:v>a10485f6d1e16e37566e6ab1b7d8b6dc6b55d8e632ec8c2939f3a60188741b51</x:v>
      </x:c>
    </x:row>
    <x:row r="1511" ht="30" customHeight="1">
      <x:c r="A1511" s="219" t="str">
        <x:v>VNV-07</x:v>
      </x:c>
      <x:c r="B1511" s="219" t="str">
        <x:v>lanes/rf/RF_I04_SUMMARY.json</x:v>
      </x:c>
      <x:c r="C1511" s="219" t="str">
        <x:v>acfa57ec9f135bae0fc67b784b6851dfbb05847f7e383abf948d1c8d4d82f1ce</x:v>
      </x:c>
    </x:row>
    <x:row r="1512" ht="30" customHeight="1">
      <x:c r="A1512" s="180" t="str">
        <x:v>VNV-07</x:v>
      </x:c>
      <x:c r="B1512" s="180" t="str">
        <x:v>lanes/emc/RF_STRIP_NETWORK.json</x:v>
      </x:c>
      <x:c r="C1512" s="180" t="str">
        <x:v>136f177c0cb02f729dc78bb81db0419d7d9e60180a4bea2e288c16b5762d71ab</x:v>
      </x:c>
    </x:row>
    <x:row r="1513" ht="30" customHeight="1">
      <x:c r="A1513" s="219" t="str">
        <x:v>VNV-07</x:v>
      </x:c>
      <x:c r="B1513" s="219" t="str">
        <x:v>current/EXECUTION_PLAN.md</x:v>
      </x:c>
      <x:c r="C1513" s="219" t="str">
        <x:v>edc0e7ee94cff207a335a60e17313a1a0cea587253a54240e59425a2e7095856</x:v>
      </x:c>
    </x:row>
    <x:row r="1514" ht="30" customHeight="1">
      <x:c r="A1514" s="180" t="str">
        <x:v>VNV-07</x:v>
      </x:c>
      <x:c r="B1514" s="180" t="str">
        <x:v>current/I21_SOURCE_VERIFICATION.json</x:v>
      </x:c>
      <x:c r="C1514" s="180" t="str">
        <x:v>938ba171be55b8b6213eb00bc73cd52e90973449a35deda4dcf4c730e5b97993</x:v>
      </x:c>
    </x:row>
    <x:row r="1515" ht="30" customHeight="1">
      <x:c r="A1515" s="219" t="str">
        <x:v>VNV-08</x:v>
      </x:c>
      <x:c r="B1515" s="219" t="str">
        <x:v>lanes/firmware_oil/RECOVERED_RELEASE_CHECKS.json</x:v>
      </x:c>
      <x:c r="C1515" s="219" t="str">
        <x:v>9d36ebab30769a0293ff2fcbd194a54f113e5444f8680565da51558ccce9cdf8</x:v>
      </x:c>
    </x:row>
    <x:row r="1516" ht="30" customHeight="1">
      <x:c r="A1516" s="180" t="str">
        <x:v>VNV-08</x:v>
      </x:c>
      <x:c r="B1516" s="180" t="str">
        <x:v>lanes/firmware_oil/RECOVERED_FIRMWARE_TEST_RESULTS.json</x:v>
      </x:c>
      <x:c r="C1516" s="180" t="str">
        <x:v>c4c5df66ff54cba721fe8808062019f824df6e0b0c4869e78fd30626121dc725</x:v>
      </x:c>
    </x:row>
    <x:row r="1517" ht="30" customHeight="1">
      <x:c r="A1517" s="219" t="str">
        <x:v>VNV-08</x:v>
      </x:c>
      <x:c r="B1517" s="219" t="str">
        <x:v>current/EXECUTION_PLAN.md</x:v>
      </x:c>
      <x:c r="C1517" s="219" t="str">
        <x:v>edc0e7ee94cff207a335a60e17313a1a0cea587253a54240e59425a2e7095856</x:v>
      </x:c>
    </x:row>
    <x:row r="1518" ht="30" customHeight="1">
      <x:c r="A1518" s="180" t="str">
        <x:v>VNV-08</x:v>
      </x:c>
      <x:c r="B1518" s="180" t="str">
        <x:v>current/I21_SOURCE_VERIFICATION.json</x:v>
      </x:c>
      <x:c r="C1518" s="180" t="str">
        <x:v>938ba171be55b8b6213eb00bc73cd52e90973449a35deda4dcf4c730e5b97993</x:v>
      </x:c>
    </x:row>
    <x:row r="1519" ht="30" customHeight="1">
      <x:c r="A1519" s="219" t="str">
        <x:v>VNV-09</x:v>
      </x:c>
      <x:c r="B1519" s="219" t="str">
        <x:v>analyses/installation/DASHBOARD_EXPOSURE_AND_SERVICE.md</x:v>
      </x:c>
      <x:c r="C1519" s="219" t="str">
        <x:v>9875d08e5f9c94bc8a752d9f7372da234a2311a0a80bf4d7aa8ed15e9dbefd48</x:v>
      </x:c>
    </x:row>
    <x:row r="1520" ht="30" customHeight="1">
      <x:c r="A1520" s="180" t="str">
        <x:v>VNV-09</x:v>
      </x:c>
      <x:c r="B1520" s="180" t="str">
        <x:v>lanes/mechanics/MECHANICAL_INSTALLATION_RVB22.md</x:v>
      </x:c>
      <x:c r="C1520" s="180" t="str">
        <x:v>c537001620be1f1ddbec9d8ea77b9dc84cb5461fb1ffca843c448cf71d2b31d8</x:v>
      </x:c>
    </x:row>
    <x:row r="1521" ht="30" customHeight="1">
      <x:c r="A1521" s="219" t="str">
        <x:v>VNV-09</x:v>
      </x:c>
      <x:c r="B1521" s="219" t="str">
        <x:v>current/EXECUTION_PLAN.md</x:v>
      </x:c>
      <x:c r="C1521" s="219" t="str">
        <x:v>edc0e7ee94cff207a335a60e17313a1a0cea587253a54240e59425a2e7095856</x:v>
      </x:c>
    </x:row>
    <x:row r="1522" ht="30" customHeight="1">
      <x:c r="A1522" s="180" t="str">
        <x:v>VNV-09</x:v>
      </x:c>
      <x:c r="B1522" s="180" t="str">
        <x:v>current/I21_SOURCE_VERIFICATION.json</x:v>
      </x:c>
      <x:c r="C1522" s="180" t="str">
        <x:v>938ba171be55b8b6213eb00bc73cd52e90973449a35deda4dcf4c730e5b97993</x:v>
      </x:c>
    </x:row>
    <x:row r="1523" ht="30" customHeight="1">
      <x:c r="A1523" s="219" t="str">
        <x:v>VNV-10</x:v>
      </x:c>
      <x:c r="B1523" s="219" t="str">
        <x:v>control/RVB22_BRING_UP_AND_MEASUREMENT_CONTRACT.md</x:v>
      </x:c>
      <x:c r="C1523" s="219" t="str">
        <x:v>449d38b93d0d99ec35d3545af7b198e3430a19aa20cbf59b6de2b60b0215331f</x:v>
      </x:c>
    </x:row>
    <x:row r="1524" ht="30" customHeight="1">
      <x:c r="A1524" s="180" t="str">
        <x:v>VNV-10</x:v>
      </x:c>
      <x:c r="B1524" s="180" t="str">
        <x:v>control/BRINGUP_SCHEMATIC_TEXT_DELTA.json</x:v>
      </x:c>
      <x:c r="C1524" s="180" t="str">
        <x:v>b375d56d6cc12ce36313d7ee538c3bc384127c76eb41fea363ce7911556415ee</x:v>
      </x:c>
    </x:row>
    <x:row r="1525" ht="30" customHeight="1">
      <x:c r="A1525" s="219" t="str">
        <x:v>VNV-10</x:v>
      </x:c>
      <x:c r="B1525" s="219" t="str">
        <x:v>control/BRINGUP_ACTUAL_NODE_INDEX.json</x:v>
      </x:c>
      <x:c r="C1525" s="219" t="str">
        <x:v>a63b8b544d5707e4ec2c6dcced8a01f7b216c553052681a5fa9f46bc3d7af6f8</x:v>
      </x:c>
    </x:row>
    <x:row r="1526" ht="30" customHeight="1">
      <x:c r="A1526" s="180" t="str">
        <x:v>VNV-10</x:v>
      </x:c>
      <x:c r="B1526" s="180" t="str">
        <x:v>control/FINAL_I04_BRINGUP_BINDING.json</x:v>
      </x:c>
      <x:c r="C1526" s="180" t="str">
        <x:v>0a51eb793074e6b5eafbf20002325289bdd1e1b3a5174ae63fd79b937a76fd3f</x:v>
      </x:c>
    </x:row>
    <x:row r="1527" ht="30" customHeight="1">
      <x:c r="A1527" s="219" t="str">
        <x:v>VNV-10</x:v>
      </x:c>
      <x:c r="B1527" s="219" t="str">
        <x:v>current/EXECUTION_PLAN.md</x:v>
      </x:c>
      <x:c r="C1527" s="219" t="str">
        <x:v>edc0e7ee94cff207a335a60e17313a1a0cea587253a54240e59425a2e7095856</x:v>
      </x:c>
    </x:row>
    <x:row r="1528" ht="30" customHeight="1">
      <x:c r="A1528" s="180" t="str">
        <x:v>VNV-10</x:v>
      </x:c>
      <x:c r="B1528" s="180" t="str">
        <x:v>current/I21_SOURCE_VERIFICATION.json</x:v>
      </x:c>
      <x:c r="C1528" s="180" t="str">
        <x:v>938ba171be55b8b6213eb00bc73cd52e90973449a35deda4dcf4c730e5b97993</x:v>
      </x:c>
    </x:row>
    <x:row r="1529" ht="30" customHeight="1">
      <x:c r="A1529" s="219" t="str">
        <x:v>VNV-11</x:v>
      </x:c>
      <x:c r="B1529" s="219" t="str">
        <x:v>control/EXECUTION_PLAN_CURRENT.md</x:v>
      </x:c>
      <x:c r="C1529" s="219" t="str">
        <x:v>edc0e7ee94cff207a335a60e17313a1a0cea587253a54240e59425a2e7095856</x:v>
      </x:c>
    </x:row>
    <x:row r="1530" ht="30" customHeight="1">
      <x:c r="A1530" s="180" t="str">
        <x:v>VNV-11</x:v>
      </x:c>
      <x:c r="B1530" s="180" t="str">
        <x:v>control/RECOVERY_LEDGER.md</x:v>
      </x:c>
      <x:c r="C1530" s="180" t="str">
        <x:v>8ebd3401682084e4888c14457ab57035a64bf11b7bbf378d7c1549510a25f102</x:v>
      </x:c>
    </x:row>
    <x:row r="1531" ht="30" customHeight="1">
      <x:c r="A1531" s="219" t="str">
        <x:v>VNV-11</x:v>
      </x:c>
      <x:c r="B1531" s="219" t="str">
        <x:v>control/DESKTOP_ACTION_DISPOSITIONS_CURRENT.json</x:v>
      </x:c>
      <x:c r="C1531" s="219" t="str">
        <x:v>48ee6985a9aae811c11a83179a8aa3393aee2286b4bb066e40ce5cdde693c982</x:v>
      </x:c>
    </x:row>
    <x:row r="1532" ht="30" customHeight="1">
      <x:c r="A1532" s="180" t="str">
        <x:v>VNV-11</x:v>
      </x:c>
      <x:c r="B1532" s="180" t="str">
        <x:v>iterations/I06_harness_handoff/CANDIDATE_MANIFEST.json</x:v>
      </x:c>
      <x:c r="C1532" s="180" t="str">
        <x:v>017aa6938b0cea4fcf5d02a0e28ba556e4a0c0485495f171a7d5aba15a703fc0</x:v>
      </x:c>
    </x:row>
    <x:row r="1533" ht="30" customHeight="1">
      <x:c r="A1533" s="219" t="str">
        <x:v>VNV-11</x:v>
      </x:c>
      <x:c r="B1533" s="219" t="str">
        <x:v>control/FINAL_GATES.json</x:v>
      </x:c>
      <x:c r="C1533" s="219" t="str">
        <x:v>b04e670a88f36a01c1c0182933555cfc2fba151953cd6020cd6ec4a8204d6f79</x:v>
      </x:c>
    </x:row>
    <x:row r="1534" ht="30" customHeight="1">
      <x:c r="A1534" s="180" t="str">
        <x:v>VNV-11</x:v>
      </x:c>
      <x:c r="B1534" s="180" t="str">
        <x:v>current/EXECUTION_PLAN.md</x:v>
      </x:c>
      <x:c r="C1534" s="180" t="str">
        <x:v>edc0e7ee94cff207a335a60e17313a1a0cea587253a54240e59425a2e7095856</x:v>
      </x:c>
    </x:row>
    <x:row r="1535" ht="30" customHeight="1">
      <x:c r="A1535" s="219" t="str">
        <x:v>VNV-11</x:v>
      </x:c>
      <x:c r="B1535" s="219" t="str">
        <x:v>current/I21_SOURCE_VERIFICATION.json</x:v>
      </x:c>
      <x:c r="C1535" s="219" t="str">
        <x:v>938ba171be55b8b6213eb00bc73cd52e90973449a35deda4dcf4c730e5b97993</x:v>
      </x:c>
    </x:row>
    <x:row r="1536" ht="30" customHeight="1">
      <x:c r="A1536" s="180" t="str">
        <x:v>VNV-12</x:v>
      </x:c>
      <x:c r="B1536" s="180" t="str">
        <x:v>runtime/final_I06_actual_preflight/RESULT.json</x:v>
      </x:c>
      <x:c r="C1536" s="180" t="str">
        <x:v>47d1ac4057b92a6752abacf976768596bf4fa311d08c9fc08df2d276e8e1200f</x:v>
      </x:c>
    </x:row>
    <x:row r="1537" ht="30" customHeight="1">
      <x:c r="A1537" s="219" t="str">
        <x:v>VNV-12</x:v>
      </x:c>
      <x:c r="B1537" s="219" t="str">
        <x:v>runtime/run_native_candidate.py</x:v>
      </x:c>
      <x:c r="C1537" s="219" t="str">
        <x:v>187d303cb103cef92143d53c099615a435ceef29c0458d7ac9521205d451f315</x:v>
      </x:c>
    </x:row>
    <x:row r="1538" ht="30" customHeight="1">
      <x:c r="A1538" s="180" t="str">
        <x:v>VNV-12</x:v>
      </x:c>
      <x:c r="B1538" s="180" t="str">
        <x:v>current/EXECUTION_PLAN.md</x:v>
      </x:c>
      <x:c r="C1538" s="180" t="str">
        <x:v>edc0e7ee94cff207a335a60e17313a1a0cea587253a54240e59425a2e7095856</x:v>
      </x:c>
    </x:row>
    <x:row r="1539" ht="30" customHeight="1">
      <x:c r="A1539" s="219" t="str">
        <x:v>VNV-12</x:v>
      </x:c>
      <x:c r="B1539" s="219" t="str">
        <x:v>current/I21_SOURCE_VERIFICATION.json</x:v>
      </x:c>
      <x:c r="C1539" s="219" t="str">
        <x:v>938ba171be55b8b6213eb00bc73cd52e90973449a35deda4dcf4c730e5b97993</x:v>
      </x:c>
    </x:row>
    <x:row r="1540" ht="30" customHeight="1">
      <x:c r="A1540" s="180" t="str">
        <x:v>FMEA-01</x:v>
      </x:c>
      <x:c r="B1540" s="180" t="str">
        <x:v>analyses/lost_ground/LOST_GROUND_RESULTS_RECONSTRUCTED.json</x:v>
      </x:c>
      <x:c r="C1540" s="180" t="str">
        <x:v>6ec9e99b4e2287669bd61062f5f19192e51c8c3a6296adf6456426cd3586e7c8</x:v>
      </x:c>
    </x:row>
    <x:row r="1541" ht="30" customHeight="1">
      <x:c r="A1541" s="219" t="str">
        <x:v>FMEA-01</x:v>
      </x:c>
      <x:c r="B1541" s="219" t="str">
        <x:v>interfaces/LOST_GROUND_FINITE_DC_SCREEN.json</x:v>
      </x:c>
      <x:c r="C1541" s="219" t="str">
        <x:v>3919193bd4f1eec855eaf45dbf6fdd55673073c59c38a3f9e77aee07dd8cd906</x:v>
      </x:c>
    </x:row>
    <x:row r="1542" ht="30" customHeight="1">
      <x:c r="A1542" s="180" t="str">
        <x:v>FMEA-01</x:v>
      </x:c>
      <x:c r="B1542" s="180" t="str">
        <x:v>interfaces/HARNESS_INTERFACE_CONTRACT.json</x:v>
      </x:c>
      <x:c r="C1542" s="180" t="str">
        <x:v>8de240d9bfbc5862fae2984984929e0c086bc37a255289129d312548cac3576a</x:v>
      </x:c>
    </x:row>
    <x:row r="1543" ht="30" customHeight="1">
      <x:c r="A1543" s="219" t="str">
        <x:v>FMEA-01</x:v>
      </x:c>
      <x:c r="B1543" s="219" t="str">
        <x:v>interfaces/SINGLE_RETURN_EFFECTIVITY.json</x:v>
      </x:c>
      <x:c r="C1543" s="219" t="str">
        <x:v>6c7af28cea00c2a54f0765cf157f3b8630e9799cf9ee615f2210552134ffe640</x:v>
      </x:c>
    </x:row>
    <x:row r="1544" ht="30" customHeight="1">
      <x:c r="A1544" s="180" t="str">
        <x:v>FMEA-01</x:v>
      </x:c>
      <x:c r="B1544" s="180" t="str">
        <x:v>current/EXECUTION_PLAN.md</x:v>
      </x:c>
      <x:c r="C1544" s="180" t="str">
        <x:v>edc0e7ee94cff207a335a60e17313a1a0cea587253a54240e59425a2e7095856</x:v>
      </x:c>
    </x:row>
    <x:row r="1545" ht="30" customHeight="1">
      <x:c r="A1545" s="219" t="str">
        <x:v>FMEA-02</x:v>
      </x:c>
      <x:c r="B1545" s="219" t="str">
        <x:v>analyses/lost_ground/LOST_GROUND_RESULTS_RECONSTRUCTED.json</x:v>
      </x:c>
      <x:c r="C1545" s="219" t="str">
        <x:v>6ec9e99b4e2287669bd61062f5f19192e51c8c3a6296adf6456426cd3586e7c8</x:v>
      </x:c>
    </x:row>
    <x:row r="1546" ht="30" customHeight="1">
      <x:c r="A1546" s="180" t="str">
        <x:v>FMEA-02</x:v>
      </x:c>
      <x:c r="B1546" s="180" t="str">
        <x:v>interfaces/LOST_GROUND_FINITE_DC_SCREEN.json</x:v>
      </x:c>
      <x:c r="C1546" s="180" t="str">
        <x:v>3919193bd4f1eec855eaf45dbf6fdd55673073c59c38a3f9e77aee07dd8cd906</x:v>
      </x:c>
    </x:row>
    <x:row r="1547" ht="30" customHeight="1">
      <x:c r="A1547" s="219" t="str">
        <x:v>FMEA-02</x:v>
      </x:c>
      <x:c r="B1547" s="219" t="str">
        <x:v>interfaces/HARNESS_INTERFACE_CONTRACT.json</x:v>
      </x:c>
      <x:c r="C1547" s="219" t="str">
        <x:v>8de240d9bfbc5862fae2984984929e0c086bc37a255289129d312548cac3576a</x:v>
      </x:c>
    </x:row>
    <x:row r="1548" ht="30" customHeight="1">
      <x:c r="A1548" s="180" t="str">
        <x:v>FMEA-02</x:v>
      </x:c>
      <x:c r="B1548" s="180" t="str">
        <x:v>interfaces/SINGLE_RETURN_EFFECTIVITY.json</x:v>
      </x:c>
      <x:c r="C1548" s="180" t="str">
        <x:v>6c7af28cea00c2a54f0765cf157f3b8630e9799cf9ee615f2210552134ffe640</x:v>
      </x:c>
    </x:row>
    <x:row r="1549" ht="30" customHeight="1">
      <x:c r="A1549" s="219" t="str">
        <x:v>FMEA-02</x:v>
      </x:c>
      <x:c r="B1549" s="219" t="str">
        <x:v>current/EXECUTION_PLAN.md</x:v>
      </x:c>
      <x:c r="C1549" s="219" t="str">
        <x:v>edc0e7ee94cff207a335a60e17313a1a0cea587253a54240e59425a2e7095856</x:v>
      </x:c>
    </x:row>
    <x:row r="1550" ht="30" customHeight="1">
      <x:c r="A1550" s="180" t="str">
        <x:v>FMEA-03</x:v>
      </x:c>
      <x:c r="B1550" s="180" t="str">
        <x:v>analyses/lost_ground/LOST_GROUND_RESULTS_RECONSTRUCTED.json</x:v>
      </x:c>
      <x:c r="C1550" s="180" t="str">
        <x:v>6ec9e99b4e2287669bd61062f5f19192e51c8c3a6296adf6456426cd3586e7c8</x:v>
      </x:c>
    </x:row>
    <x:row r="1551" ht="30" customHeight="1">
      <x:c r="A1551" s="219" t="str">
        <x:v>FMEA-03</x:v>
      </x:c>
      <x:c r="B1551" s="219" t="str">
        <x:v>interfaces/LOST_GROUND_FINITE_DC_SCREEN.json</x:v>
      </x:c>
      <x:c r="C1551" s="219" t="str">
        <x:v>3919193bd4f1eec855eaf45dbf6fdd55673073c59c38a3f9e77aee07dd8cd906</x:v>
      </x:c>
    </x:row>
    <x:row r="1552" ht="30" customHeight="1">
      <x:c r="A1552" s="180" t="str">
        <x:v>FMEA-03</x:v>
      </x:c>
      <x:c r="B1552" s="180" t="str">
        <x:v>interfaces/HARNESS_INTERFACE_CONTRACT.json</x:v>
      </x:c>
      <x:c r="C1552" s="180" t="str">
        <x:v>8de240d9bfbc5862fae2984984929e0c086bc37a255289129d312548cac3576a</x:v>
      </x:c>
    </x:row>
    <x:row r="1553" ht="30" customHeight="1">
      <x:c r="A1553" s="219" t="str">
        <x:v>FMEA-03</x:v>
      </x:c>
      <x:c r="B1553" s="219" t="str">
        <x:v>interfaces/SINGLE_RETURN_EFFECTIVITY.json</x:v>
      </x:c>
      <x:c r="C1553" s="219" t="str">
        <x:v>6c7af28cea00c2a54f0765cf157f3b8630e9799cf9ee615f2210552134ffe640</x:v>
      </x:c>
    </x:row>
    <x:row r="1554" ht="30" customHeight="1">
      <x:c r="A1554" s="180" t="str">
        <x:v>FMEA-03</x:v>
      </x:c>
      <x:c r="B1554" s="180" t="str">
        <x:v>current/EXECUTION_PLAN.md</x:v>
      </x:c>
      <x:c r="C1554" s="180" t="str">
        <x:v>edc0e7ee94cff207a335a60e17313a1a0cea587253a54240e59425a2e7095856</x:v>
      </x:c>
    </x:row>
    <x:row r="1555" ht="30" customHeight="1">
      <x:c r="A1555" s="219" t="str">
        <x:v>FMEA-04</x:v>
      </x:c>
      <x:c r="B1555" s="219" t="str">
        <x:v>interfaces/HARNESS_INTERFACE_CONTRACT.json</x:v>
      </x:c>
      <x:c r="C1555" s="219" t="str">
        <x:v>8de240d9bfbc5862fae2984984929e0c086bc37a255289129d312548cac3576a</x:v>
      </x:c>
    </x:row>
    <x:row r="1556" ht="30" customHeight="1">
      <x:c r="A1556" s="180" t="str">
        <x:v>FMEA-04</x:v>
      </x:c>
      <x:c r="B1556" s="180" t="str">
        <x:v>interfaces/HARNESS_CHECKS.json</x:v>
      </x:c>
      <x:c r="C1556" s="180" t="str">
        <x:v>c45fcc060f1cc5d87d9056329c8eac1e7a893cbae583086c5f0d3f5b43a29c9d</x:v>
      </x:c>
    </x:row>
    <x:row r="1557" ht="30" customHeight="1">
      <x:c r="A1557" s="219" t="str">
        <x:v>FMEA-04</x:v>
      </x:c>
      <x:c r="B1557" s="219" t="str">
        <x:v>analyses/harness_wire/HARNESS_WIRE_DELTA.json</x:v>
      </x:c>
      <x:c r="C1557" s="219" t="str">
        <x:v>709bdb5ea3ca0ba32fc78b0da3a1845b1d597fa82b4b3ce17c9ef2774798babe</x:v>
      </x:c>
    </x:row>
    <x:row r="1558" ht="30" customHeight="1">
      <x:c r="A1558" s="180" t="str">
        <x:v>FMEA-04</x:v>
      </x:c>
      <x:c r="B1558" s="180" t="str">
        <x:v>current/EXECUTION_PLAN.md</x:v>
      </x:c>
      <x:c r="C1558" s="180" t="str">
        <x:v>edc0e7ee94cff207a335a60e17313a1a0cea587253a54240e59425a2e7095856</x:v>
      </x:c>
    </x:row>
    <x:row r="1559" ht="30" customHeight="1">
      <x:c r="A1559" s="219" t="str">
        <x:v>FMEA-05</x:v>
      </x:c>
      <x:c r="B1559" s="219" t="str">
        <x:v>lanes/firmware_oil/RECOVERED_RELEASE_CHECKS.json</x:v>
      </x:c>
      <x:c r="C1559" s="219" t="str">
        <x:v>9d36ebab30769a0293ff2fcbd194a54f113e5444f8680565da51558ccce9cdf8</x:v>
      </x:c>
    </x:row>
    <x:row r="1560" ht="30" customHeight="1">
      <x:c r="A1560" s="180" t="str">
        <x:v>FMEA-05</x:v>
      </x:c>
      <x:c r="B1560" s="180" t="str">
        <x:v>lanes/firmware_oil/RECOVERED_FIRMWARE_TEST_RESULTS.json</x:v>
      </x:c>
      <x:c r="C1560" s="180" t="str">
        <x:v>c4c5df66ff54cba721fe8808062019f824df6e0b0c4869e78fd30626121dc725</x:v>
      </x:c>
    </x:row>
    <x:row r="1561" ht="30" customHeight="1">
      <x:c r="A1561" s="219" t="str">
        <x:v>FMEA-05</x:v>
      </x:c>
      <x:c r="B1561" s="219" t="str">
        <x:v>current/EXECUTION_PLAN.md</x:v>
      </x:c>
      <x:c r="C1561" s="219" t="str">
        <x:v>edc0e7ee94cff207a335a60e17313a1a0cea587253a54240e59425a2e7095856</x:v>
      </x:c>
    </x:row>
    <x:row r="1562" ht="30" customHeight="1">
      <x:c r="A1562" s="180" t="str">
        <x:v>FMEA-06</x:v>
      </x:c>
      <x:c r="B1562" s="180" t="str">
        <x:v>lanes/power/POWER_GEOMETRY_REPORT.json</x:v>
      </x:c>
      <x:c r="C1562" s="180" t="str">
        <x:v>4824326717a99e771f8d8e045d4bb59d44e8be5bd0e5ae8b6d2c2d3a16e44fe8</x:v>
      </x:c>
    </x:row>
    <x:row r="1563" ht="30" customHeight="1">
      <x:c r="A1563" s="219" t="str">
        <x:v>FMEA-06</x:v>
      </x:c>
      <x:c r="B1563" s="219" t="str">
        <x:v>lanes/power/COUPLED_STARTUP_ENVELOPE.json</x:v>
      </x:c>
      <x:c r="C1563" s="219" t="str">
        <x:v>61403b7c7bb855edead8e74923d7d7aa3520f67e6ed50fb9e00818ee7fad28b5</x:v>
      </x:c>
    </x:row>
    <x:row r="1564" ht="30" customHeight="1">
      <x:c r="A1564" s="180" t="str">
        <x:v>FMEA-06</x:v>
      </x:c>
      <x:c r="B1564" s="180" t="str">
        <x:v>lanes/power_limits/POWER_LIMITS_SUMMARY.json</x:v>
      </x:c>
      <x:c r="C1564" s="180" t="str">
        <x:v>7dff1f6f253807926f9a5bfb7717bc18ea30e47607cb990bcc9025f7fd9007ef</x:v>
      </x:c>
    </x:row>
    <x:row r="1565" ht="30" customHeight="1">
      <x:c r="A1565" s="219" t="str">
        <x:v>FMEA-06</x:v>
      </x:c>
      <x:c r="B1565" s="219" t="str">
        <x:v>lanes/power/FINAL_I04_POWER_EFFECTIVITY.json</x:v>
      </x:c>
      <x:c r="C1565" s="219" t="str">
        <x:v>7614948f0477b3872c1893f2c8071300dad9a76bed2163a98c302fc2b08f0b26</x:v>
      </x:c>
    </x:row>
    <x:row r="1566" ht="30" customHeight="1">
      <x:c r="A1566" s="180" t="str">
        <x:v>FMEA-06</x:v>
      </x:c>
      <x:c r="B1566" s="180" t="str">
        <x:v>current/EXECUTION_PLAN.md</x:v>
      </x:c>
      <x:c r="C1566" s="180" t="str">
        <x:v>edc0e7ee94cff207a335a60e17313a1a0cea587253a54240e59425a2e7095856</x:v>
      </x:c>
    </x:row>
    <x:row r="1567" ht="30" customHeight="1">
      <x:c r="A1567" s="219" t="str">
        <x:v>FMEA-07</x:v>
      </x:c>
      <x:c r="B1567" s="219" t="str">
        <x:v>lanes/firmware_oil/RECOVERED_RELEASE_CHECKS.json</x:v>
      </x:c>
      <x:c r="C1567" s="219" t="str">
        <x:v>9d36ebab30769a0293ff2fcbd194a54f113e5444f8680565da51558ccce9cdf8</x:v>
      </x:c>
    </x:row>
    <x:row r="1568" ht="30" customHeight="1">
      <x:c r="A1568" s="180" t="str">
        <x:v>FMEA-07</x:v>
      </x:c>
      <x:c r="B1568" s="180" t="str">
        <x:v>lanes/firmware_oil/RECOVERED_FIRMWARE_TEST_RESULTS.json</x:v>
      </x:c>
      <x:c r="C1568" s="180" t="str">
        <x:v>c4c5df66ff54cba721fe8808062019f824df6e0b0c4869e78fd30626121dc725</x:v>
      </x:c>
    </x:row>
    <x:row r="1569" ht="30" customHeight="1">
      <x:c r="A1569" s="219" t="str">
        <x:v>FMEA-07</x:v>
      </x:c>
      <x:c r="B1569" s="219" t="str">
        <x:v>current/EXECUTION_PLAN.md</x:v>
      </x:c>
      <x:c r="C1569" s="219" t="str">
        <x:v>edc0e7ee94cff207a335a60e17313a1a0cea587253a54240e59425a2e7095856</x:v>
      </x:c>
    </x:row>
    <x:row r="1570" ht="30" customHeight="1">
      <x:c r="A1570" s="180" t="str">
        <x:v>FMEA-08</x:v>
      </x:c>
      <x:c r="B1570" s="180" t="str">
        <x:v>control/EXECUTION_PLAN_CURRENT.md</x:v>
      </x:c>
      <x:c r="C1570" s="180" t="str">
        <x:v>edc0e7ee94cff207a335a60e17313a1a0cea587253a54240e59425a2e7095856</x:v>
      </x:c>
    </x:row>
    <x:row r="1571" ht="30" customHeight="1">
      <x:c r="A1571" s="219" t="str">
        <x:v>FMEA-08</x:v>
      </x:c>
      <x:c r="B1571" s="219" t="str">
        <x:v>control/RECOVERY_LEDGER.md</x:v>
      </x:c>
      <x:c r="C1571" s="219" t="str">
        <x:v>8ebd3401682084e4888c14457ab57035a64bf11b7bbf378d7c1549510a25f102</x:v>
      </x:c>
    </x:row>
    <x:row r="1572" ht="30" customHeight="1">
      <x:c r="A1572" s="180" t="str">
        <x:v>FMEA-08</x:v>
      </x:c>
      <x:c r="B1572" s="180" t="str">
        <x:v>control/DESKTOP_ACTION_DISPOSITIONS_CURRENT.json</x:v>
      </x:c>
      <x:c r="C1572" s="180" t="str">
        <x:v>48ee6985a9aae811c11a83179a8aa3393aee2286b4bb066e40ce5cdde693c982</x:v>
      </x:c>
    </x:row>
    <x:row r="1573" ht="30" customHeight="1">
      <x:c r="A1573" s="219" t="str">
        <x:v>FMEA-08</x:v>
      </x:c>
      <x:c r="B1573" s="219" t="str">
        <x:v>iterations/I06_harness_handoff/CANDIDATE_MANIFEST.json</x:v>
      </x:c>
      <x:c r="C1573" s="219" t="str">
        <x:v>017aa6938b0cea4fcf5d02a0e28ba556e4a0c0485495f171a7d5aba15a703fc0</x:v>
      </x:c>
    </x:row>
    <x:row r="1574" ht="30" customHeight="1">
      <x:c r="A1574" s="180" t="str">
        <x:v>FMEA-08</x:v>
      </x:c>
      <x:c r="B1574" s="180" t="str">
        <x:v>control/FINAL_GATES.json</x:v>
      </x:c>
      <x:c r="C1574" s="180" t="str">
        <x:v>b04e670a88f36a01c1c0182933555cfc2fba151953cd6020cd6ec4a8204d6f79</x:v>
      </x:c>
    </x:row>
    <x:row r="1575" ht="30" customHeight="1">
      <x:c r="A1575" s="219" t="str">
        <x:v>FMEA-08</x:v>
      </x:c>
      <x:c r="B1575" s="219" t="str">
        <x:v>current/EXECUTION_PLAN.md</x:v>
      </x:c>
      <x:c r="C1575" s="219" t="str">
        <x:v>edc0e7ee94cff207a335a60e17313a1a0cea587253a54240e59425a2e7095856</x:v>
      </x:c>
    </x:row>
    <x:row r="1576" ht="30" customHeight="1">
      <x:c r="A1576" s="180" t="str">
        <x:v>FMEA-09</x:v>
      </x:c>
      <x:c r="B1576" s="180" t="str">
        <x:v>lanes/firmware_oil/RECOVERED_RELEASE_CHECKS.json</x:v>
      </x:c>
      <x:c r="C1576" s="180" t="str">
        <x:v>9d36ebab30769a0293ff2fcbd194a54f113e5444f8680565da51558ccce9cdf8</x:v>
      </x:c>
    </x:row>
    <x:row r="1577" ht="30" customHeight="1">
      <x:c r="A1577" s="219" t="str">
        <x:v>FMEA-09</x:v>
      </x:c>
      <x:c r="B1577" s="219" t="str">
        <x:v>lanes/firmware_oil/RECOVERED_FIRMWARE_TEST_RESULTS.json</x:v>
      </x:c>
      <x:c r="C1577" s="219" t="str">
        <x:v>c4c5df66ff54cba721fe8808062019f824df6e0b0c4869e78fd30626121dc725</x:v>
      </x:c>
    </x:row>
    <x:row r="1578" ht="30" customHeight="1">
      <x:c r="A1578" s="180" t="str">
        <x:v>FMEA-09</x:v>
      </x:c>
      <x:c r="B1578" s="180" t="str">
        <x:v>current/EXECUTION_PLAN.md</x:v>
      </x:c>
      <x:c r="C1578" s="180" t="str">
        <x:v>edc0e7ee94cff207a335a60e17313a1a0cea587253a54240e59425a2e7095856</x:v>
      </x:c>
    </x:row>
    <x:row r="1579" ht="30" customHeight="1">
      <x:c r="A1579" s="219" t="str">
        <x:v>FMEA-10</x:v>
      </x:c>
      <x:c r="B1579" s="219" t="str">
        <x:v>analyses/can_branch/COMPLETE_CAN_BRANCH_RESULTS.json</x:v>
      </x:c>
      <x:c r="C1579" s="219" t="str">
        <x:v>a801a4a8e8e64f129b875e99b68c8d790509ea22707726f5a2e7c3d75c50f40e</x:v>
      </x:c>
    </x:row>
    <x:row r="1580" ht="30" customHeight="1">
      <x:c r="A1580" s="180" t="str">
        <x:v>FMEA-10</x:v>
      </x:c>
      <x:c r="B1580" s="180" t="str">
        <x:v>analyses/can_branch/FINAL_CAN_SOURCE_BINDING.json</x:v>
      </x:c>
      <x:c r="C1580" s="180" t="str">
        <x:v>87fd07aaf564b8a15f8d5fbff3a080349f9229fc6fe816de2d19763cc3ada036</x:v>
      </x:c>
    </x:row>
    <x:row r="1581" ht="30" customHeight="1">
      <x:c r="A1581" s="219" t="str">
        <x:v>FMEA-10</x:v>
      </x:c>
      <x:c r="B1581" s="219" t="str">
        <x:v>analyses/can_branch/CAN22-02_NUMERICAL_CHECKS.json</x:v>
      </x:c>
      <x:c r="C1581" s="219" t="str">
        <x:v>82f22d8ac19741ff81cfbe45c1d06c73624ca08ed66050156b9edebb902e6be7</x:v>
      </x:c>
    </x:row>
    <x:row r="1582" ht="30" customHeight="1">
      <x:c r="A1582" s="180" t="str">
        <x:v>FMEA-10</x:v>
      </x:c>
      <x:c r="B1582" s="180" t="str">
        <x:v>current/EXECUTION_PLAN.md</x:v>
      </x:c>
      <x:c r="C1582" s="180" t="str">
        <x:v>edc0e7ee94cff207a335a60e17313a1a0cea587253a54240e59425a2e7095856</x:v>
      </x:c>
    </x:row>
    <x:row r="1583" ht="30" customHeight="1">
      <x:c r="A1583" s="219" t="str">
        <x:v>CCB-01</x:v>
      </x:c>
      <x:c r="B1583" s="219" t="str">
        <x:v>control/EXECUTION_PLAN_CURRENT.md</x:v>
      </x:c>
      <x:c r="C1583" s="219" t="str">
        <x:v>edc0e7ee94cff207a335a60e17313a1a0cea587253a54240e59425a2e7095856</x:v>
      </x:c>
    </x:row>
    <x:row r="1584" ht="30" customHeight="1">
      <x:c r="A1584" s="180" t="str">
        <x:v>CCB-01</x:v>
      </x:c>
      <x:c r="B1584" s="180" t="str">
        <x:v>control/RECOVERY_LEDGER.md</x:v>
      </x:c>
      <x:c r="C1584" s="180" t="str">
        <x:v>8ebd3401682084e4888c14457ab57035a64bf11b7bbf378d7c1549510a25f102</x:v>
      </x:c>
    </x:row>
    <x:row r="1585" ht="30" customHeight="1">
      <x:c r="A1585" s="219" t="str">
        <x:v>CCB-01</x:v>
      </x:c>
      <x:c r="B1585" s="219" t="str">
        <x:v>control/DESKTOP_ACTION_DISPOSITIONS_CURRENT.json</x:v>
      </x:c>
      <x:c r="C1585" s="219" t="str">
        <x:v>48ee6985a9aae811c11a83179a8aa3393aee2286b4bb066e40ce5cdde693c982</x:v>
      </x:c>
    </x:row>
    <x:row r="1586" ht="30" customHeight="1">
      <x:c r="A1586" s="180" t="str">
        <x:v>CCB-01</x:v>
      </x:c>
      <x:c r="B1586" s="180" t="str">
        <x:v>iterations/I06_harness_handoff/CANDIDATE_MANIFEST.json</x:v>
      </x:c>
      <x:c r="C1586" s="180" t="str">
        <x:v>017aa6938b0cea4fcf5d02a0e28ba556e4a0c0485495f171a7d5aba15a703fc0</x:v>
      </x:c>
    </x:row>
    <x:row r="1587" ht="30" customHeight="1">
      <x:c r="A1587" s="219" t="str">
        <x:v>CCB-01</x:v>
      </x:c>
      <x:c r="B1587" s="219" t="str">
        <x:v>control/FINAL_GATES.json</x:v>
      </x:c>
      <x:c r="C1587" s="219" t="str">
        <x:v>b04e670a88f36a01c1c0182933555cfc2fba151953cd6020cd6ec4a8204d6f79</x:v>
      </x:c>
    </x:row>
    <x:row r="1588" ht="30" customHeight="1">
      <x:c r="A1588" s="180" t="str">
        <x:v>CCB-01</x:v>
      </x:c>
      <x:c r="B1588" s="180" t="str">
        <x:v>current/I21_SOURCE_VERIFICATION.json</x:v>
      </x:c>
      <x:c r="C1588" s="180" t="str">
        <x:v>938ba171be55b8b6213eb00bc73cd52e90973449a35deda4dcf4c730e5b97993</x:v>
      </x:c>
    </x:row>
    <x:row r="1589" ht="30" customHeight="1">
      <x:c r="A1589" s="219" t="str">
        <x:v>CCB-01</x:v>
      </x:c>
      <x:c r="B1589" s="219" t="str">
        <x:v>iterations/I20_controlled_handoff/NATIVE_BINDING.json</x:v>
      </x:c>
      <x:c r="C1589" s="219" t="str">
        <x:v>6f36235aab2349569f2cacf485912921762bc718e2a5fd5c4c72c2808ca2312b</x:v>
      </x:c>
    </x:row>
    <x:row r="1590" ht="30" customHeight="1">
      <x:c r="A1590" s="180" t="str">
        <x:v>CCB-01</x:v>
      </x:c>
      <x:c r="B1590" s="180" t="str">
        <x:v>current/EXECUTION_PLAN.md</x:v>
      </x:c>
      <x:c r="C1590" s="180" t="str">
        <x:v>edc0e7ee94cff207a335a60e17313a1a0cea587253a54240e59425a2e7095856</x:v>
      </x:c>
    </x:row>
    <x:row r="1591" ht="30" customHeight="1">
      <x:c r="A1591" s="219" t="str">
        <x:v>CCB-02</x:v>
      </x:c>
      <x:c r="B1591" s="219" t="str">
        <x:v>control/EXECUTION_PLAN_CURRENT.md</x:v>
      </x:c>
      <x:c r="C1591" s="219" t="str">
        <x:v>edc0e7ee94cff207a335a60e17313a1a0cea587253a54240e59425a2e7095856</x:v>
      </x:c>
    </x:row>
    <x:row r="1592" ht="30" customHeight="1">
      <x:c r="A1592" s="180" t="str">
        <x:v>CCB-02</x:v>
      </x:c>
      <x:c r="B1592" s="180" t="str">
        <x:v>control/RECOVERY_LEDGER.md</x:v>
      </x:c>
      <x:c r="C1592" s="180" t="str">
        <x:v>8ebd3401682084e4888c14457ab57035a64bf11b7bbf378d7c1549510a25f102</x:v>
      </x:c>
    </x:row>
    <x:row r="1593" ht="30" customHeight="1">
      <x:c r="A1593" s="219" t="str">
        <x:v>CCB-02</x:v>
      </x:c>
      <x:c r="B1593" s="219" t="str">
        <x:v>control/DESKTOP_ACTION_DISPOSITIONS_CURRENT.json</x:v>
      </x:c>
      <x:c r="C1593" s="219" t="str">
        <x:v>48ee6985a9aae811c11a83179a8aa3393aee2286b4bb066e40ce5cdde693c982</x:v>
      </x:c>
    </x:row>
    <x:row r="1594" ht="30" customHeight="1">
      <x:c r="A1594" s="180" t="str">
        <x:v>CCB-02</x:v>
      </x:c>
      <x:c r="B1594" s="180" t="str">
        <x:v>iterations/I06_harness_handoff/CANDIDATE_MANIFEST.json</x:v>
      </x:c>
      <x:c r="C1594" s="180" t="str">
        <x:v>017aa6938b0cea4fcf5d02a0e28ba556e4a0c0485495f171a7d5aba15a703fc0</x:v>
      </x:c>
    </x:row>
    <x:row r="1595" ht="30" customHeight="1">
      <x:c r="A1595" s="219" t="str">
        <x:v>CCB-02</x:v>
      </x:c>
      <x:c r="B1595" s="219" t="str">
        <x:v>control/FINAL_GATES.json</x:v>
      </x:c>
      <x:c r="C1595" s="219" t="str">
        <x:v>b04e670a88f36a01c1c0182933555cfc2fba151953cd6020cd6ec4a8204d6f79</x:v>
      </x:c>
    </x:row>
    <x:row r="1596" ht="30" customHeight="1">
      <x:c r="A1596" s="180" t="str">
        <x:v>CCB-02</x:v>
      </x:c>
      <x:c r="B1596" s="180" t="str">
        <x:v>current/I21_SOURCE_VERIFICATION.json</x:v>
      </x:c>
      <x:c r="C1596" s="180" t="str">
        <x:v>938ba171be55b8b6213eb00bc73cd52e90973449a35deda4dcf4c730e5b97993</x:v>
      </x:c>
    </x:row>
    <x:row r="1597" ht="30" customHeight="1">
      <x:c r="A1597" s="219" t="str">
        <x:v>CCB-02</x:v>
      </x:c>
      <x:c r="B1597" s="219" t="str">
        <x:v>iterations/I20_controlled_handoff/NATIVE_BINDING.json</x:v>
      </x:c>
      <x:c r="C1597" s="219" t="str">
        <x:v>6f36235aab2349569f2cacf485912921762bc718e2a5fd5c4c72c2808ca2312b</x:v>
      </x:c>
    </x:row>
    <x:row r="1598" ht="30" customHeight="1">
      <x:c r="A1598" s="180" t="str">
        <x:v>CCB-02</x:v>
      </x:c>
      <x:c r="B1598" s="180" t="str">
        <x:v>current/EXECUTION_PLAN.md</x:v>
      </x:c>
      <x:c r="C1598" s="180" t="str">
        <x:v>edc0e7ee94cff207a335a60e17313a1a0cea587253a54240e59425a2e7095856</x:v>
      </x:c>
    </x:row>
    <x:row r="1599" ht="30" customHeight="1">
      <x:c r="A1599" s="219" t="str">
        <x:v>CCB-03</x:v>
      </x:c>
      <x:c r="B1599" s="219" t="str">
        <x:v>lanes/power/POWER_GEOMETRY_REPORT.json</x:v>
      </x:c>
      <x:c r="C1599" s="219" t="str">
        <x:v>4824326717a99e771f8d8e045d4bb59d44e8be5bd0e5ae8b6d2c2d3a16e44fe8</x:v>
      </x:c>
    </x:row>
    <x:row r="1600" ht="30" customHeight="1">
      <x:c r="A1600" s="180" t="str">
        <x:v>CCB-03</x:v>
      </x:c>
      <x:c r="B1600" s="180" t="str">
        <x:v>lanes/power/COUPLED_STARTUP_ENVELOPE.json</x:v>
      </x:c>
      <x:c r="C1600" s="180" t="str">
        <x:v>61403b7c7bb855edead8e74923d7d7aa3520f67e6ed50fb9e00818ee7fad28b5</x:v>
      </x:c>
    </x:row>
    <x:row r="1601" ht="30" customHeight="1">
      <x:c r="A1601" s="219" t="str">
        <x:v>CCB-03</x:v>
      </x:c>
      <x:c r="B1601" s="219" t="str">
        <x:v>lanes/power_limits/POWER_LIMITS_SUMMARY.json</x:v>
      </x:c>
      <x:c r="C1601" s="219" t="str">
        <x:v>7dff1f6f253807926f9a5bfb7717bc18ea30e47607cb990bcc9025f7fd9007ef</x:v>
      </x:c>
    </x:row>
    <x:row r="1602" ht="30" customHeight="1">
      <x:c r="A1602" s="180" t="str">
        <x:v>CCB-03</x:v>
      </x:c>
      <x:c r="B1602" s="180" t="str">
        <x:v>lanes/power/FINAL_I04_POWER_EFFECTIVITY.json</x:v>
      </x:c>
      <x:c r="C1602" s="180" t="str">
        <x:v>7614948f0477b3872c1893f2c8071300dad9a76bed2163a98c302fc2b08f0b26</x:v>
      </x:c>
    </x:row>
    <x:row r="1603" ht="30" customHeight="1">
      <x:c r="A1603" s="219" t="str">
        <x:v>CCB-03</x:v>
      </x:c>
      <x:c r="B1603" s="219" t="str">
        <x:v>current/I21_SOURCE_VERIFICATION.json</x:v>
      </x:c>
      <x:c r="C1603" s="219" t="str">
        <x:v>938ba171be55b8b6213eb00bc73cd52e90973449a35deda4dcf4c730e5b97993</x:v>
      </x:c>
    </x:row>
    <x:row r="1604" ht="30" customHeight="1">
      <x:c r="A1604" s="180" t="str">
        <x:v>CCB-03</x:v>
      </x:c>
      <x:c r="B1604" s="180" t="str">
        <x:v>iterations/I20_controlled_handoff/NATIVE_BINDING.json</x:v>
      </x:c>
      <x:c r="C1604" s="180" t="str">
        <x:v>6f36235aab2349569f2cacf485912921762bc718e2a5fd5c4c72c2808ca2312b</x:v>
      </x:c>
    </x:row>
    <x:row r="1605" ht="30" customHeight="1">
      <x:c r="A1605" s="219" t="str">
        <x:v>CCB-03</x:v>
      </x:c>
      <x:c r="B1605" s="219" t="str">
        <x:v>current/EXECUTION_PLAN.md</x:v>
      </x:c>
      <x:c r="C1605" s="219" t="str">
        <x:v>edc0e7ee94cff207a335a60e17313a1a0cea587253a54240e59425a2e7095856</x:v>
      </x:c>
    </x:row>
    <x:row r="1606" ht="30" customHeight="1">
      <x:c r="A1606" s="180" t="str">
        <x:v>CCB-04</x:v>
      </x:c>
      <x:c r="B1606" s="180" t="str">
        <x:v>control/EXECUTION_PLAN_CURRENT.md</x:v>
      </x:c>
      <x:c r="C1606" s="180" t="str">
        <x:v>edc0e7ee94cff207a335a60e17313a1a0cea587253a54240e59425a2e7095856</x:v>
      </x:c>
    </x:row>
    <x:row r="1607" ht="30" customHeight="1">
      <x:c r="A1607" s="219" t="str">
        <x:v>CCB-04</x:v>
      </x:c>
      <x:c r="B1607" s="219" t="str">
        <x:v>control/CLOSED_CRITERIA_ADJUDICATION.json</x:v>
      </x:c>
      <x:c r="C1607" s="219" t="str">
        <x:v>b9950c04e85097fdcc50e938002d8a00f283ab148a84f080d2e1569ff715837b</x:v>
      </x:c>
    </x:row>
    <x:row r="1608" ht="30" customHeight="1">
      <x:c r="A1608" s="180" t="str">
        <x:v>CCB-04</x:v>
      </x:c>
      <x:c r="B1608" s="180" t="str">
        <x:v>current/I21_SOURCE_VERIFICATION.json</x:v>
      </x:c>
      <x:c r="C1608" s="180" t="str">
        <x:v>938ba171be55b8b6213eb00bc73cd52e90973449a35deda4dcf4c730e5b97993</x:v>
      </x:c>
    </x:row>
    <x:row r="1609" ht="30" customHeight="1">
      <x:c r="A1609" s="219" t="str">
        <x:v>CCB-04</x:v>
      </x:c>
      <x:c r="B1609" s="219" t="str">
        <x:v>iterations/I20_controlled_handoff/NATIVE_BINDING.json</x:v>
      </x:c>
      <x:c r="C1609" s="219" t="str">
        <x:v>6f36235aab2349569f2cacf485912921762bc718e2a5fd5c4c72c2808ca2312b</x:v>
      </x:c>
    </x:row>
    <x:row r="1610" ht="30" customHeight="1">
      <x:c r="A1610" s="180" t="str">
        <x:v>CCB-04</x:v>
      </x:c>
      <x:c r="B1610" s="180" t="str">
        <x:v>current/EXECUTION_PLAN.md</x:v>
      </x:c>
      <x:c r="C1610" s="180" t="str">
        <x:v>edc0e7ee94cff207a335a60e17313a1a0cea587253a54240e59425a2e7095856</x:v>
      </x:c>
    </x:row>
    <x:row r="1611" ht="30" customHeight="1">
      <x:c r="A1611" s="219" t="str">
        <x:v>CCB-05</x:v>
      </x:c>
      <x:c r="B1611" s="219" t="str">
        <x:v>iterations/I06_harness_handoff/CANDIDATE_MANIFEST.json</x:v>
      </x:c>
      <x:c r="C1611" s="219" t="str">
        <x:v>017aa6938b0cea4fcf5d02a0e28ba556e4a0c0485495f171a7d5aba15a703fc0</x:v>
      </x:c>
    </x:row>
    <x:row r="1612" ht="30" customHeight="1">
      <x:c r="A1612" s="180" t="str">
        <x:v>CCB-05</x:v>
      </x:c>
      <x:c r="B1612" s="180" t="str">
        <x:v>current/I21_SOURCE_VERIFICATION.json</x:v>
      </x:c>
      <x:c r="C1612" s="180" t="str">
        <x:v>938ba171be55b8b6213eb00bc73cd52e90973449a35deda4dcf4c730e5b97993</x:v>
      </x:c>
    </x:row>
    <x:row r="1613" ht="30" customHeight="1">
      <x:c r="A1613" s="219" t="str">
        <x:v>CCB-05</x:v>
      </x:c>
      <x:c r="B1613" s="219" t="str">
        <x:v>iterations/I20_controlled_handoff/NATIVE_BINDING.json</x:v>
      </x:c>
      <x:c r="C1613" s="219" t="str">
        <x:v>6f36235aab2349569f2cacf485912921762bc718e2a5fd5c4c72c2808ca2312b</x:v>
      </x:c>
    </x:row>
    <x:row r="1614" ht="30" customHeight="1">
      <x:c r="A1614" s="180" t="str">
        <x:v>CCB-05</x:v>
      </x:c>
      <x:c r="B1614" s="180" t="str">
        <x:v>current/EXECUTION_PLAN.md</x:v>
      </x:c>
      <x:c r="C1614" s="180" t="str">
        <x:v>edc0e7ee94cff207a335a60e17313a1a0cea587253a54240e59425a2e7095856</x:v>
      </x:c>
    </x:row>
    <x:row r="1615" ht="30" customHeight="1">
      <x:c r="A1615" s="219" t="str">
        <x:v>CCB-06</x:v>
      </x:c>
      <x:c r="B1615" s="219" t="str">
        <x:v>iterations/I20_controlled_handoff/NATIVE_BINDING.json</x:v>
      </x:c>
      <x:c r="C1615" s="219" t="str">
        <x:v>6f36235aab2349569f2cacf485912921762bc718e2a5fd5c4c72c2808ca2312b</x:v>
      </x:c>
    </x:row>
    <x:row r="1616" ht="30" customHeight="1">
      <x:c r="A1616" s="180" t="str">
        <x:v>CCB-06</x:v>
      </x:c>
      <x:c r="B1616" s="180" t="str">
        <x:v>current/I21_SOURCE_VERIFICATION.json</x:v>
      </x:c>
      <x:c r="C1616" s="180" t="str">
        <x:v>938ba171be55b8b6213eb00bc73cd52e90973449a35deda4dcf4c730e5b97993</x:v>
      </x:c>
    </x:row>
    <x:row r="1617" ht="30" customHeight="1">
      <x:c r="A1617" s="219" t="str">
        <x:v>CCB-06</x:v>
      </x:c>
      <x:c r="B1617" s="219" t="str">
        <x:v>analyses/manufacturing_i20/RESULTS.json</x:v>
      </x:c>
      <x:c r="C1617" s="219" t="str">
        <x:v>daa279f665dd6cad14f4ff36043abbce38c6ee51598e9ae7236d9974563476ac</x:v>
      </x:c>
    </x:row>
    <x:row r="1618" ht="30" customHeight="1">
      <x:c r="A1618" s="180" t="str">
        <x:v>CCB-06</x:v>
      </x:c>
      <x:c r="B1618" s="180" t="str">
        <x:v>current/SOURCE_EFFECTIVITY.json</x:v>
      </x:c>
      <x:c r="C1618" s="180" t="str">
        <x:v>832fcdcc8cd7ebb9df2e169c8b9194011c37d138484da13fd5de05bd2657170d</x:v>
      </x:c>
    </x:row>
    <x:row r="1619" ht="30" customHeight="1">
      <x:c r="A1619" s="219" t="str">
        <x:v>CCB-07</x:v>
      </x:c>
      <x:c r="B1619" s="219" t="str">
        <x:v>control/EXECUTION_PLAN_CURRENT.md</x:v>
      </x:c>
      <x:c r="C1619" s="219" t="str">
        <x:v>edc0e7ee94cff207a335a60e17313a1a0cea587253a54240e59425a2e7095856</x:v>
      </x:c>
    </x:row>
    <x:row r="1620" ht="30" customHeight="1">
      <x:c r="A1620" s="180" t="str">
        <x:v>CCB-07</x:v>
      </x:c>
      <x:c r="B1620" s="180" t="str">
        <x:v>control/RECOVERY_LEDGER.md</x:v>
      </x:c>
      <x:c r="C1620" s="180" t="str">
        <x:v>8ebd3401682084e4888c14457ab57035a64bf11b7bbf378d7c1549510a25f102</x:v>
      </x:c>
    </x:row>
    <x:row r="1621" ht="30" customHeight="1">
      <x:c r="A1621" s="219" t="str">
        <x:v>CCB-07</x:v>
      </x:c>
      <x:c r="B1621" s="219" t="str">
        <x:v>control/DESKTOP_ACTION_DISPOSITIONS_CURRENT.json</x:v>
      </x:c>
      <x:c r="C1621" s="219" t="str">
        <x:v>48ee6985a9aae811c11a83179a8aa3393aee2286b4bb066e40ce5cdde693c982</x:v>
      </x:c>
    </x:row>
    <x:row r="1622" ht="30" customHeight="1">
      <x:c r="A1622" s="180" t="str">
        <x:v>CCB-07</x:v>
      </x:c>
      <x:c r="B1622" s="180" t="str">
        <x:v>iterations/I06_harness_handoff/CANDIDATE_MANIFEST.json</x:v>
      </x:c>
      <x:c r="C1622" s="180" t="str">
        <x:v>017aa6938b0cea4fcf5d02a0e28ba556e4a0c0485495f171a7d5aba15a703fc0</x:v>
      </x:c>
    </x:row>
    <x:row r="1623" ht="30" customHeight="1">
      <x:c r="A1623" s="219" t="str">
        <x:v>CCB-07</x:v>
      </x:c>
      <x:c r="B1623" s="219" t="str">
        <x:v>control/FINAL_GATES.json</x:v>
      </x:c>
      <x:c r="C1623" s="219" t="str">
        <x:v>b04e670a88f36a01c1c0182933555cfc2fba151953cd6020cd6ec4a8204d6f79</x:v>
      </x:c>
    </x:row>
    <x:row r="1624" ht="30" customHeight="1">
      <x:c r="A1624" s="180" t="str">
        <x:v>CCB-07</x:v>
      </x:c>
      <x:c r="B1624" s="180" t="str">
        <x:v>current/I21_SOURCE_VERIFICATION.json</x:v>
      </x:c>
      <x:c r="C1624" s="180" t="str">
        <x:v>938ba171be55b8b6213eb00bc73cd52e90973449a35deda4dcf4c730e5b97993</x:v>
      </x:c>
    </x:row>
    <x:row r="1625" ht="30" customHeight="1">
      <x:c r="A1625" s="219" t="str">
        <x:v>CCB-07</x:v>
      </x:c>
      <x:c r="B1625" s="219" t="str">
        <x:v>iterations/I20_controlled_handoff/NATIVE_BINDING.json</x:v>
      </x:c>
      <x:c r="C1625" s="219" t="str">
        <x:v>6f36235aab2349569f2cacf485912921762bc718e2a5fd5c4c72c2808ca2312b</x:v>
      </x:c>
    </x:row>
    <x:row r="1626" ht="30" customHeight="1">
      <x:c r="A1626" s="180" t="str">
        <x:v>CCB-07</x:v>
      </x:c>
      <x:c r="B1626" s="180" t="str">
        <x:v>current/EXECUTION_PLAN.md</x:v>
      </x:c>
      <x:c r="C1626" s="180" t="str">
        <x:v>edc0e7ee94cff207a335a60e17313a1a0cea587253a54240e59425a2e7095856</x:v>
      </x:c>
    </x:row>
    <x:row r="1627" ht="30" customHeight="1">
      <x:c r="A1627" s="219" t="str">
        <x:v>CCB-08</x:v>
      </x:c>
      <x:c r="B1627" s="219" t="str">
        <x:v>control/EXECUTION_PLAN_CURRENT.md</x:v>
      </x:c>
      <x:c r="C1627" s="219" t="str">
        <x:v>edc0e7ee94cff207a335a60e17313a1a0cea587253a54240e59425a2e7095856</x:v>
      </x:c>
    </x:row>
    <x:row r="1628" ht="30" customHeight="1">
      <x:c r="A1628" s="180" t="str">
        <x:v>CCB-08</x:v>
      </x:c>
      <x:c r="B1628" s="180" t="str">
        <x:v>control/CLOSED_CRITERIA_ADJUDICATION.json</x:v>
      </x:c>
      <x:c r="C1628" s="180" t="str">
        <x:v>b9950c04e85097fdcc50e938002d8a00f283ab148a84f080d2e1569ff715837b</x:v>
      </x:c>
    </x:row>
    <x:row r="1629" ht="30" customHeight="1">
      <x:c r="A1629" s="219" t="str">
        <x:v>CCB-08</x:v>
      </x:c>
      <x:c r="B1629" s="219" t="str">
        <x:v>current/I21_SOURCE_VERIFICATION.json</x:v>
      </x:c>
      <x:c r="C1629" s="219" t="str">
        <x:v>938ba171be55b8b6213eb00bc73cd52e90973449a35deda4dcf4c730e5b97993</x:v>
      </x:c>
    </x:row>
    <x:row r="1630" ht="30" customHeight="1">
      <x:c r="A1630" s="180" t="str">
        <x:v>CCB-08</x:v>
      </x:c>
      <x:c r="B1630" s="180" t="str">
        <x:v>iterations/I20_controlled_handoff/NATIVE_BINDING.json</x:v>
      </x:c>
      <x:c r="C1630" s="180" t="str">
        <x:v>6f36235aab2349569f2cacf485912921762bc718e2a5fd5c4c72c2808ca2312b</x:v>
      </x:c>
    </x:row>
    <x:row r="1631" ht="30" customHeight="1">
      <x:c r="A1631" s="219" t="str">
        <x:v>CCB-08</x:v>
      </x:c>
      <x:c r="B1631" s="219" t="str">
        <x:v>current/EXECUTION_PLAN.md</x:v>
      </x:c>
      <x:c r="C1631" s="219" t="str">
        <x:v>edc0e7ee94cff207a335a60e17313a1a0cea587253a54240e59425a2e7095856</x:v>
      </x:c>
    </x:row>
    <x:row r="1632" ht="30" customHeight="1">
      <x:c r="A1632" s="180" t="str">
        <x:v>CCB-09</x:v>
      </x:c>
      <x:c r="B1632" s="180" t="str">
        <x:v>control/EXECUTION_PLAN_CURRENT.md</x:v>
      </x:c>
      <x:c r="C1632" s="180" t="str">
        <x:v>edc0e7ee94cff207a335a60e17313a1a0cea587253a54240e59425a2e7095856</x:v>
      </x:c>
    </x:row>
    <x:row r="1633" ht="30" customHeight="1">
      <x:c r="A1633" s="219" t="str">
        <x:v>CCB-09</x:v>
      </x:c>
      <x:c r="B1633" s="219" t="str">
        <x:v>control/RECOVERY_LEDGER.md</x:v>
      </x:c>
      <x:c r="C1633" s="219" t="str">
        <x:v>8ebd3401682084e4888c14457ab57035a64bf11b7bbf378d7c1549510a25f102</x:v>
      </x:c>
    </x:row>
    <x:row r="1634" ht="30" customHeight="1">
      <x:c r="A1634" s="180" t="str">
        <x:v>CCB-09</x:v>
      </x:c>
      <x:c r="B1634" s="180" t="str">
        <x:v>control/DESKTOP_ACTION_DISPOSITIONS_CURRENT.json</x:v>
      </x:c>
      <x:c r="C1634" s="180" t="str">
        <x:v>48ee6985a9aae811c11a83179a8aa3393aee2286b4bb066e40ce5cdde693c982</x:v>
      </x:c>
    </x:row>
    <x:row r="1635" ht="30" customHeight="1">
      <x:c r="A1635" s="219" t="str">
        <x:v>CCB-09</x:v>
      </x:c>
      <x:c r="B1635" s="219" t="str">
        <x:v>iterations/I06_harness_handoff/CANDIDATE_MANIFEST.json</x:v>
      </x:c>
      <x:c r="C1635" s="219" t="str">
        <x:v>017aa6938b0cea4fcf5d02a0e28ba556e4a0c0485495f171a7d5aba15a703fc0</x:v>
      </x:c>
    </x:row>
    <x:row r="1636" ht="30" customHeight="1">
      <x:c r="A1636" s="180" t="str">
        <x:v>CCB-09</x:v>
      </x:c>
      <x:c r="B1636" s="180" t="str">
        <x:v>control/FINAL_GATES.json</x:v>
      </x:c>
      <x:c r="C1636" s="180" t="str">
        <x:v>b04e670a88f36a01c1c0182933555cfc2fba151953cd6020cd6ec4a8204d6f79</x:v>
      </x:c>
    </x:row>
    <x:row r="1637" ht="30" customHeight="1">
      <x:c r="A1637" s="219" t="str">
        <x:v>CCB-09</x:v>
      </x:c>
      <x:c r="B1637" s="219" t="str">
        <x:v>current/I21_SOURCE_VERIFICATION.json</x:v>
      </x:c>
      <x:c r="C1637" s="219" t="str">
        <x:v>938ba171be55b8b6213eb00bc73cd52e90973449a35deda4dcf4c730e5b97993</x:v>
      </x:c>
    </x:row>
    <x:row r="1638" ht="30" customHeight="1">
      <x:c r="A1638" s="180" t="str">
        <x:v>CCB-09</x:v>
      </x:c>
      <x:c r="B1638" s="180" t="str">
        <x:v>iterations/I20_controlled_handoff/NATIVE_BINDING.json</x:v>
      </x:c>
      <x:c r="C1638" s="180" t="str">
        <x:v>6f36235aab2349569f2cacf485912921762bc718e2a5fd5c4c72c2808ca2312b</x:v>
      </x:c>
    </x:row>
    <x:row r="1639" ht="30" customHeight="1">
      <x:c r="A1639" s="219" t="str">
        <x:v>CCB-09</x:v>
      </x:c>
      <x:c r="B1639" s="219" t="str">
        <x:v>current/EXECUTION_PLAN.md</x:v>
      </x:c>
      <x:c r="C1639" s="219" t="str">
        <x:v>edc0e7ee94cff207a335a60e17313a1a0cea587253a54240e59425a2e7095856</x:v>
      </x:c>
    </x:row>
    <x:row r="1640" ht="30" customHeight="1">
      <x:c r="A1640" s="180" t="str">
        <x:v>CCB-10</x:v>
      </x:c>
      <x:c r="B1640" s="180" t="str">
        <x:v>control/EXECUTION_PLAN_CURRENT.md</x:v>
      </x:c>
      <x:c r="C1640" s="180" t="str">
        <x:v>edc0e7ee94cff207a335a60e17313a1a0cea587253a54240e59425a2e7095856</x:v>
      </x:c>
    </x:row>
    <x:row r="1641" ht="30" customHeight="1">
      <x:c r="A1641" s="219" t="str">
        <x:v>CCB-10</x:v>
      </x:c>
      <x:c r="B1641" s="219" t="str">
        <x:v>control/RECOVERY_LEDGER.md</x:v>
      </x:c>
      <x:c r="C1641" s="219" t="str">
        <x:v>8ebd3401682084e4888c14457ab57035a64bf11b7bbf378d7c1549510a25f102</x:v>
      </x:c>
    </x:row>
    <x:row r="1642" ht="30" customHeight="1">
      <x:c r="A1642" s="180" t="str">
        <x:v>CCB-10</x:v>
      </x:c>
      <x:c r="B1642" s="180" t="str">
        <x:v>control/DESKTOP_ACTION_DISPOSITIONS_CURRENT.json</x:v>
      </x:c>
      <x:c r="C1642" s="180" t="str">
        <x:v>48ee6985a9aae811c11a83179a8aa3393aee2286b4bb066e40ce5cdde693c982</x:v>
      </x:c>
    </x:row>
    <x:row r="1643" ht="30" customHeight="1">
      <x:c r="A1643" s="219" t="str">
        <x:v>CCB-10</x:v>
      </x:c>
      <x:c r="B1643" s="219" t="str">
        <x:v>iterations/I06_harness_handoff/CANDIDATE_MANIFEST.json</x:v>
      </x:c>
      <x:c r="C1643" s="219" t="str">
        <x:v>017aa6938b0cea4fcf5d02a0e28ba556e4a0c0485495f171a7d5aba15a703fc0</x:v>
      </x:c>
    </x:row>
    <x:row r="1644" ht="30" customHeight="1">
      <x:c r="A1644" s="180" t="str">
        <x:v>CCB-10</x:v>
      </x:c>
      <x:c r="B1644" s="180" t="str">
        <x:v>control/FINAL_GATES.json</x:v>
      </x:c>
      <x:c r="C1644" s="180" t="str">
        <x:v>b04e670a88f36a01c1c0182933555cfc2fba151953cd6020cd6ec4a8204d6f79</x:v>
      </x:c>
    </x:row>
    <x:row r="1645" ht="30" customHeight="1">
      <x:c r="A1645" s="219" t="str">
        <x:v>CCB-10</x:v>
      </x:c>
      <x:c r="B1645" s="219" t="str">
        <x:v>current/I21_SOURCE_VERIFICATION.json</x:v>
      </x:c>
      <x:c r="C1645" s="219" t="str">
        <x:v>938ba171be55b8b6213eb00bc73cd52e90973449a35deda4dcf4c730e5b97993</x:v>
      </x:c>
    </x:row>
    <x:row r="1646" ht="30" customHeight="1">
      <x:c r="A1646" s="180" t="str">
        <x:v>CCB-10</x:v>
      </x:c>
      <x:c r="B1646" s="180" t="str">
        <x:v>iterations/I20_controlled_handoff/NATIVE_BINDING.json</x:v>
      </x:c>
      <x:c r="C1646" s="180" t="str">
        <x:v>6f36235aab2349569f2cacf485912921762bc718e2a5fd5c4c72c2808ca2312b</x:v>
      </x:c>
    </x:row>
    <x:row r="1647" ht="30" customHeight="1">
      <x:c r="A1647" s="219" t="str">
        <x:v>CCB-10</x:v>
      </x:c>
      <x:c r="B1647" s="219" t="str">
        <x:v>current/EXECUTION_PLAN.md</x:v>
      </x:c>
      <x:c r="C1647" s="219" t="str">
        <x:v>edc0e7ee94cff207a335a60e17313a1a0cea587253a54240e59425a2e7095856</x:v>
      </x:c>
    </x:row>
  </x:sheetData>
  <x:mergeCells>
    <x:mergeCell ref="A1:C1"/>
    <x:mergeCell ref="A2:C2"/>
  </x:mergeCells>
  <x:pageMargins left="0.7" right="0.7" top="0.75" bottom="0.75" header="0.3" footer="0.3"/>
  <x:tableParts count="1">
    <x:tablePart xmlns:r="http://schemas.openxmlformats.org/officeDocument/2006/relationships" r:id="Rf25618f5426540de"/>
  </x:tableParts>
</x:worksheet>
</file>